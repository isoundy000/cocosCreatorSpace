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ide\Space_project\_会议&amp;工作\"/>
    </mc:Choice>
  </mc:AlternateContent>
  <bookViews>
    <workbookView xWindow="0" yWindow="465" windowWidth="37200" windowHeight="21135" activeTab="3"/>
  </bookViews>
  <sheets>
    <sheet name="版本说明" sheetId="7" r:id="rId1"/>
    <sheet name="v0.1" sheetId="6" r:id="rId2"/>
    <sheet name="v0.2" sheetId="1" r:id="rId3"/>
    <sheet name="v0.3" sheetId="11" r:id="rId4"/>
    <sheet name="Sheet1" sheetId="2" state="hidden" r:id="rId5"/>
    <sheet name="节日假期" sheetId="10" state="hidden" r:id="rId6"/>
  </sheets>
  <functionGroups builtInGroupCount="18"/>
  <definedNames>
    <definedName name="_xlnm._FilterDatabase" localSheetId="1" hidden="1">v0.1!$A$2:$K$2</definedName>
    <definedName name="_xlnm._FilterDatabase" localSheetId="2" hidden="1">v0.2!$A$2:$K$2</definedName>
    <definedName name="_xlnm._FilterDatabase" localSheetId="3" hidden="1">v0.3!$A$2:$K$2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3" i="11" l="1"/>
  <c r="J13" i="11"/>
  <c r="F13" i="11"/>
  <c r="G13" i="11"/>
  <c r="H16" i="11"/>
  <c r="J16" i="11"/>
  <c r="F16" i="11"/>
  <c r="G16" i="11"/>
  <c r="H15" i="11"/>
  <c r="J15" i="11"/>
  <c r="F15" i="11"/>
  <c r="G15" i="11"/>
  <c r="H14" i="11"/>
  <c r="J14" i="11"/>
  <c r="F14" i="11"/>
  <c r="G14" i="11"/>
  <c r="H11" i="11"/>
  <c r="J11" i="11"/>
  <c r="F11" i="11"/>
  <c r="G11" i="11"/>
  <c r="H3" i="11"/>
  <c r="J3" i="11"/>
  <c r="F3" i="11"/>
  <c r="G3" i="11"/>
  <c r="F4" i="11"/>
  <c r="G4" i="11"/>
  <c r="F5" i="11"/>
  <c r="G5" i="11"/>
  <c r="F6" i="11"/>
  <c r="G6" i="11"/>
  <c r="F7" i="11"/>
  <c r="G7" i="11"/>
  <c r="F8" i="11"/>
  <c r="G8" i="11"/>
  <c r="F9" i="11"/>
  <c r="G9" i="11"/>
  <c r="F10" i="11"/>
  <c r="G10" i="11"/>
  <c r="F12" i="11"/>
  <c r="G12" i="11"/>
  <c r="F18" i="11"/>
  <c r="G18" i="11"/>
  <c r="F19" i="11"/>
  <c r="G19" i="11"/>
  <c r="F20" i="11"/>
  <c r="G20" i="11"/>
  <c r="F21" i="11"/>
  <c r="G21" i="11"/>
  <c r="F22" i="11"/>
  <c r="G22" i="11"/>
  <c r="F23" i="11"/>
  <c r="G23" i="11"/>
  <c r="F24" i="11"/>
  <c r="G24" i="11"/>
  <c r="F25" i="11"/>
  <c r="G25" i="11"/>
  <c r="F26" i="11"/>
  <c r="G26" i="11"/>
  <c r="F27" i="11"/>
  <c r="G27" i="11"/>
  <c r="F28" i="11"/>
  <c r="G28" i="11"/>
  <c r="F17" i="11"/>
  <c r="G17" i="11"/>
  <c r="F29" i="11"/>
  <c r="G29" i="11"/>
  <c r="F30" i="11"/>
  <c r="G30" i="11"/>
  <c r="F31" i="11"/>
  <c r="G31" i="11"/>
  <c r="F32" i="11"/>
  <c r="G32" i="11"/>
  <c r="F33" i="11"/>
  <c r="G33" i="11"/>
  <c r="F34" i="11"/>
  <c r="G34" i="11"/>
  <c r="F35" i="11"/>
  <c r="G35" i="11"/>
  <c r="F36" i="11"/>
  <c r="G36" i="11"/>
  <c r="F37" i="11"/>
  <c r="G37" i="11"/>
  <c r="F38" i="11"/>
  <c r="G38" i="11"/>
  <c r="F39" i="11"/>
  <c r="G39" i="11"/>
  <c r="F40" i="11"/>
  <c r="G40" i="11"/>
  <c r="F41" i="11"/>
  <c r="G41" i="11"/>
  <c r="F42" i="11"/>
  <c r="G42" i="11"/>
  <c r="F43" i="11"/>
  <c r="G43" i="11"/>
  <c r="F44" i="11"/>
  <c r="G44" i="11"/>
  <c r="F45" i="11"/>
  <c r="G45" i="11"/>
  <c r="F46" i="11"/>
  <c r="G46" i="11"/>
  <c r="F47" i="11"/>
  <c r="G47" i="11"/>
  <c r="F48" i="11"/>
  <c r="G48" i="11"/>
  <c r="F49" i="11"/>
  <c r="G49" i="11"/>
  <c r="F50" i="11"/>
  <c r="G50" i="11"/>
  <c r="F51" i="11"/>
  <c r="G51" i="11"/>
  <c r="F52" i="11"/>
  <c r="G52" i="11"/>
  <c r="F53" i="11"/>
  <c r="G53" i="11"/>
  <c r="F54" i="11"/>
  <c r="G54" i="11"/>
  <c r="F55" i="11"/>
  <c r="G55" i="11"/>
  <c r="F56" i="11"/>
  <c r="G56" i="11"/>
  <c r="F57" i="11"/>
  <c r="G57" i="11"/>
  <c r="F58" i="11"/>
  <c r="G58" i="11"/>
  <c r="F59" i="11"/>
  <c r="G59" i="11"/>
  <c r="F60" i="11"/>
  <c r="G60" i="11"/>
  <c r="F61" i="11"/>
  <c r="G61" i="11"/>
  <c r="H61" i="11"/>
  <c r="J61" i="11"/>
  <c r="H60" i="11"/>
  <c r="J60" i="11"/>
  <c r="H59" i="11"/>
  <c r="J59" i="11"/>
  <c r="H58" i="11"/>
  <c r="J58" i="11"/>
  <c r="H57" i="11"/>
  <c r="J57" i="11"/>
  <c r="H56" i="11"/>
  <c r="J56" i="11"/>
  <c r="H55" i="11"/>
  <c r="J55" i="11"/>
  <c r="H54" i="11"/>
  <c r="J54" i="11"/>
  <c r="H53" i="11"/>
  <c r="J53" i="11"/>
  <c r="H52" i="11"/>
  <c r="J52" i="11"/>
  <c r="H51" i="11"/>
  <c r="J51" i="11"/>
  <c r="H50" i="11"/>
  <c r="J50" i="11"/>
  <c r="H49" i="11"/>
  <c r="J49" i="11"/>
  <c r="H48" i="11"/>
  <c r="J48" i="11"/>
  <c r="H47" i="11"/>
  <c r="J47" i="11"/>
  <c r="H46" i="11"/>
  <c r="J46" i="11"/>
  <c r="H45" i="11"/>
  <c r="J45" i="11"/>
  <c r="H44" i="11"/>
  <c r="J44" i="11"/>
  <c r="H43" i="11"/>
  <c r="J43" i="11"/>
  <c r="H42" i="11"/>
  <c r="J42" i="11"/>
  <c r="H41" i="11"/>
  <c r="J41" i="11"/>
  <c r="H40" i="11"/>
  <c r="J40" i="11"/>
  <c r="H39" i="11"/>
  <c r="J39" i="11"/>
  <c r="H38" i="11"/>
  <c r="J38" i="11"/>
  <c r="H37" i="11"/>
  <c r="J37" i="11"/>
  <c r="H36" i="11"/>
  <c r="J36" i="11"/>
  <c r="H35" i="11"/>
  <c r="J35" i="11"/>
  <c r="H34" i="11"/>
  <c r="J34" i="11"/>
  <c r="H33" i="11"/>
  <c r="J33" i="11"/>
  <c r="H32" i="11"/>
  <c r="J32" i="11"/>
  <c r="H31" i="11"/>
  <c r="J31" i="11"/>
  <c r="H30" i="11"/>
  <c r="J30" i="11"/>
  <c r="H29" i="11"/>
  <c r="J29" i="11"/>
  <c r="H17" i="11"/>
  <c r="J17" i="11"/>
  <c r="H28" i="11"/>
  <c r="J28" i="11"/>
  <c r="H27" i="11"/>
  <c r="J27" i="11"/>
  <c r="H26" i="11"/>
  <c r="J26" i="11"/>
  <c r="H25" i="11"/>
  <c r="J25" i="11"/>
  <c r="H24" i="11"/>
  <c r="J24" i="11"/>
  <c r="H23" i="11"/>
  <c r="J23" i="11"/>
  <c r="H22" i="11"/>
  <c r="J22" i="11"/>
  <c r="H21" i="11"/>
  <c r="J21" i="11"/>
  <c r="H20" i="11"/>
  <c r="J20" i="11"/>
  <c r="H19" i="11"/>
  <c r="J19" i="11"/>
  <c r="H18" i="11"/>
  <c r="J18" i="11"/>
  <c r="H12" i="11"/>
  <c r="J12" i="11"/>
  <c r="H10" i="11"/>
  <c r="J10" i="11"/>
  <c r="H9" i="11"/>
  <c r="J9" i="11"/>
  <c r="H8" i="11"/>
  <c r="J8" i="11"/>
  <c r="H7" i="11"/>
  <c r="J7" i="11"/>
  <c r="H6" i="11"/>
  <c r="J6" i="11"/>
  <c r="H5" i="11"/>
  <c r="J5" i="11"/>
  <c r="H4" i="11"/>
  <c r="J4" i="11"/>
  <c r="H11" i="1"/>
  <c r="J11" i="1"/>
  <c r="H12" i="1"/>
  <c r="J12" i="1"/>
  <c r="H13" i="1"/>
  <c r="J13" i="1"/>
  <c r="H14" i="1"/>
  <c r="J14" i="1"/>
  <c r="H15" i="1"/>
  <c r="J15" i="1"/>
  <c r="H16" i="1"/>
  <c r="J16" i="1"/>
  <c r="H17" i="1"/>
  <c r="J17" i="1"/>
  <c r="H18" i="1"/>
  <c r="J18" i="1"/>
  <c r="H19" i="1"/>
  <c r="J19" i="1"/>
  <c r="H20" i="1"/>
  <c r="J20" i="1"/>
  <c r="H21" i="1"/>
  <c r="J21" i="1"/>
  <c r="F37" i="1"/>
  <c r="G37" i="1"/>
  <c r="H37" i="1"/>
  <c r="J37" i="1"/>
  <c r="F38" i="1"/>
  <c r="G38" i="1"/>
  <c r="H38" i="1"/>
  <c r="J38" i="1"/>
  <c r="F39" i="1"/>
  <c r="G39" i="1"/>
  <c r="H39" i="1"/>
  <c r="J39" i="1"/>
  <c r="F40" i="1"/>
  <c r="G40" i="1"/>
  <c r="H40" i="1"/>
  <c r="J40" i="1"/>
  <c r="H56" i="1"/>
  <c r="J56" i="1"/>
  <c r="G56" i="1"/>
  <c r="F4" i="1"/>
  <c r="G4" i="1"/>
  <c r="F5" i="1"/>
  <c r="G5" i="1"/>
  <c r="F6" i="1"/>
  <c r="G6" i="1"/>
  <c r="F7" i="1"/>
  <c r="G7" i="1"/>
  <c r="F8" i="1"/>
  <c r="G8" i="1"/>
  <c r="F9" i="1"/>
  <c r="G9" i="1"/>
  <c r="F68" i="1"/>
  <c r="G68" i="1"/>
  <c r="F67" i="1"/>
  <c r="G67" i="1"/>
  <c r="F66" i="1"/>
  <c r="G66" i="1"/>
  <c r="F65" i="1"/>
  <c r="G65" i="1"/>
  <c r="F64" i="1"/>
  <c r="G64" i="1"/>
  <c r="F63" i="1"/>
  <c r="G63" i="1"/>
  <c r="F62" i="1"/>
  <c r="G62" i="1"/>
  <c r="F61" i="1"/>
  <c r="G61" i="1"/>
  <c r="F60" i="1"/>
  <c r="G60" i="1"/>
  <c r="F59" i="1"/>
  <c r="G59" i="1"/>
  <c r="F58" i="1"/>
  <c r="G58" i="1"/>
  <c r="F57" i="1"/>
  <c r="G57" i="1"/>
  <c r="F55" i="1"/>
  <c r="G55" i="1"/>
  <c r="F54" i="1"/>
  <c r="G54" i="1"/>
  <c r="F53" i="1"/>
  <c r="G53" i="1"/>
  <c r="F52" i="1"/>
  <c r="G52" i="1"/>
  <c r="F51" i="1"/>
  <c r="G51" i="1"/>
  <c r="F50" i="1"/>
  <c r="G50" i="1"/>
  <c r="F49" i="1"/>
  <c r="G49" i="1"/>
  <c r="F48" i="1"/>
  <c r="G48" i="1"/>
  <c r="F47" i="1"/>
  <c r="G47" i="1"/>
  <c r="F46" i="1"/>
  <c r="G46" i="1"/>
  <c r="F45" i="1"/>
  <c r="G45" i="1"/>
  <c r="F44" i="1"/>
  <c r="G44" i="1"/>
  <c r="F43" i="1"/>
  <c r="G43" i="1"/>
  <c r="F42" i="1"/>
  <c r="G42" i="1"/>
  <c r="F41" i="1"/>
  <c r="G41" i="1"/>
  <c r="F36" i="1"/>
  <c r="G36" i="1"/>
  <c r="F35" i="1"/>
  <c r="G35" i="1"/>
  <c r="F34" i="1"/>
  <c r="G34" i="1"/>
  <c r="F33" i="1"/>
  <c r="G33" i="1"/>
  <c r="F32" i="1"/>
  <c r="G32" i="1"/>
  <c r="F31" i="1"/>
  <c r="G31" i="1"/>
  <c r="F30" i="1"/>
  <c r="G30" i="1"/>
  <c r="F29" i="1"/>
  <c r="G29" i="1"/>
  <c r="F28" i="1"/>
  <c r="G28" i="1"/>
  <c r="F27" i="1"/>
  <c r="G27" i="1"/>
  <c r="F26" i="1"/>
  <c r="G26" i="1"/>
  <c r="F25" i="1"/>
  <c r="G25" i="1"/>
  <c r="F24" i="1"/>
  <c r="G24" i="1"/>
  <c r="F23" i="1"/>
  <c r="G23" i="1"/>
  <c r="F22" i="1"/>
  <c r="G22" i="1"/>
  <c r="F10" i="1"/>
  <c r="G10" i="1"/>
  <c r="F3" i="1"/>
  <c r="G3" i="1"/>
  <c r="H3" i="1"/>
  <c r="J3" i="1"/>
  <c r="H4" i="1"/>
  <c r="J4" i="1"/>
  <c r="H5" i="1"/>
  <c r="J5" i="1"/>
  <c r="H6" i="1"/>
  <c r="J6" i="1"/>
  <c r="H7" i="1"/>
  <c r="J7" i="1"/>
  <c r="H8" i="1"/>
  <c r="J8" i="1"/>
  <c r="H9" i="1"/>
  <c r="J9" i="1"/>
  <c r="H10" i="1"/>
  <c r="J10" i="1"/>
  <c r="H22" i="1"/>
  <c r="J22" i="1"/>
  <c r="H23" i="1"/>
  <c r="J23" i="1"/>
  <c r="H24" i="1"/>
  <c r="J24" i="1"/>
  <c r="H25" i="1"/>
  <c r="J25" i="1"/>
  <c r="H26" i="1"/>
  <c r="J26" i="1"/>
  <c r="H27" i="1"/>
  <c r="J27" i="1"/>
  <c r="H28" i="1"/>
  <c r="J28" i="1"/>
  <c r="H29" i="1"/>
  <c r="J29" i="1"/>
  <c r="H30" i="1"/>
  <c r="J30" i="1"/>
  <c r="H31" i="1"/>
  <c r="J31" i="1"/>
  <c r="H32" i="1"/>
  <c r="J32" i="1"/>
  <c r="H33" i="1"/>
  <c r="J33" i="1"/>
  <c r="H34" i="1"/>
  <c r="J34" i="1"/>
  <c r="H35" i="1"/>
  <c r="J35" i="1"/>
  <c r="H36" i="1"/>
  <c r="J36" i="1"/>
  <c r="H41" i="1"/>
  <c r="J41" i="1"/>
  <c r="H42" i="1"/>
  <c r="J42" i="1"/>
  <c r="H43" i="1"/>
  <c r="J43" i="1"/>
  <c r="H44" i="1"/>
  <c r="J44" i="1"/>
  <c r="H45" i="1"/>
  <c r="J45" i="1"/>
  <c r="H46" i="1"/>
  <c r="J46" i="1"/>
  <c r="H47" i="1"/>
  <c r="J47" i="1"/>
  <c r="H48" i="1"/>
  <c r="J48" i="1"/>
  <c r="H49" i="1"/>
  <c r="J49" i="1"/>
  <c r="H50" i="1"/>
  <c r="J50" i="1"/>
  <c r="H51" i="1"/>
  <c r="J51" i="1"/>
  <c r="H52" i="1"/>
  <c r="J52" i="1"/>
  <c r="H53" i="1"/>
  <c r="J53" i="1"/>
  <c r="H54" i="1"/>
  <c r="J54" i="1"/>
  <c r="H55" i="1"/>
  <c r="J55" i="1"/>
  <c r="H57" i="1"/>
  <c r="J57" i="1"/>
  <c r="H58" i="1"/>
  <c r="J58" i="1"/>
  <c r="H59" i="1"/>
  <c r="J59" i="1"/>
  <c r="H60" i="1"/>
  <c r="J60" i="1"/>
  <c r="H61" i="1"/>
  <c r="J61" i="1"/>
  <c r="H62" i="1"/>
  <c r="J62" i="1"/>
  <c r="H63" i="1"/>
  <c r="J63" i="1"/>
  <c r="H64" i="1"/>
  <c r="J64" i="1"/>
  <c r="H65" i="1"/>
  <c r="J65" i="1"/>
  <c r="H66" i="1"/>
  <c r="J66" i="1"/>
  <c r="H67" i="1"/>
  <c r="J67" i="1"/>
  <c r="H68" i="1"/>
  <c r="J68" i="1"/>
  <c r="F4" i="6"/>
  <c r="G4" i="6"/>
  <c r="F5" i="6"/>
  <c r="G5" i="6"/>
  <c r="F6" i="6"/>
  <c r="G6" i="6"/>
  <c r="F7" i="6"/>
  <c r="G7" i="6"/>
  <c r="F8" i="6"/>
  <c r="G8" i="6"/>
  <c r="F9" i="6"/>
  <c r="G9" i="6"/>
  <c r="F10" i="6"/>
  <c r="G10" i="6"/>
  <c r="F11" i="6"/>
  <c r="G11" i="6"/>
  <c r="F12" i="6"/>
  <c r="G12" i="6"/>
  <c r="F13" i="6"/>
  <c r="G13" i="6"/>
  <c r="F14" i="6"/>
  <c r="G14" i="6"/>
  <c r="F15" i="6"/>
  <c r="G15" i="6"/>
  <c r="F16" i="6"/>
  <c r="G16" i="6"/>
  <c r="F17" i="6"/>
  <c r="G17" i="6"/>
  <c r="F18" i="6"/>
  <c r="G18" i="6"/>
  <c r="F19" i="6"/>
  <c r="G19" i="6"/>
  <c r="F20" i="6"/>
  <c r="G20" i="6"/>
  <c r="F21" i="6"/>
  <c r="G21" i="6"/>
  <c r="F22" i="6"/>
  <c r="G22" i="6"/>
  <c r="F23" i="6"/>
  <c r="G23" i="6"/>
  <c r="F24" i="6"/>
  <c r="G24" i="6"/>
  <c r="F25" i="6"/>
  <c r="G25" i="6"/>
  <c r="F26" i="6"/>
  <c r="G26" i="6"/>
  <c r="F27" i="6"/>
  <c r="G27" i="6"/>
  <c r="F28" i="6"/>
  <c r="G28" i="6"/>
  <c r="F29" i="6"/>
  <c r="G29" i="6"/>
  <c r="F30" i="6"/>
  <c r="G30" i="6"/>
  <c r="F31" i="6"/>
  <c r="G31" i="6"/>
  <c r="F32" i="6"/>
  <c r="G32" i="6"/>
  <c r="F33" i="6"/>
  <c r="G33" i="6"/>
  <c r="F34" i="6"/>
  <c r="G34" i="6"/>
  <c r="F35" i="6"/>
  <c r="G35" i="6"/>
  <c r="F36" i="6"/>
  <c r="G36" i="6"/>
  <c r="F37" i="6"/>
  <c r="G37" i="6"/>
  <c r="F38" i="6"/>
  <c r="G38" i="6"/>
  <c r="F39" i="6"/>
  <c r="G39" i="6"/>
  <c r="F40" i="6"/>
  <c r="G40" i="6"/>
  <c r="F41" i="6"/>
  <c r="G41" i="6"/>
  <c r="F42" i="6"/>
  <c r="G42" i="6"/>
  <c r="F43" i="6"/>
  <c r="G43" i="6"/>
  <c r="F44" i="6"/>
  <c r="G44" i="6"/>
  <c r="F45" i="6"/>
  <c r="G45" i="6"/>
  <c r="F46" i="6"/>
  <c r="G46" i="6"/>
  <c r="F47" i="6"/>
  <c r="G47" i="6"/>
  <c r="F48" i="6"/>
  <c r="G48" i="6"/>
  <c r="F49" i="6"/>
  <c r="G49" i="6"/>
  <c r="F50" i="6"/>
  <c r="G50" i="6"/>
  <c r="F51" i="6"/>
  <c r="G51" i="6"/>
  <c r="F52" i="6"/>
  <c r="G52" i="6"/>
  <c r="F53" i="6"/>
  <c r="G53" i="6"/>
  <c r="F54" i="6"/>
  <c r="G54" i="6"/>
  <c r="F55" i="6"/>
  <c r="G55" i="6"/>
  <c r="F56" i="6"/>
  <c r="G56" i="6"/>
  <c r="F57" i="6"/>
  <c r="G57" i="6"/>
  <c r="F58" i="6"/>
  <c r="G58" i="6"/>
  <c r="F59" i="6"/>
  <c r="G59" i="6"/>
  <c r="F60" i="6"/>
  <c r="G60" i="6"/>
  <c r="F61" i="6"/>
  <c r="G61" i="6"/>
  <c r="F62" i="6"/>
  <c r="G62" i="6"/>
  <c r="F63" i="6"/>
  <c r="G63" i="6"/>
  <c r="F3" i="6"/>
  <c r="G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3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19" i="6"/>
  <c r="J20" i="6"/>
  <c r="J21" i="6"/>
  <c r="J22" i="6"/>
  <c r="J23" i="6"/>
  <c r="J24" i="6"/>
  <c r="J25" i="6"/>
  <c r="J26" i="6"/>
  <c r="J27" i="6"/>
  <c r="J28" i="6"/>
  <c r="J29" i="6"/>
  <c r="J30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</calcChain>
</file>

<file path=xl/sharedStrings.xml><?xml version="1.0" encoding="utf-8"?>
<sst xmlns="http://schemas.openxmlformats.org/spreadsheetml/2006/main" count="983" uniqueCount="297">
  <si>
    <t>工作计划</t>
  </si>
  <si>
    <t>负责人</t>
  </si>
  <si>
    <t>开始时间</t>
  </si>
  <si>
    <t>结束时间</t>
  </si>
  <si>
    <t>工作日</t>
  </si>
  <si>
    <t>状态</t>
  </si>
  <si>
    <t>延期</t>
  </si>
  <si>
    <t>备注</t>
  </si>
  <si>
    <t>主城设计：环境表现、2个核心建筑</t>
  </si>
  <si>
    <t>王俊坤</t>
  </si>
  <si>
    <t>完成</t>
  </si>
  <si>
    <t>研究所怪物-研究员原画设计</t>
  </si>
  <si>
    <t>刘冰倩</t>
  </si>
  <si>
    <t>研究所怪物-管理员原画设计</t>
  </si>
  <si>
    <t>研究所怪物-操作员原画设计</t>
  </si>
  <si>
    <t>机械工厂怪物-维修工原画设计</t>
  </si>
  <si>
    <t>主城设计（完整版：其余核心建筑）</t>
  </si>
  <si>
    <t>完成（差信息中心，暂停本建筑）</t>
  </si>
  <si>
    <t>v0.1版本UI设计</t>
  </si>
  <si>
    <t>李丹、刘冰倩</t>
  </si>
  <si>
    <t>完成，差新增补充部分</t>
  </si>
  <si>
    <t>研究所BOSS怪物-首席研究官原画设计</t>
  </si>
  <si>
    <t>机械工厂怪物-操作工原画设计</t>
  </si>
  <si>
    <t>机械工厂怪物-工头原画设计</t>
  </si>
  <si>
    <t>机械厂BOSS怪物-电锯男原画设计</t>
  </si>
  <si>
    <t>化工厂怪物-清理员原画设计</t>
  </si>
  <si>
    <t>化工厂怪物-操作员原画设计</t>
  </si>
  <si>
    <t>化工厂BOSS怪物-尖刺男原画设计</t>
  </si>
  <si>
    <t>兵工厂怪物-武器工程师原画设计</t>
  </si>
  <si>
    <t>修改之前的动画</t>
  </si>
  <si>
    <t>李丹</t>
  </si>
  <si>
    <t>机械工厂怪物-工头动作设计</t>
  </si>
  <si>
    <t>——</t>
  </si>
  <si>
    <t>机械工厂怪物-操作工动作设计</t>
  </si>
  <si>
    <t>机械厂BOSS怪物-电锯男动作设计</t>
  </si>
  <si>
    <t>化工厂怪物-清理员动作设计</t>
  </si>
  <si>
    <t>化工厂怪物-操作员动作设计</t>
  </si>
  <si>
    <t>化工厂BOSS怪物-尖刺男动作设计</t>
  </si>
  <si>
    <t>兵工厂怪物-武器工程师动作设计</t>
  </si>
  <si>
    <t>兵工厂怪物-试射手原画设计</t>
  </si>
  <si>
    <t>兵工厂怪物-试射手动作设计</t>
  </si>
  <si>
    <t>兵工厂怪物-男特工原画设计</t>
  </si>
  <si>
    <t>兵工厂怪物-男特工动作设计</t>
  </si>
  <si>
    <t>兵工厂BOSS怪物-利爪战士原画设计</t>
  </si>
  <si>
    <t>兵工厂BOSS怪物-利爪战士动作设计</t>
  </si>
  <si>
    <t>技能特效</t>
  </si>
  <si>
    <t>陷阱动画及特效</t>
  </si>
  <si>
    <t>主城建筑及特效</t>
  </si>
  <si>
    <t>场景表现特效</t>
  </si>
  <si>
    <t>新手地图设计</t>
  </si>
  <si>
    <t>武器动画</t>
  </si>
  <si>
    <t>研究所怪物-研究员动作设计</t>
  </si>
  <si>
    <t>研究所怪物-管理员动作设计</t>
  </si>
  <si>
    <t>研究所怪物-操作员动作设计</t>
  </si>
  <si>
    <t>研究所BOSS怪物-首席研究官动作设计</t>
  </si>
  <si>
    <t>机械工厂怪物-维修工动作设计</t>
  </si>
  <si>
    <t>v0.2版本UI</t>
  </si>
  <si>
    <t>v0.1版本基础上查漏补缺</t>
  </si>
  <si>
    <t>机械厂地图设计</t>
  </si>
  <si>
    <t>化工厂地图设计</t>
  </si>
  <si>
    <t>兵工厂地图设计</t>
  </si>
  <si>
    <t>角色基础属性</t>
  </si>
  <si>
    <t>宋泽明</t>
  </si>
  <si>
    <t>角色扩展属性</t>
  </si>
  <si>
    <t>角色升级</t>
  </si>
  <si>
    <t>装备卸下</t>
  </si>
  <si>
    <t>功能</t>
  </si>
  <si>
    <t>寻路系统</t>
  </si>
  <si>
    <t>王建锋</t>
  </si>
  <si>
    <t>物品叠加</t>
  </si>
  <si>
    <t>物品丢弃</t>
  </si>
  <si>
    <t>背包扩展</t>
  </si>
  <si>
    <t>背包排序</t>
  </si>
  <si>
    <t>装备穿戴</t>
  </si>
  <si>
    <t>1.20</t>
  </si>
  <si>
    <t>优化</t>
  </si>
  <si>
    <t>主动技能</t>
  </si>
  <si>
    <t>被动技能</t>
  </si>
  <si>
    <t>技能学习</t>
  </si>
  <si>
    <t>技能重置</t>
  </si>
  <si>
    <t>仓库存入</t>
  </si>
  <si>
    <t>仓库取出</t>
  </si>
  <si>
    <t>仓库扩展</t>
  </si>
  <si>
    <t>背包物品放入</t>
  </si>
  <si>
    <t>物品购买</t>
  </si>
  <si>
    <t>物品出售</t>
  </si>
  <si>
    <t>商店刷新</t>
  </si>
  <si>
    <t>药品效果</t>
  </si>
  <si>
    <t>药品合成</t>
  </si>
  <si>
    <t>角色移动</t>
  </si>
  <si>
    <t>材料合成</t>
  </si>
  <si>
    <t>部件制作</t>
  </si>
  <si>
    <t>装备部位</t>
  </si>
  <si>
    <t>装备基础属性</t>
  </si>
  <si>
    <t>装备附加属性</t>
  </si>
  <si>
    <t>装备品质</t>
  </si>
  <si>
    <t>装备强化</t>
  </si>
  <si>
    <t>装备升级</t>
  </si>
  <si>
    <t>装备改造</t>
  </si>
  <si>
    <t>副本结构</t>
  </si>
  <si>
    <t>场景切换</t>
  </si>
  <si>
    <t>回城设定</t>
  </si>
  <si>
    <t>进入战斗</t>
  </si>
  <si>
    <t>宝箱功能</t>
  </si>
  <si>
    <t>陷进功能</t>
  </si>
  <si>
    <t>脱离战斗</t>
  </si>
  <si>
    <t>角色死亡</t>
  </si>
  <si>
    <t>角色复活</t>
  </si>
  <si>
    <t>角色逃跑</t>
  </si>
  <si>
    <t>怪物AI</t>
  </si>
  <si>
    <t>技能使用</t>
  </si>
  <si>
    <t>物品使用</t>
  </si>
  <si>
    <t>道具效果</t>
  </si>
  <si>
    <t>胜利结算</t>
  </si>
  <si>
    <t>书籍获得</t>
  </si>
  <si>
    <t>待定</t>
  </si>
  <si>
    <t>充值购买</t>
  </si>
  <si>
    <t>谜题设计</t>
  </si>
  <si>
    <t>怪物图鉴</t>
  </si>
  <si>
    <t>数据统计</t>
  </si>
  <si>
    <t>--</t>
  </si>
  <si>
    <t>任务系统</t>
  </si>
  <si>
    <t>新手引导</t>
  </si>
  <si>
    <t>剧情表现</t>
  </si>
  <si>
    <t>主城功能</t>
  </si>
  <si>
    <t>优化调整</t>
  </si>
  <si>
    <t>待策划确定</t>
    <phoneticPr fontId="4" type="noConversion"/>
  </si>
  <si>
    <t>实际完成时间</t>
    <phoneticPr fontId="4" type="noConversion"/>
  </si>
  <si>
    <t>新手地图设计</t>
    <phoneticPr fontId="4" type="noConversion"/>
  </si>
  <si>
    <t>音频配置</t>
    <phoneticPr fontId="4" type="noConversion"/>
  </si>
  <si>
    <t>离线系统设计</t>
    <phoneticPr fontId="4" type="noConversion"/>
  </si>
  <si>
    <t>任务系统设计</t>
    <phoneticPr fontId="4" type="noConversion"/>
  </si>
  <si>
    <t>薛莲</t>
    <phoneticPr fontId="4" type="noConversion"/>
  </si>
  <si>
    <t>部门</t>
    <phoneticPr fontId="4" type="noConversion"/>
  </si>
  <si>
    <t>【版本号】v0.1     【截止时间】2017年1月20日</t>
    <phoneticPr fontId="4" type="noConversion"/>
  </si>
  <si>
    <t>美术</t>
    <phoneticPr fontId="4" type="noConversion"/>
  </si>
  <si>
    <t>药品及相关材料设计</t>
    <phoneticPr fontId="4" type="noConversion"/>
  </si>
  <si>
    <t>薛莲</t>
    <phoneticPr fontId="4" type="noConversion"/>
  </si>
  <si>
    <t>装备及强化材料设计</t>
    <phoneticPr fontId="4" type="noConversion"/>
  </si>
  <si>
    <t>周睿</t>
    <phoneticPr fontId="4" type="noConversion"/>
  </si>
  <si>
    <t>各系统相关数值1.0版本</t>
    <phoneticPr fontId="4" type="noConversion"/>
  </si>
  <si>
    <t>新手引导1.0版本</t>
    <phoneticPr fontId="4" type="noConversion"/>
  </si>
  <si>
    <t>游戏剧情基础框架</t>
    <phoneticPr fontId="4" type="noConversion"/>
  </si>
  <si>
    <t>游戏剧情相关文案编写</t>
    <phoneticPr fontId="4" type="noConversion"/>
  </si>
  <si>
    <t>技能配置表建设</t>
    <phoneticPr fontId="4" type="noConversion"/>
  </si>
  <si>
    <t>谜题与剧情串联</t>
    <phoneticPr fontId="4" type="noConversion"/>
  </si>
  <si>
    <t>技能表设计</t>
    <phoneticPr fontId="4" type="noConversion"/>
  </si>
  <si>
    <t>陷阱配置设计</t>
    <phoneticPr fontId="4" type="noConversion"/>
  </si>
  <si>
    <t>掉落包设计</t>
    <phoneticPr fontId="4" type="noConversion"/>
  </si>
  <si>
    <t>参考icon配置</t>
    <phoneticPr fontId="4" type="noConversion"/>
  </si>
  <si>
    <t>策划</t>
    <phoneticPr fontId="4" type="noConversion"/>
  </si>
  <si>
    <t>【版本号】v0.2   【截止时间】2017年3月15日</t>
    <phoneticPr fontId="4" type="noConversion"/>
  </si>
  <si>
    <t>周睿</t>
    <phoneticPr fontId="4" type="noConversion"/>
  </si>
  <si>
    <t>美术</t>
    <phoneticPr fontId="4" type="noConversion"/>
  </si>
  <si>
    <t>策划</t>
    <phoneticPr fontId="4" type="noConversion"/>
  </si>
  <si>
    <t>系统验收、体验优化</t>
    <phoneticPr fontId="4" type="noConversion"/>
  </si>
  <si>
    <t>薛莲、周睿</t>
    <phoneticPr fontId="4" type="noConversion"/>
  </si>
  <si>
    <t>持续</t>
    <phoneticPr fontId="4" type="noConversion"/>
  </si>
  <si>
    <t>配合程序、美术查漏补缺</t>
    <phoneticPr fontId="4" type="noConversion"/>
  </si>
  <si>
    <t>完成</t>
    <phoneticPr fontId="4" type="noConversion"/>
  </si>
  <si>
    <t>完成，有BUG</t>
    <phoneticPr fontId="4" type="noConversion"/>
  </si>
  <si>
    <t>完成，待验收</t>
    <phoneticPr fontId="4" type="noConversion"/>
  </si>
  <si>
    <t>完成怪物（年后完成余下部分）</t>
    <phoneticPr fontId="4" type="noConversion"/>
  </si>
  <si>
    <t>完成经验、金钱（年后完成余下部分）</t>
    <phoneticPr fontId="4" type="noConversion"/>
  </si>
  <si>
    <t>程序</t>
    <phoneticPr fontId="4" type="noConversion"/>
  </si>
  <si>
    <t>角色基础属性</t>
    <phoneticPr fontId="4" type="noConversion"/>
  </si>
  <si>
    <t>宋泽明</t>
    <phoneticPr fontId="4" type="noConversion"/>
  </si>
  <si>
    <t>寻路系统</t>
    <phoneticPr fontId="4" type="noConversion"/>
  </si>
  <si>
    <t>王建锋</t>
    <phoneticPr fontId="4" type="noConversion"/>
  </si>
  <si>
    <t>角色扩展属性</t>
    <phoneticPr fontId="4" type="noConversion"/>
  </si>
  <si>
    <t>角色升级</t>
    <phoneticPr fontId="4" type="noConversion"/>
  </si>
  <si>
    <t>装备卸下</t>
    <phoneticPr fontId="4" type="noConversion"/>
  </si>
  <si>
    <t>主动技能</t>
    <phoneticPr fontId="4" type="noConversion"/>
  </si>
  <si>
    <t>角色移动</t>
    <phoneticPr fontId="4" type="noConversion"/>
  </si>
  <si>
    <t>被动技能</t>
    <phoneticPr fontId="4" type="noConversion"/>
  </si>
  <si>
    <t>技能学习</t>
    <phoneticPr fontId="4" type="noConversion"/>
  </si>
  <si>
    <t>进入战斗</t>
    <phoneticPr fontId="4" type="noConversion"/>
  </si>
  <si>
    <t>技能重置</t>
    <phoneticPr fontId="4" type="noConversion"/>
  </si>
  <si>
    <t>装备穿戴</t>
    <phoneticPr fontId="4" type="noConversion"/>
  </si>
  <si>
    <t>脱离战斗</t>
    <phoneticPr fontId="4" type="noConversion"/>
  </si>
  <si>
    <t>药品合成</t>
    <phoneticPr fontId="4" type="noConversion"/>
  </si>
  <si>
    <t>角色死亡</t>
    <phoneticPr fontId="4" type="noConversion"/>
  </si>
  <si>
    <t>材料合成</t>
    <phoneticPr fontId="4" type="noConversion"/>
  </si>
  <si>
    <t>物品叠加</t>
    <phoneticPr fontId="4" type="noConversion"/>
  </si>
  <si>
    <t>物品丢弃</t>
    <phoneticPr fontId="4" type="noConversion"/>
  </si>
  <si>
    <t>部件制作</t>
    <phoneticPr fontId="4" type="noConversion"/>
  </si>
  <si>
    <t>背包排序</t>
    <phoneticPr fontId="4" type="noConversion"/>
  </si>
  <si>
    <t>背包扩展</t>
    <phoneticPr fontId="4" type="noConversion"/>
  </si>
  <si>
    <t>装备部位</t>
    <phoneticPr fontId="4" type="noConversion"/>
  </si>
  <si>
    <t>角色复活</t>
    <phoneticPr fontId="4" type="noConversion"/>
  </si>
  <si>
    <t>装备基础属性</t>
    <phoneticPr fontId="4" type="noConversion"/>
  </si>
  <si>
    <t>装备附加属性</t>
    <phoneticPr fontId="4" type="noConversion"/>
  </si>
  <si>
    <t>角色逃跑</t>
    <phoneticPr fontId="4" type="noConversion"/>
  </si>
  <si>
    <t>装备品质</t>
    <phoneticPr fontId="4" type="noConversion"/>
  </si>
  <si>
    <t>装备强化</t>
    <phoneticPr fontId="4" type="noConversion"/>
  </si>
  <si>
    <t>场景切换</t>
    <phoneticPr fontId="4" type="noConversion"/>
  </si>
  <si>
    <t>装备升级</t>
    <phoneticPr fontId="4" type="noConversion"/>
  </si>
  <si>
    <t>装备改造</t>
    <phoneticPr fontId="4" type="noConversion"/>
  </si>
  <si>
    <t>副本结构</t>
    <phoneticPr fontId="4" type="noConversion"/>
  </si>
  <si>
    <t>胜利结算</t>
    <phoneticPr fontId="4" type="noConversion"/>
  </si>
  <si>
    <t>版本号</t>
    <phoneticPr fontId="4" type="noConversion"/>
  </si>
  <si>
    <t>版本目的</t>
    <phoneticPr fontId="4" type="noConversion"/>
  </si>
  <si>
    <t>完成情况</t>
    <phoneticPr fontId="4" type="noConversion"/>
  </si>
  <si>
    <t>说明</t>
    <phoneticPr fontId="4" type="noConversion"/>
  </si>
  <si>
    <t>v0.2</t>
  </si>
  <si>
    <t>v0.3</t>
  </si>
  <si>
    <t>执行时间</t>
    <phoneticPr fontId="4" type="noConversion"/>
  </si>
  <si>
    <t>2016.12.09 - 2017.01.23</t>
    <phoneticPr fontId="4" type="noConversion"/>
  </si>
  <si>
    <t>薛莲</t>
    <phoneticPr fontId="4" type="noConversion"/>
  </si>
  <si>
    <t>统计系统设计</t>
    <phoneticPr fontId="4" type="noConversion"/>
  </si>
  <si>
    <t>UI导入</t>
  </si>
  <si>
    <t>loading加载1</t>
  </si>
  <si>
    <t>loading加载2</t>
  </si>
  <si>
    <t>待定</t>
    <phoneticPr fontId="4" type="noConversion"/>
  </si>
  <si>
    <t>传送时用</t>
    <phoneticPr fontId="4" type="noConversion"/>
  </si>
  <si>
    <t>进入游戏载入进度用</t>
    <phoneticPr fontId="4" type="noConversion"/>
  </si>
  <si>
    <t>掉落</t>
    <phoneticPr fontId="4" type="noConversion"/>
  </si>
  <si>
    <t>传送、宝箱、陷阱等</t>
    <phoneticPr fontId="4" type="noConversion"/>
  </si>
  <si>
    <t>暂定</t>
    <phoneticPr fontId="4" type="noConversion"/>
  </si>
  <si>
    <t>策划</t>
    <phoneticPr fontId="4" type="noConversion"/>
  </si>
  <si>
    <t>程序</t>
    <phoneticPr fontId="4" type="noConversion"/>
  </si>
  <si>
    <t>陷阱功能</t>
    <phoneticPr fontId="4" type="noConversion"/>
  </si>
  <si>
    <t>李丹提前准备1-2个陷阱动画特效</t>
    <phoneticPr fontId="4" type="noConversion"/>
  </si>
  <si>
    <t>李丹提前准备1-2个技能动画特效</t>
    <phoneticPr fontId="4" type="noConversion"/>
  </si>
  <si>
    <t>美术</t>
  </si>
  <si>
    <t>实际工作日</t>
    <phoneticPr fontId="4" type="noConversion"/>
  </si>
  <si>
    <t>游戏相关图标230+个，武器设计</t>
    <phoneticPr fontId="4" type="noConversion"/>
  </si>
  <si>
    <t>放假日期</t>
    <phoneticPr fontId="4" type="noConversion"/>
  </si>
  <si>
    <t>调整工作</t>
    <phoneticPr fontId="4" type="noConversion"/>
  </si>
  <si>
    <t>——</t>
    <phoneticPr fontId="4" type="noConversion"/>
  </si>
  <si>
    <t>——</t>
    <phoneticPr fontId="4" type="noConversion"/>
  </si>
  <si>
    <t>实际工作日</t>
    <phoneticPr fontId="4" type="noConversion"/>
  </si>
  <si>
    <t>——</t>
    <phoneticPr fontId="4" type="noConversion"/>
  </si>
  <si>
    <t>1-20级武器</t>
    <phoneticPr fontId="4" type="noConversion"/>
  </si>
  <si>
    <t>25-50级装备除外</t>
    <phoneticPr fontId="4" type="noConversion"/>
  </si>
  <si>
    <t>美术</t>
    <phoneticPr fontId="4" type="noConversion"/>
  </si>
  <si>
    <t>王俊坤</t>
    <phoneticPr fontId="4" type="noConversion"/>
  </si>
  <si>
    <t>与王俊坤配合同步完成优化</t>
    <phoneticPr fontId="4" type="noConversion"/>
  </si>
  <si>
    <t>医院、研究所正式配置、与优化</t>
    <phoneticPr fontId="4" type="noConversion"/>
  </si>
  <si>
    <t>男女主角、通用怪物（男女市民、保安、变异犬）、医院怪物</t>
    <phoneticPr fontId="4" type="noConversion"/>
  </si>
  <si>
    <t>按照商业游戏的标准，制作并完成一个包含全部功能的版本：
1.程序完成游戏中所有功能，并根据实际进行优化调整
2.美术1-20级所有资源（地图、怪物、动画、特效等），并根据实际进行优化调整
3.策划设计并验收功能、资源，并进行各种优化调整</t>
    <phoneticPr fontId="4" type="noConversion"/>
  </si>
  <si>
    <t>以v0.2为基础，完成以下工作：
1.策划完成新功能设计方案，持续对v0.2调优
2.程序完成新功能级v0.2调优及bug修复，加入计费设计
3.美术完成后续资源补充（补充量视v0.2情况待定）</t>
    <phoneticPr fontId="4" type="noConversion"/>
  </si>
  <si>
    <t>完成</t>
    <phoneticPr fontId="4" type="noConversion"/>
  </si>
  <si>
    <t>2017.02.04完成</t>
    <phoneticPr fontId="4" type="noConversion"/>
  </si>
  <si>
    <t>——</t>
    <phoneticPr fontId="4" type="noConversion"/>
  </si>
  <si>
    <t>边做边导，持续进行</t>
    <phoneticPr fontId="4" type="noConversion"/>
  </si>
  <si>
    <t>与薛莲同步完成</t>
    <phoneticPr fontId="4" type="noConversion"/>
  </si>
  <si>
    <t>医院、研究所、主城、新手地图优化</t>
    <phoneticPr fontId="4" type="noConversion"/>
  </si>
  <si>
    <t>完成初步配置，后期根据效果调整</t>
    <phoneticPr fontId="4" type="noConversion"/>
  </si>
  <si>
    <t>【版本号】v0.3【截止时间】待定</t>
    <phoneticPr fontId="4" type="noConversion"/>
  </si>
  <si>
    <t>部门</t>
    <phoneticPr fontId="4" type="noConversion"/>
  </si>
  <si>
    <t>实际工作日</t>
    <phoneticPr fontId="4" type="noConversion"/>
  </si>
  <si>
    <t>实际完成时间</t>
    <phoneticPr fontId="4" type="noConversion"/>
  </si>
  <si>
    <t>——</t>
    <phoneticPr fontId="4" type="noConversion"/>
  </si>
  <si>
    <t>张荣华</t>
  </si>
  <si>
    <t>医院怪物-护士动作设计</t>
    <phoneticPr fontId="4" type="noConversion"/>
  </si>
  <si>
    <t>医院怪物-手术医师动作设计</t>
    <phoneticPr fontId="4" type="noConversion"/>
  </si>
  <si>
    <t>医院怪物-病人动作设计</t>
    <phoneticPr fontId="4" type="noConversion"/>
  </si>
  <si>
    <t>医院怪物-屠夫动作设计</t>
    <phoneticPr fontId="4" type="noConversion"/>
  </si>
  <si>
    <t>机械工厂怪物-工头动作设计</t>
    <phoneticPr fontId="4" type="noConversion"/>
  </si>
  <si>
    <t>20级以后武器、20级以后所有装备图标</t>
    <phoneticPr fontId="4" type="noConversion"/>
  </si>
  <si>
    <t>程序</t>
    <phoneticPr fontId="4" type="noConversion"/>
  </si>
  <si>
    <t>2017.02.04完成</t>
    <phoneticPr fontId="4" type="noConversion"/>
  </si>
  <si>
    <t>传送时用</t>
    <phoneticPr fontId="4" type="noConversion"/>
  </si>
  <si>
    <t>程序</t>
    <phoneticPr fontId="4" type="noConversion"/>
  </si>
  <si>
    <t>——</t>
    <phoneticPr fontId="4" type="noConversion"/>
  </si>
  <si>
    <t>进入游戏载入进度用</t>
    <phoneticPr fontId="4" type="noConversion"/>
  </si>
  <si>
    <t>待定</t>
    <phoneticPr fontId="4" type="noConversion"/>
  </si>
  <si>
    <t>郭云明</t>
  </si>
  <si>
    <t>陷阱功能</t>
    <phoneticPr fontId="4" type="noConversion"/>
  </si>
  <si>
    <r>
      <rPr>
        <b/>
        <sz val="10"/>
        <color rgb="FFFF0000"/>
        <rFont val="DengXian"/>
        <family val="3"/>
        <charset val="134"/>
        <scheme val="minor"/>
      </rPr>
      <t>张荣华</t>
    </r>
    <r>
      <rPr>
        <sz val="10"/>
        <color theme="1"/>
        <rFont val="DengXian"/>
        <family val="3"/>
        <charset val="134"/>
        <scheme val="minor"/>
      </rPr>
      <t>提前准备1-2个陷阱动画特效</t>
    </r>
    <phoneticPr fontId="4" type="noConversion"/>
  </si>
  <si>
    <r>
      <rPr>
        <b/>
        <sz val="10"/>
        <color rgb="FFFF0000"/>
        <rFont val="DengXian"/>
        <family val="3"/>
        <charset val="134"/>
        <scheme val="minor"/>
      </rPr>
      <t>张荣华</t>
    </r>
    <r>
      <rPr>
        <sz val="10"/>
        <color theme="1"/>
        <rFont val="DengXian"/>
        <family val="3"/>
        <charset val="134"/>
        <scheme val="minor"/>
      </rPr>
      <t>提前准备1-2个技能动画特效</t>
    </r>
    <phoneticPr fontId="4" type="noConversion"/>
  </si>
  <si>
    <t>掉落</t>
    <phoneticPr fontId="4" type="noConversion"/>
  </si>
  <si>
    <t>传送、宝箱、陷阱等</t>
    <phoneticPr fontId="4" type="noConversion"/>
  </si>
  <si>
    <t>暂定</t>
    <phoneticPr fontId="4" type="noConversion"/>
  </si>
  <si>
    <t>美术</t>
    <phoneticPr fontId="4" type="noConversion"/>
  </si>
  <si>
    <t>策划</t>
    <phoneticPr fontId="4" type="noConversion"/>
  </si>
  <si>
    <t>系统验收、体验优化</t>
    <phoneticPr fontId="4" type="noConversion"/>
  </si>
  <si>
    <t>薛莲、周睿</t>
    <phoneticPr fontId="4" type="noConversion"/>
  </si>
  <si>
    <t>持续</t>
    <phoneticPr fontId="4" type="noConversion"/>
  </si>
  <si>
    <t>配合程序、美术查漏补缺</t>
    <phoneticPr fontId="4" type="noConversion"/>
  </si>
  <si>
    <t>v0.1</t>
    <phoneticPr fontId="4" type="noConversion"/>
  </si>
  <si>
    <t>在忽略严重BUG的基础上，完成部分核心功能的设计：
1.策划完成核心功能设计方案、数值
2.程序完成角色、装备、战斗及其他核心功能基础构架
3.美术根据程序功能开发提供对应技术规格的美术资源</t>
    <phoneticPr fontId="4" type="noConversion"/>
  </si>
  <si>
    <t>1.部分功能功能因为配置原因有待验收
2.部分功能完成部分，需要在下个版本完结
3.部分美术资源制作方式需要调整</t>
    <phoneticPr fontId="4" type="noConversion"/>
  </si>
  <si>
    <t>2017.02.03 - 2017.03.15</t>
    <phoneticPr fontId="4" type="noConversion"/>
  </si>
  <si>
    <t>暂停</t>
    <phoneticPr fontId="4" type="noConversion"/>
  </si>
  <si>
    <t>因泸州大贰项目开发资源调用，本版本暂停开发</t>
    <phoneticPr fontId="4" type="noConversion"/>
  </si>
  <si>
    <t>2017.03.16 - 2017.04.30</t>
    <phoneticPr fontId="4" type="noConversion"/>
  </si>
  <si>
    <t>进行中</t>
    <phoneticPr fontId="4" type="noConversion"/>
  </si>
  <si>
    <t>期间部分美术已经完成，不收录在版本中</t>
    <phoneticPr fontId="4" type="noConversion"/>
  </si>
  <si>
    <t>宋泽明</t>
    <rPh sb="0" eb="1">
      <t>song'ze'm</t>
    </rPh>
    <phoneticPr fontId="4" type="noConversion"/>
  </si>
  <si>
    <t>宋泽明</t>
    <rPh sb="0" eb="1">
      <t>song</t>
    </rPh>
    <rPh sb="1" eb="2">
      <t>ze</t>
    </rPh>
    <rPh sb="2" eb="3">
      <t>ming</t>
    </rPh>
    <phoneticPr fontId="4" type="noConversion"/>
  </si>
  <si>
    <t>男主角动作</t>
    <phoneticPr fontId="4" type="noConversion"/>
  </si>
  <si>
    <t>女主角动作</t>
    <phoneticPr fontId="4" type="noConversion"/>
  </si>
  <si>
    <r>
      <t>详见Space_project/design/系统设计/</t>
    </r>
    <r>
      <rPr>
        <b/>
        <sz val="10"/>
        <color theme="1"/>
        <rFont val="DengXian"/>
        <charset val="134"/>
        <scheme val="minor"/>
      </rPr>
      <t>系统表现动画.xlsx</t>
    </r>
    <phoneticPr fontId="4" type="noConversion"/>
  </si>
  <si>
    <t>喻永霞</t>
    <phoneticPr fontId="4" type="noConversion"/>
  </si>
  <si>
    <t>详见---------------------------------------&gt;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</si>
</sst>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[$-F800]dddd\,\ mmmm\ dd\,\ yyyy"/>
    <numFmt numFmtId="177" formatCode="yyyy&quot;年&quot;m&quot;月&quot;d&quot;日&quot;;@"/>
    <numFmt numFmtId="178" formatCode="0_);[Red]\(0\)"/>
  </numFmts>
  <fonts count="8">
    <font>
      <sz val="11"/>
      <color theme="1"/>
      <name val="DengXian"/>
      <charset val="134"/>
      <scheme val="minor"/>
    </font>
    <font>
      <sz val="10"/>
      <color theme="1"/>
      <name val="DengXian"/>
      <family val="3"/>
      <charset val="134"/>
      <scheme val="minor"/>
    </font>
    <font>
      <sz val="10"/>
      <color theme="1"/>
      <name val="DengXian"/>
      <family val="3"/>
      <charset val="134"/>
      <scheme val="minor"/>
    </font>
    <font>
      <b/>
      <sz val="10"/>
      <color theme="1"/>
      <name val="DengXian"/>
      <family val="3"/>
      <charset val="134"/>
      <scheme val="minor"/>
    </font>
    <font>
      <sz val="9"/>
      <name val="DengXian"/>
      <family val="3"/>
      <charset val="134"/>
      <scheme val="minor"/>
    </font>
    <font>
      <b/>
      <sz val="10"/>
      <color rgb="FFFF0000"/>
      <name val="DengXian"/>
      <family val="3"/>
      <charset val="134"/>
      <scheme val="minor"/>
    </font>
    <font>
      <b/>
      <sz val="10"/>
      <color rgb="FF00B0F0"/>
      <name val="DengXian"/>
      <family val="3"/>
      <charset val="134"/>
      <scheme val="minor"/>
    </font>
    <font>
      <b/>
      <sz val="10"/>
      <color theme="1"/>
      <name val="DengXian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</fills>
  <borders count="7">
    <border>
      <left/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</borders>
  <cellStyleXfs count="1">
    <xf numFmtId="176" fontId="0" fillId="0" borderId="0"/>
  </cellStyleXfs>
  <cellXfs count="74">
    <xf numFmtId="176" fontId="0" fillId="0" borderId="0" xfId="0"/>
    <xf numFmtId="176" fontId="1" fillId="2" borderId="1" xfId="0" applyFont="1" applyFill="1" applyBorder="1"/>
    <xf numFmtId="176" fontId="1" fillId="2" borderId="2" xfId="0" applyFont="1" applyFill="1" applyBorder="1"/>
    <xf numFmtId="176" fontId="1" fillId="3" borderId="2" xfId="0" applyFont="1" applyFill="1" applyBorder="1"/>
    <xf numFmtId="176" fontId="1" fillId="3" borderId="3" xfId="0" applyFont="1" applyFill="1" applyBorder="1"/>
    <xf numFmtId="176" fontId="1" fillId="3" borderId="0" xfId="0" applyFont="1" applyFill="1" applyBorder="1"/>
    <xf numFmtId="176" fontId="1" fillId="2" borderId="0" xfId="0" applyFont="1" applyFill="1" applyBorder="1"/>
    <xf numFmtId="176" fontId="1" fillId="0" borderId="1" xfId="0" applyFont="1" applyBorder="1"/>
    <xf numFmtId="176" fontId="1" fillId="0" borderId="2" xfId="0" applyFont="1" applyBorder="1"/>
    <xf numFmtId="176" fontId="1" fillId="0" borderId="3" xfId="0" applyFont="1" applyBorder="1"/>
    <xf numFmtId="176" fontId="1" fillId="3" borderId="1" xfId="0" applyFont="1" applyFill="1" applyBorder="1"/>
    <xf numFmtId="176" fontId="2" fillId="0" borderId="1" xfId="0" applyFont="1" applyBorder="1"/>
    <xf numFmtId="176" fontId="2" fillId="0" borderId="3" xfId="0" applyFont="1" applyBorder="1"/>
    <xf numFmtId="176" fontId="1" fillId="0" borderId="0" xfId="0" applyFont="1" applyFill="1" applyBorder="1"/>
    <xf numFmtId="176" fontId="1" fillId="2" borderId="3" xfId="0" applyFont="1" applyFill="1" applyBorder="1"/>
    <xf numFmtId="176" fontId="1" fillId="4" borderId="2" xfId="0" applyFont="1" applyFill="1" applyBorder="1"/>
    <xf numFmtId="176" fontId="1" fillId="4" borderId="3" xfId="0" applyFont="1" applyFill="1" applyBorder="1"/>
    <xf numFmtId="176" fontId="1" fillId="4" borderId="1" xfId="0" applyFont="1" applyFill="1" applyBorder="1"/>
    <xf numFmtId="176" fontId="2" fillId="0" borderId="4" xfId="0" applyFont="1" applyBorder="1"/>
    <xf numFmtId="176" fontId="1" fillId="0" borderId="4" xfId="0" applyFont="1" applyBorder="1"/>
    <xf numFmtId="176" fontId="1" fillId="0" borderId="2" xfId="0" applyFont="1" applyFill="1" applyBorder="1"/>
    <xf numFmtId="176" fontId="0" fillId="0" borderId="0" xfId="0" applyNumberFormat="1"/>
    <xf numFmtId="49" fontId="0" fillId="0" borderId="0" xfId="0" applyNumberFormat="1"/>
    <xf numFmtId="176" fontId="0" fillId="2" borderId="0" xfId="0" applyNumberFormat="1" applyFill="1"/>
    <xf numFmtId="14" fontId="0" fillId="0" borderId="0" xfId="0" applyNumberFormat="1"/>
    <xf numFmtId="176" fontId="1" fillId="0" borderId="0" xfId="0" applyFont="1"/>
    <xf numFmtId="177" fontId="1" fillId="0" borderId="0" xfId="0" applyNumberFormat="1" applyFont="1"/>
    <xf numFmtId="176" fontId="1" fillId="0" borderId="0" xfId="0" applyFont="1" applyAlignment="1">
      <alignment horizontal="center" vertical="center"/>
    </xf>
    <xf numFmtId="178" fontId="1" fillId="0" borderId="0" xfId="0" applyNumberFormat="1" applyFont="1"/>
    <xf numFmtId="176" fontId="1" fillId="0" borderId="5" xfId="0" applyFont="1" applyBorder="1"/>
    <xf numFmtId="176" fontId="1" fillId="0" borderId="5" xfId="0" applyFont="1" applyBorder="1" applyAlignment="1">
      <alignment horizontal="center" vertical="center"/>
    </xf>
    <xf numFmtId="177" fontId="1" fillId="0" borderId="5" xfId="0" applyNumberFormat="1" applyFont="1" applyBorder="1" applyAlignment="1">
      <alignment horizontal="center" vertical="center"/>
    </xf>
    <xf numFmtId="176" fontId="1" fillId="0" borderId="0" xfId="0" applyFont="1" applyBorder="1" applyAlignment="1">
      <alignment horizontal="center" vertical="center"/>
    </xf>
    <xf numFmtId="176" fontId="1" fillId="0" borderId="0" xfId="0" applyFont="1" applyBorder="1"/>
    <xf numFmtId="177" fontId="1" fillId="0" borderId="0" xfId="0" applyNumberFormat="1" applyFont="1" applyBorder="1" applyAlignment="1">
      <alignment horizontal="center" vertical="center"/>
    </xf>
    <xf numFmtId="176" fontId="0" fillId="0" borderId="0" xfId="0" quotePrefix="1"/>
    <xf numFmtId="176" fontId="1" fillId="0" borderId="0" xfId="0" applyNumberFormat="1" applyFont="1" applyBorder="1" applyAlignment="1">
      <alignment horizontal="center" vertical="center"/>
    </xf>
    <xf numFmtId="176" fontId="3" fillId="3" borderId="6" xfId="0" applyFont="1" applyFill="1" applyBorder="1" applyAlignment="1">
      <alignment horizontal="center" vertical="center"/>
    </xf>
    <xf numFmtId="177" fontId="3" fillId="3" borderId="6" xfId="0" applyNumberFormat="1" applyFont="1" applyFill="1" applyBorder="1" applyAlignment="1">
      <alignment horizontal="center" vertical="center"/>
    </xf>
    <xf numFmtId="176" fontId="3" fillId="5" borderId="0" xfId="0" applyFont="1" applyFill="1" applyAlignment="1">
      <alignment vertical="center" wrapText="1"/>
    </xf>
    <xf numFmtId="176" fontId="1" fillId="0" borderId="0" xfId="0" applyFont="1" applyAlignment="1">
      <alignment horizontal="left" vertical="center"/>
    </xf>
    <xf numFmtId="176" fontId="1" fillId="0" borderId="0" xfId="0" applyFont="1" applyAlignment="1">
      <alignment horizontal="left" vertical="center" wrapText="1"/>
    </xf>
    <xf numFmtId="9" fontId="1" fillId="0" borderId="0" xfId="0" applyNumberFormat="1" applyFont="1" applyAlignment="1">
      <alignment horizontal="left" vertical="center"/>
    </xf>
    <xf numFmtId="176" fontId="1" fillId="6" borderId="0" xfId="0" applyFont="1" applyFill="1" applyAlignment="1">
      <alignment horizontal="left" vertical="center"/>
    </xf>
    <xf numFmtId="176" fontId="1" fillId="0" borderId="0" xfId="0" applyFont="1" applyBorder="1" applyAlignment="1">
      <alignment horizontal="left" vertical="center"/>
    </xf>
    <xf numFmtId="176" fontId="1" fillId="0" borderId="0" xfId="0" applyNumberFormat="1" applyFont="1"/>
    <xf numFmtId="176" fontId="3" fillId="6" borderId="0" xfId="0" applyFont="1" applyFill="1" applyAlignment="1">
      <alignment horizontal="center" vertical="center"/>
    </xf>
    <xf numFmtId="176" fontId="5" fillId="0" borderId="0" xfId="0" applyFont="1" applyBorder="1" applyAlignment="1">
      <alignment horizontal="center" vertical="center"/>
    </xf>
    <xf numFmtId="176" fontId="5" fillId="0" borderId="5" xfId="0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0" fontId="5" fillId="0" borderId="0" xfId="0" applyNumberFormat="1" applyFont="1" applyBorder="1" applyAlignment="1">
      <alignment horizontal="center" vertical="center"/>
    </xf>
    <xf numFmtId="0" fontId="6" fillId="6" borderId="0" xfId="0" applyNumberFormat="1" applyFont="1" applyFill="1" applyBorder="1" applyAlignment="1">
      <alignment horizontal="center" vertical="center"/>
    </xf>
    <xf numFmtId="176" fontId="6" fillId="6" borderId="0" xfId="0" applyFont="1" applyFill="1" applyBorder="1" applyAlignment="1">
      <alignment horizontal="center" vertical="center"/>
    </xf>
    <xf numFmtId="176" fontId="6" fillId="6" borderId="0" xfId="0" applyFont="1" applyFill="1" applyBorder="1"/>
    <xf numFmtId="176" fontId="6" fillId="6" borderId="0" xfId="0" applyNumberFormat="1" applyFont="1" applyFill="1" applyBorder="1" applyAlignment="1">
      <alignment horizontal="center" vertical="center"/>
    </xf>
    <xf numFmtId="177" fontId="6" fillId="6" borderId="0" xfId="0" applyNumberFormat="1" applyFont="1" applyFill="1" applyBorder="1" applyAlignment="1">
      <alignment horizontal="center" vertical="center"/>
    </xf>
    <xf numFmtId="176" fontId="6" fillId="6" borderId="0" xfId="0" applyFont="1" applyFill="1" applyBorder="1" applyAlignment="1">
      <alignment horizontal="left" vertical="center"/>
    </xf>
    <xf numFmtId="0" fontId="6" fillId="0" borderId="0" xfId="0" applyNumberFormat="1" applyFont="1" applyBorder="1" applyAlignment="1">
      <alignment horizontal="center" vertical="center"/>
    </xf>
    <xf numFmtId="176" fontId="6" fillId="0" borderId="0" xfId="0" applyFont="1" applyBorder="1" applyAlignment="1">
      <alignment horizontal="center" vertical="center"/>
    </xf>
    <xf numFmtId="176" fontId="6" fillId="0" borderId="0" xfId="0" applyFont="1" applyBorder="1"/>
    <xf numFmtId="176" fontId="6" fillId="0" borderId="0" xfId="0" applyNumberFormat="1" applyFont="1" applyBorder="1" applyAlignment="1">
      <alignment horizontal="center" vertical="center"/>
    </xf>
    <xf numFmtId="177" fontId="6" fillId="0" borderId="0" xfId="0" applyNumberFormat="1" applyFont="1" applyBorder="1" applyAlignment="1">
      <alignment horizontal="center" vertical="center"/>
    </xf>
    <xf numFmtId="176" fontId="6" fillId="0" borderId="0" xfId="0" applyFont="1" applyBorder="1" applyAlignment="1">
      <alignment horizontal="left" vertical="center"/>
    </xf>
    <xf numFmtId="176" fontId="3" fillId="0" borderId="0" xfId="0" applyFont="1" applyBorder="1" applyAlignment="1">
      <alignment horizontal="left" vertical="center"/>
    </xf>
    <xf numFmtId="176" fontId="3" fillId="0" borderId="0" xfId="0" applyFont="1" applyBorder="1"/>
    <xf numFmtId="176" fontId="1" fillId="0" borderId="0" xfId="0" applyFont="1" applyBorder="1" applyAlignment="1">
      <alignment horizontal="left" vertical="center"/>
    </xf>
    <xf numFmtId="176" fontId="1" fillId="0" borderId="0" xfId="0" applyFont="1" applyBorder="1" applyAlignment="1">
      <alignment horizontal="left" vertical="center"/>
    </xf>
    <xf numFmtId="176" fontId="1" fillId="0" borderId="0" xfId="0" applyFont="1" applyAlignment="1">
      <alignment vertical="center" wrapText="1"/>
    </xf>
    <xf numFmtId="176" fontId="1" fillId="0" borderId="0" xfId="0" applyFont="1" applyBorder="1" applyAlignment="1">
      <alignment horizontal="left" vertical="center"/>
    </xf>
    <xf numFmtId="178" fontId="5" fillId="0" borderId="0" xfId="0" applyNumberFormat="1" applyFont="1" applyBorder="1" applyAlignment="1">
      <alignment horizontal="center" vertical="center"/>
    </xf>
    <xf numFmtId="176" fontId="3" fillId="5" borderId="0" xfId="0" applyFont="1" applyFill="1" applyAlignment="1">
      <alignment horizontal="left" vertical="center" wrapText="1"/>
    </xf>
    <xf numFmtId="176" fontId="1" fillId="0" borderId="0" xfId="0" applyFont="1" applyBorder="1" applyAlignment="1">
      <alignment horizontal="left" vertical="center"/>
    </xf>
    <xf numFmtId="176" fontId="0" fillId="0" borderId="0" xfId="0" applyAlignment="1">
      <alignment horizontal="center"/>
    </xf>
    <xf numFmtId="176" fontId="0" fillId="0" borderId="0" xfId="0" applyAlignment="1">
      <alignment horizontal="center" vertical="center"/>
    </xf>
  </cellXfs>
  <cellStyles count="1">
    <cellStyle name="常规" xfId="0" builtinId="0"/>
  </cellStyles>
  <dxfs count="308"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6" tint="0.39991454817346722"/>
        </patternFill>
      </fill>
    </dxf>
    <dxf>
      <fill>
        <patternFill patternType="solid">
          <bgColor theme="1" tint="0.499984740745262"/>
        </patternFill>
      </fill>
    </dxf>
    <dxf>
      <fill>
        <patternFill patternType="none"/>
      </fill>
    </dxf>
    <dxf>
      <fill>
        <patternFill patternType="none"/>
      </fill>
    </dxf>
  </dxfs>
  <tableStyles count="0" defaultTableStyle="TableStyleMedium2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3676650</xdr:colOff>
      <xdr:row>14</xdr:row>
      <xdr:rowOff>0</xdr:rowOff>
    </xdr:from>
    <xdr:to>
      <xdr:col>17</xdr:col>
      <xdr:colOff>104231</xdr:colOff>
      <xdr:row>36</xdr:row>
      <xdr:rowOff>75771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02000" y="2143125"/>
          <a:ext cx="4352381" cy="34285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"/>
  <sheetViews>
    <sheetView workbookViewId="0">
      <selection activeCell="D22" sqref="D22"/>
    </sheetView>
  </sheetViews>
  <sheetFormatPr defaultColWidth="8.875" defaultRowHeight="12"/>
  <cols>
    <col min="1" max="1" width="8.875" style="40"/>
    <col min="2" max="2" width="67.375" style="40" customWidth="1"/>
    <col min="3" max="3" width="26.5" style="40" customWidth="1"/>
    <col min="4" max="4" width="8.875" style="40"/>
    <col min="5" max="5" width="48" style="40" customWidth="1"/>
    <col min="6" max="16384" width="8.875" style="40"/>
  </cols>
  <sheetData>
    <row r="1" spans="1:5">
      <c r="A1" s="43" t="s">
        <v>200</v>
      </c>
      <c r="B1" s="43" t="s">
        <v>201</v>
      </c>
      <c r="C1" s="43" t="s">
        <v>206</v>
      </c>
      <c r="D1" s="43" t="s">
        <v>202</v>
      </c>
      <c r="E1" s="43" t="s">
        <v>203</v>
      </c>
    </row>
    <row r="2" spans="1:5" ht="48">
      <c r="A2" s="40" t="s">
        <v>281</v>
      </c>
      <c r="B2" s="41" t="s">
        <v>282</v>
      </c>
      <c r="C2" s="41" t="s">
        <v>207</v>
      </c>
      <c r="D2" s="42">
        <v>0.9</v>
      </c>
      <c r="E2" s="41" t="s">
        <v>283</v>
      </c>
    </row>
    <row r="3" spans="1:5" ht="48">
      <c r="A3" s="40" t="s">
        <v>204</v>
      </c>
      <c r="B3" s="41" t="s">
        <v>240</v>
      </c>
      <c r="C3" s="41" t="s">
        <v>284</v>
      </c>
      <c r="D3" s="40" t="s">
        <v>285</v>
      </c>
      <c r="E3" s="40" t="s">
        <v>286</v>
      </c>
    </row>
    <row r="4" spans="1:5" ht="48">
      <c r="A4" s="40" t="s">
        <v>205</v>
      </c>
      <c r="B4" s="41" t="s">
        <v>241</v>
      </c>
      <c r="C4" s="40" t="s">
        <v>287</v>
      </c>
      <c r="D4" s="40" t="s">
        <v>288</v>
      </c>
      <c r="E4" s="40" t="s">
        <v>289</v>
      </c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 tint="-0.499984740745262"/>
  </sheetPr>
  <dimension ref="A1:K68"/>
  <sheetViews>
    <sheetView workbookViewId="0">
      <pane xSplit="3" ySplit="2" topLeftCell="D18" activePane="bottomRight" state="frozen"/>
      <selection pane="topRight" activeCell="C1" sqref="C1"/>
      <selection pane="bottomLeft" activeCell="A3" sqref="A3"/>
      <selection pane="bottomRight" activeCell="G17" sqref="G17"/>
    </sheetView>
  </sheetViews>
  <sheetFormatPr defaultColWidth="9" defaultRowHeight="12"/>
  <cols>
    <col min="1" max="1" width="9" style="25"/>
    <col min="2" max="2" width="30.625" style="25" customWidth="1"/>
    <col min="3" max="3" width="18.625" style="25" customWidth="1"/>
    <col min="4" max="5" width="15.625" style="26" customWidth="1"/>
    <col min="6" max="6" width="10.625" style="25" hidden="1" customWidth="1"/>
    <col min="7" max="7" width="14.125" style="25" bestFit="1" customWidth="1"/>
    <col min="8" max="8" width="9.125" style="27" customWidth="1"/>
    <col min="9" max="9" width="13.625" style="25" bestFit="1" customWidth="1"/>
    <col min="10" max="10" width="30.625" style="25" customWidth="1"/>
    <col min="11" max="11" width="35.875" style="28" customWidth="1"/>
    <col min="12" max="16384" width="9" style="25"/>
  </cols>
  <sheetData>
    <row r="1" spans="1:11" ht="12" customHeight="1">
      <c r="A1" s="70" t="s">
        <v>134</v>
      </c>
      <c r="B1" s="70"/>
      <c r="C1" s="70"/>
      <c r="D1" s="70"/>
      <c r="E1" s="70"/>
      <c r="F1" s="70"/>
      <c r="G1" s="70"/>
      <c r="H1" s="70"/>
      <c r="I1" s="70"/>
      <c r="J1" s="70"/>
      <c r="K1" s="39"/>
    </row>
    <row r="2" spans="1:11" ht="13.5" customHeight="1" thickBot="1">
      <c r="A2" s="37" t="s">
        <v>133</v>
      </c>
      <c r="B2" s="37" t="s">
        <v>0</v>
      </c>
      <c r="C2" s="37" t="s">
        <v>1</v>
      </c>
      <c r="D2" s="38" t="s">
        <v>2</v>
      </c>
      <c r="E2" s="38" t="s">
        <v>3</v>
      </c>
      <c r="F2" s="37" t="s">
        <v>4</v>
      </c>
      <c r="G2" s="37" t="s">
        <v>231</v>
      </c>
      <c r="H2" s="37" t="s">
        <v>5</v>
      </c>
      <c r="I2" s="37" t="s">
        <v>6</v>
      </c>
      <c r="J2" s="37" t="s">
        <v>127</v>
      </c>
      <c r="K2" s="37" t="s">
        <v>7</v>
      </c>
    </row>
    <row r="3" spans="1:11" ht="12" customHeight="1">
      <c r="A3" s="32" t="s">
        <v>135</v>
      </c>
      <c r="B3" s="29" t="s">
        <v>8</v>
      </c>
      <c r="C3" s="30" t="s">
        <v>9</v>
      </c>
      <c r="D3" s="31">
        <v>42713</v>
      </c>
      <c r="E3" s="31">
        <v>42727</v>
      </c>
      <c r="F3" s="30">
        <f t="shared" ref="F3:F30" si="0">E3-D3+1</f>
        <v>15</v>
      </c>
      <c r="G3" s="50">
        <f>IF(F3="——","——",NETWORKDAYS(D3,E3,节日假期!$A$2:$A$28)+COUNTIFS(节日假期!B:B,"&gt;="&amp;$D3,节日假期!B:B,"&lt;="&amp;$E3)+I3)</f>
        <v>11</v>
      </c>
      <c r="H3" s="32" t="str">
        <f ca="1">IF(I3&gt;0,IF(TODAY()&gt;E3+I3,"已结束","已延期"),IF(TODAY()&lt;D3,"未开始",IF(TODAY()&gt;E3+I3,"已结束","进行中")))</f>
        <v>已结束</v>
      </c>
      <c r="I3" s="48"/>
      <c r="J3" s="34">
        <f t="shared" ref="J3:J30" ca="1" si="1">IF(H3="未开始","——",E3+I3)</f>
        <v>42727</v>
      </c>
      <c r="K3" s="44" t="s">
        <v>10</v>
      </c>
    </row>
    <row r="4" spans="1:11">
      <c r="A4" s="32" t="s">
        <v>135</v>
      </c>
      <c r="B4" s="33" t="s">
        <v>11</v>
      </c>
      <c r="C4" s="32" t="s">
        <v>12</v>
      </c>
      <c r="D4" s="34">
        <v>42716</v>
      </c>
      <c r="E4" s="34">
        <v>42718</v>
      </c>
      <c r="F4" s="32">
        <f t="shared" si="0"/>
        <v>3</v>
      </c>
      <c r="G4" s="50">
        <f>IF(F4="——","——",NETWORKDAYS(D4,E4,节日假期!$A$2:$A$28)+COUNTIFS(节日假期!B:B,"&gt;="&amp;$D4,节日假期!B:B,"&lt;="&amp;$E4)+I4)</f>
        <v>3</v>
      </c>
      <c r="H4" s="32" t="str">
        <f t="shared" ref="H4:H63" ca="1" si="2">IF(I4&gt;0,IF(TODAY()&gt;E4+I4,"已结束","已延期"),IF(TODAY()&lt;D4,"未开始",IF(TODAY()&gt;E4+I4,"已结束","进行中")))</f>
        <v>已结束</v>
      </c>
      <c r="I4" s="47"/>
      <c r="J4" s="34">
        <f t="shared" ca="1" si="1"/>
        <v>42718</v>
      </c>
      <c r="K4" s="44" t="s">
        <v>10</v>
      </c>
    </row>
    <row r="5" spans="1:11">
      <c r="A5" s="32" t="s">
        <v>135</v>
      </c>
      <c r="B5" s="33" t="s">
        <v>13</v>
      </c>
      <c r="C5" s="32" t="s">
        <v>12</v>
      </c>
      <c r="D5" s="34">
        <v>42718</v>
      </c>
      <c r="E5" s="34">
        <v>42720</v>
      </c>
      <c r="F5" s="32">
        <f t="shared" si="0"/>
        <v>3</v>
      </c>
      <c r="G5" s="50">
        <f>IF(F5="——","——",NETWORKDAYS(D5,E5,节日假期!$A$2:$A$28)+COUNTIFS(节日假期!B:B,"&gt;="&amp;$D5,节日假期!B:B,"&lt;="&amp;$E5)+I5)</f>
        <v>3</v>
      </c>
      <c r="H5" s="32" t="str">
        <f t="shared" ca="1" si="2"/>
        <v>已结束</v>
      </c>
      <c r="I5" s="47"/>
      <c r="J5" s="34">
        <f t="shared" ca="1" si="1"/>
        <v>42720</v>
      </c>
      <c r="K5" s="44" t="s">
        <v>10</v>
      </c>
    </row>
    <row r="6" spans="1:11">
      <c r="A6" s="32" t="s">
        <v>135</v>
      </c>
      <c r="B6" s="33" t="s">
        <v>14</v>
      </c>
      <c r="C6" s="32" t="s">
        <v>12</v>
      </c>
      <c r="D6" s="34">
        <v>42723</v>
      </c>
      <c r="E6" s="34">
        <v>42725</v>
      </c>
      <c r="F6" s="32">
        <f t="shared" si="0"/>
        <v>3</v>
      </c>
      <c r="G6" s="50">
        <f>IF(F6="——","——",NETWORKDAYS(D6,E6,节日假期!$A$2:$A$28)+COUNTIFS(节日假期!B:B,"&gt;="&amp;$D6,节日假期!B:B,"&lt;="&amp;$E6)+I6)</f>
        <v>3</v>
      </c>
      <c r="H6" s="32" t="str">
        <f t="shared" ca="1" si="2"/>
        <v>已结束</v>
      </c>
      <c r="I6" s="47"/>
      <c r="J6" s="34">
        <f t="shared" ca="1" si="1"/>
        <v>42725</v>
      </c>
      <c r="K6" s="44" t="s">
        <v>10</v>
      </c>
    </row>
    <row r="7" spans="1:11">
      <c r="A7" s="32" t="s">
        <v>135</v>
      </c>
      <c r="B7" s="33" t="s">
        <v>15</v>
      </c>
      <c r="C7" s="32" t="s">
        <v>12</v>
      </c>
      <c r="D7" s="34">
        <v>42725</v>
      </c>
      <c r="E7" s="34">
        <v>42727</v>
      </c>
      <c r="F7" s="32">
        <f t="shared" si="0"/>
        <v>3</v>
      </c>
      <c r="G7" s="50">
        <f>IF(F7="——","——",NETWORKDAYS(D7,E7,节日假期!$A$2:$A$28)+COUNTIFS(节日假期!B:B,"&gt;="&amp;$D7,节日假期!B:B,"&lt;="&amp;$E7)+I7)</f>
        <v>3</v>
      </c>
      <c r="H7" s="32" t="str">
        <f t="shared" ca="1" si="2"/>
        <v>已结束</v>
      </c>
      <c r="I7" s="47"/>
      <c r="J7" s="34">
        <f t="shared" ca="1" si="1"/>
        <v>42727</v>
      </c>
      <c r="K7" s="44" t="s">
        <v>10</v>
      </c>
    </row>
    <row r="8" spans="1:11">
      <c r="A8" s="32" t="s">
        <v>135</v>
      </c>
      <c r="B8" s="33" t="s">
        <v>16</v>
      </c>
      <c r="C8" s="32" t="s">
        <v>9</v>
      </c>
      <c r="D8" s="34">
        <v>42727</v>
      </c>
      <c r="E8" s="34">
        <v>42741</v>
      </c>
      <c r="F8" s="32">
        <f t="shared" si="0"/>
        <v>15</v>
      </c>
      <c r="G8" s="50">
        <f>IF(F8="——","——",NETWORKDAYS(D8,E8,节日假期!$A$2:$A$28)+COUNTIFS(节日假期!B:B,"&gt;="&amp;$D8,节日假期!B:B,"&lt;="&amp;$E8)+I8)</f>
        <v>10</v>
      </c>
      <c r="H8" s="32" t="str">
        <f t="shared" ca="1" si="2"/>
        <v>已结束</v>
      </c>
      <c r="I8" s="47"/>
      <c r="J8" s="34">
        <f t="shared" ca="1" si="1"/>
        <v>42741</v>
      </c>
      <c r="K8" s="44" t="s">
        <v>17</v>
      </c>
    </row>
    <row r="9" spans="1:11">
      <c r="A9" s="32" t="s">
        <v>135</v>
      </c>
      <c r="B9" s="33" t="s">
        <v>18</v>
      </c>
      <c r="C9" s="32" t="s">
        <v>19</v>
      </c>
      <c r="D9" s="34">
        <v>42730</v>
      </c>
      <c r="E9" s="34">
        <v>42755</v>
      </c>
      <c r="F9" s="32">
        <f t="shared" si="0"/>
        <v>26</v>
      </c>
      <c r="G9" s="50">
        <f>IF(F9="——","——",NETWORKDAYS(D9,E9,节日假期!$A$2:$A$28)+COUNTIFS(节日假期!B:B,"&gt;="&amp;$D9,节日假期!B:B,"&lt;="&amp;$E9)+I9)</f>
        <v>19</v>
      </c>
      <c r="H9" s="32" t="str">
        <f t="shared" ca="1" si="2"/>
        <v>已结束</v>
      </c>
      <c r="I9" s="47"/>
      <c r="J9" s="34">
        <f t="shared" ca="1" si="1"/>
        <v>42755</v>
      </c>
      <c r="K9" s="44" t="s">
        <v>20</v>
      </c>
    </row>
    <row r="10" spans="1:11">
      <c r="A10" s="32" t="s">
        <v>135</v>
      </c>
      <c r="B10" s="33" t="s">
        <v>21</v>
      </c>
      <c r="C10" s="32" t="s">
        <v>12</v>
      </c>
      <c r="D10" s="34">
        <v>42731</v>
      </c>
      <c r="E10" s="34">
        <v>42732</v>
      </c>
      <c r="F10" s="32">
        <f t="shared" si="0"/>
        <v>2</v>
      </c>
      <c r="G10" s="50">
        <f>IF(F10="——","——",NETWORKDAYS(D10,E10,节日假期!$A$2:$A$28)+COUNTIFS(节日假期!B:B,"&gt;="&amp;$D10,节日假期!B:B,"&lt;="&amp;$E10)+I10)</f>
        <v>2</v>
      </c>
      <c r="H10" s="32" t="str">
        <f t="shared" ca="1" si="2"/>
        <v>已结束</v>
      </c>
      <c r="I10" s="47"/>
      <c r="J10" s="34">
        <f t="shared" ca="1" si="1"/>
        <v>42732</v>
      </c>
      <c r="K10" s="44" t="s">
        <v>10</v>
      </c>
    </row>
    <row r="11" spans="1:11">
      <c r="A11" s="32" t="s">
        <v>135</v>
      </c>
      <c r="B11" s="33" t="s">
        <v>22</v>
      </c>
      <c r="C11" s="32" t="s">
        <v>12</v>
      </c>
      <c r="D11" s="34">
        <v>42733</v>
      </c>
      <c r="E11" s="34">
        <v>42738</v>
      </c>
      <c r="F11" s="32">
        <f t="shared" si="0"/>
        <v>6</v>
      </c>
      <c r="G11" s="50">
        <f>IF(F11="——","——",NETWORKDAYS(D11,E11,节日假期!$A$2:$A$28)+COUNTIFS(节日假期!B:B,"&gt;="&amp;$D11,节日假期!B:B,"&lt;="&amp;$E11)+I11)</f>
        <v>3</v>
      </c>
      <c r="H11" s="32" t="str">
        <f t="shared" ca="1" si="2"/>
        <v>已结束</v>
      </c>
      <c r="I11" s="47"/>
      <c r="J11" s="34">
        <f t="shared" ca="1" si="1"/>
        <v>42738</v>
      </c>
      <c r="K11" s="44" t="s">
        <v>10</v>
      </c>
    </row>
    <row r="12" spans="1:11">
      <c r="A12" s="32" t="s">
        <v>135</v>
      </c>
      <c r="B12" s="33" t="s">
        <v>23</v>
      </c>
      <c r="C12" s="32" t="s">
        <v>12</v>
      </c>
      <c r="D12" s="34">
        <v>42733</v>
      </c>
      <c r="E12" s="34">
        <v>42738</v>
      </c>
      <c r="F12" s="32">
        <f t="shared" si="0"/>
        <v>6</v>
      </c>
      <c r="G12" s="50">
        <f>IF(F12="——","——",NETWORKDAYS(D12,E12,节日假期!$A$2:$A$28)+COUNTIFS(节日假期!B:B,"&gt;="&amp;$D12,节日假期!B:B,"&lt;="&amp;$E12)+I12)</f>
        <v>3</v>
      </c>
      <c r="H12" s="32" t="str">
        <f t="shared" ca="1" si="2"/>
        <v>已结束</v>
      </c>
      <c r="I12" s="47"/>
      <c r="J12" s="34">
        <f t="shared" ca="1" si="1"/>
        <v>42738</v>
      </c>
      <c r="K12" s="44" t="s">
        <v>10</v>
      </c>
    </row>
    <row r="13" spans="1:11" ht="13.5" customHeight="1">
      <c r="A13" s="32" t="s">
        <v>135</v>
      </c>
      <c r="B13" s="33" t="s">
        <v>24</v>
      </c>
      <c r="C13" s="32" t="s">
        <v>12</v>
      </c>
      <c r="D13" s="34">
        <v>42733</v>
      </c>
      <c r="E13" s="34">
        <v>42738</v>
      </c>
      <c r="F13" s="32">
        <f t="shared" si="0"/>
        <v>6</v>
      </c>
      <c r="G13" s="50">
        <f>IF(F13="——","——",NETWORKDAYS(D13,E13,节日假期!$A$2:$A$28)+COUNTIFS(节日假期!B:B,"&gt;="&amp;$D13,节日假期!B:B,"&lt;="&amp;$E13)+I13)</f>
        <v>3</v>
      </c>
      <c r="H13" s="32" t="str">
        <f t="shared" ca="1" si="2"/>
        <v>已结束</v>
      </c>
      <c r="I13" s="47"/>
      <c r="J13" s="34">
        <f t="shared" ca="1" si="1"/>
        <v>42738</v>
      </c>
      <c r="K13" s="44" t="s">
        <v>10</v>
      </c>
    </row>
    <row r="14" spans="1:11">
      <c r="A14" s="32" t="s">
        <v>135</v>
      </c>
      <c r="B14" s="33" t="s">
        <v>25</v>
      </c>
      <c r="C14" s="32" t="s">
        <v>12</v>
      </c>
      <c r="D14" s="34">
        <v>42733</v>
      </c>
      <c r="E14" s="34">
        <v>42738</v>
      </c>
      <c r="F14" s="32">
        <f t="shared" si="0"/>
        <v>6</v>
      </c>
      <c r="G14" s="50">
        <f>IF(F14="——","——",NETWORKDAYS(D14,E14,节日假期!$A$2:$A$28)+COUNTIFS(节日假期!B:B,"&gt;="&amp;$D14,节日假期!B:B,"&lt;="&amp;$E14)+I14)</f>
        <v>3</v>
      </c>
      <c r="H14" s="32" t="str">
        <f t="shared" ca="1" si="2"/>
        <v>已结束</v>
      </c>
      <c r="I14" s="47"/>
      <c r="J14" s="34">
        <f t="shared" ca="1" si="1"/>
        <v>42738</v>
      </c>
      <c r="K14" s="44" t="s">
        <v>10</v>
      </c>
    </row>
    <row r="15" spans="1:11">
      <c r="A15" s="32" t="s">
        <v>135</v>
      </c>
      <c r="B15" s="33" t="s">
        <v>26</v>
      </c>
      <c r="C15" s="32" t="s">
        <v>12</v>
      </c>
      <c r="D15" s="34">
        <v>42733</v>
      </c>
      <c r="E15" s="34">
        <v>42738</v>
      </c>
      <c r="F15" s="32">
        <f t="shared" si="0"/>
        <v>6</v>
      </c>
      <c r="G15" s="50">
        <f>IF(F15="——","——",NETWORKDAYS(D15,E15,节日假期!$A$2:$A$28)+COUNTIFS(节日假期!B:B,"&gt;="&amp;$D15,节日假期!B:B,"&lt;="&amp;$E15)+I15)</f>
        <v>3</v>
      </c>
      <c r="H15" s="32" t="str">
        <f t="shared" ca="1" si="2"/>
        <v>已结束</v>
      </c>
      <c r="I15" s="47"/>
      <c r="J15" s="34">
        <f t="shared" ca="1" si="1"/>
        <v>42738</v>
      </c>
      <c r="K15" s="44" t="s">
        <v>10</v>
      </c>
    </row>
    <row r="16" spans="1:11">
      <c r="A16" s="32" t="s">
        <v>135</v>
      </c>
      <c r="B16" s="33" t="s">
        <v>27</v>
      </c>
      <c r="C16" s="32" t="s">
        <v>12</v>
      </c>
      <c r="D16" s="34">
        <v>42733</v>
      </c>
      <c r="E16" s="34">
        <v>42738</v>
      </c>
      <c r="F16" s="32">
        <f t="shared" si="0"/>
        <v>6</v>
      </c>
      <c r="G16" s="50">
        <f>IF(F16="——","——",NETWORKDAYS(D16,E16,节日假期!$A$2:$A$28)+COUNTIFS(节日假期!B:B,"&gt;="&amp;$D16,节日假期!B:B,"&lt;="&amp;$E16)+I16)</f>
        <v>3</v>
      </c>
      <c r="H16" s="32" t="str">
        <f t="shared" ca="1" si="2"/>
        <v>已结束</v>
      </c>
      <c r="I16" s="47"/>
      <c r="J16" s="34">
        <f t="shared" ca="1" si="1"/>
        <v>42738</v>
      </c>
      <c r="K16" s="44" t="s">
        <v>10</v>
      </c>
    </row>
    <row r="17" spans="1:11">
      <c r="A17" s="32" t="s">
        <v>135</v>
      </c>
      <c r="B17" s="33" t="s">
        <v>28</v>
      </c>
      <c r="C17" s="32" t="s">
        <v>12</v>
      </c>
      <c r="D17" s="34">
        <v>42733</v>
      </c>
      <c r="E17" s="34">
        <v>42738</v>
      </c>
      <c r="F17" s="32">
        <f t="shared" si="0"/>
        <v>6</v>
      </c>
      <c r="G17" s="50">
        <f>IF(F17="——","——",NETWORKDAYS(D17,E17,节日假期!$A$2:$A$28)+COUNTIFS(节日假期!B:B,"&gt;="&amp;$D17,节日假期!B:B,"&lt;="&amp;$E17)+I17)</f>
        <v>3</v>
      </c>
      <c r="H17" s="32" t="str">
        <f t="shared" ca="1" si="2"/>
        <v>已结束</v>
      </c>
      <c r="I17" s="47"/>
      <c r="J17" s="34">
        <f t="shared" ca="1" si="1"/>
        <v>42738</v>
      </c>
      <c r="K17" s="44" t="s">
        <v>10</v>
      </c>
    </row>
    <row r="18" spans="1:11">
      <c r="A18" s="32" t="s">
        <v>135</v>
      </c>
      <c r="B18" s="33" t="s">
        <v>39</v>
      </c>
      <c r="C18" s="32" t="s">
        <v>12</v>
      </c>
      <c r="D18" s="34">
        <v>42753</v>
      </c>
      <c r="E18" s="34">
        <v>42754</v>
      </c>
      <c r="F18" s="32">
        <f t="shared" si="0"/>
        <v>2</v>
      </c>
      <c r="G18" s="50">
        <f>IF(F18="——","——",NETWORKDAYS(D18,E18,节日假期!$A$2:$A$28)+COUNTIFS(节日假期!B:B,"&gt;="&amp;$D18,节日假期!B:B,"&lt;="&amp;$E18)+I18)</f>
        <v>2</v>
      </c>
      <c r="H18" s="32" t="str">
        <f t="shared" ca="1" si="2"/>
        <v>已结束</v>
      </c>
      <c r="I18" s="47"/>
      <c r="J18" s="34">
        <f t="shared" ca="1" si="1"/>
        <v>42754</v>
      </c>
      <c r="K18" s="44" t="s">
        <v>10</v>
      </c>
    </row>
    <row r="19" spans="1:11">
      <c r="A19" s="32" t="s">
        <v>150</v>
      </c>
      <c r="B19" s="33" t="s">
        <v>136</v>
      </c>
      <c r="C19" s="32" t="s">
        <v>137</v>
      </c>
      <c r="D19" s="34">
        <v>42716</v>
      </c>
      <c r="E19" s="34">
        <v>42720</v>
      </c>
      <c r="F19" s="32">
        <f t="shared" si="0"/>
        <v>5</v>
      </c>
      <c r="G19" s="50">
        <f>IF(F19="——","——",NETWORKDAYS(D19,E19,节日假期!$A$2:$A$28)+COUNTIFS(节日假期!B:B,"&gt;="&amp;$D19,节日假期!B:B,"&lt;="&amp;$E19)+I19)</f>
        <v>5</v>
      </c>
      <c r="H19" s="32" t="str">
        <f t="shared" ca="1" si="2"/>
        <v>已结束</v>
      </c>
      <c r="I19" s="47"/>
      <c r="J19" s="34">
        <f t="shared" ca="1" si="1"/>
        <v>42720</v>
      </c>
      <c r="K19" s="44" t="s">
        <v>10</v>
      </c>
    </row>
    <row r="20" spans="1:11">
      <c r="A20" s="32" t="s">
        <v>150</v>
      </c>
      <c r="B20" s="33" t="s">
        <v>138</v>
      </c>
      <c r="C20" s="32" t="s">
        <v>139</v>
      </c>
      <c r="D20" s="34">
        <v>42716</v>
      </c>
      <c r="E20" s="34">
        <v>42720</v>
      </c>
      <c r="F20" s="32">
        <f t="shared" si="0"/>
        <v>5</v>
      </c>
      <c r="G20" s="50">
        <f>IF(F20="——","——",NETWORKDAYS(D20,E20,节日假期!$A$2:$A$28)+COUNTIFS(节日假期!B:B,"&gt;="&amp;$D20,节日假期!B:B,"&lt;="&amp;$E20)+I20)</f>
        <v>5</v>
      </c>
      <c r="H20" s="32" t="str">
        <f t="shared" ca="1" si="2"/>
        <v>已结束</v>
      </c>
      <c r="I20" s="47"/>
      <c r="J20" s="34">
        <f t="shared" ca="1" si="1"/>
        <v>42720</v>
      </c>
      <c r="K20" s="44" t="s">
        <v>10</v>
      </c>
    </row>
    <row r="21" spans="1:11">
      <c r="A21" s="32" t="s">
        <v>150</v>
      </c>
      <c r="B21" s="33" t="s">
        <v>140</v>
      </c>
      <c r="C21" s="32" t="s">
        <v>139</v>
      </c>
      <c r="D21" s="34">
        <v>42685</v>
      </c>
      <c r="E21" s="34">
        <v>42755</v>
      </c>
      <c r="F21" s="32">
        <f t="shared" si="0"/>
        <v>71</v>
      </c>
      <c r="G21" s="50">
        <f>IF(F21="——","——",NETWORKDAYS(D21,E21,节日假期!$A$2:$A$28)+COUNTIFS(节日假期!B:B,"&gt;="&amp;$D21,节日假期!B:B,"&lt;="&amp;$E21)+I21)</f>
        <v>50</v>
      </c>
      <c r="H21" s="32" t="str">
        <f t="shared" ca="1" si="2"/>
        <v>已结束</v>
      </c>
      <c r="I21" s="47"/>
      <c r="J21" s="34">
        <f t="shared" ca="1" si="1"/>
        <v>42755</v>
      </c>
      <c r="K21" s="44" t="s">
        <v>10</v>
      </c>
    </row>
    <row r="22" spans="1:11">
      <c r="A22" s="32" t="s">
        <v>150</v>
      </c>
      <c r="B22" s="33" t="s">
        <v>141</v>
      </c>
      <c r="C22" s="32" t="s">
        <v>137</v>
      </c>
      <c r="D22" s="34">
        <v>42723</v>
      </c>
      <c r="E22" s="34">
        <v>42725</v>
      </c>
      <c r="F22" s="32">
        <f t="shared" si="0"/>
        <v>3</v>
      </c>
      <c r="G22" s="50">
        <f>IF(F22="——","——",NETWORKDAYS(D22,E22,节日假期!$A$2:$A$28)+COUNTIFS(节日假期!B:B,"&gt;="&amp;$D22,节日假期!B:B,"&lt;="&amp;$E22)+I22)</f>
        <v>3</v>
      </c>
      <c r="H22" s="32" t="str">
        <f t="shared" ca="1" si="2"/>
        <v>已结束</v>
      </c>
      <c r="I22" s="47"/>
      <c r="J22" s="34">
        <f t="shared" ca="1" si="1"/>
        <v>42725</v>
      </c>
      <c r="K22" s="44" t="s">
        <v>10</v>
      </c>
    </row>
    <row r="23" spans="1:11">
      <c r="A23" s="32" t="s">
        <v>150</v>
      </c>
      <c r="B23" s="33" t="s">
        <v>142</v>
      </c>
      <c r="C23" s="32" t="s">
        <v>137</v>
      </c>
      <c r="D23" s="34">
        <v>42724</v>
      </c>
      <c r="E23" s="34">
        <v>42727</v>
      </c>
      <c r="F23" s="32">
        <f t="shared" si="0"/>
        <v>4</v>
      </c>
      <c r="G23" s="50">
        <f>IF(F23="——","——",NETWORKDAYS(D23,E23,节日假期!$A$2:$A$28)+COUNTIFS(节日假期!B:B,"&gt;="&amp;$D23,节日假期!B:B,"&lt;="&amp;$E23)+I23)</f>
        <v>4</v>
      </c>
      <c r="H23" s="32" t="str">
        <f t="shared" ca="1" si="2"/>
        <v>已结束</v>
      </c>
      <c r="I23" s="47"/>
      <c r="J23" s="34">
        <f t="shared" ca="1" si="1"/>
        <v>42727</v>
      </c>
      <c r="K23" s="44" t="s">
        <v>10</v>
      </c>
    </row>
    <row r="24" spans="1:11">
      <c r="A24" s="32" t="s">
        <v>150</v>
      </c>
      <c r="B24" s="33" t="s">
        <v>143</v>
      </c>
      <c r="C24" s="32" t="s">
        <v>137</v>
      </c>
      <c r="D24" s="34">
        <v>42730</v>
      </c>
      <c r="E24" s="34">
        <v>42732</v>
      </c>
      <c r="F24" s="32">
        <f t="shared" si="0"/>
        <v>3</v>
      </c>
      <c r="G24" s="50">
        <f>IF(F24="——","——",NETWORKDAYS(D24,E24,节日假期!$A$2:$A$28)+COUNTIFS(节日假期!B:B,"&gt;="&amp;$D24,节日假期!B:B,"&lt;="&amp;$E24)+I24)</f>
        <v>3</v>
      </c>
      <c r="H24" s="32" t="str">
        <f t="shared" ca="1" si="2"/>
        <v>已结束</v>
      </c>
      <c r="I24" s="47"/>
      <c r="J24" s="34">
        <f t="shared" ca="1" si="1"/>
        <v>42732</v>
      </c>
      <c r="K24" s="44" t="s">
        <v>10</v>
      </c>
    </row>
    <row r="25" spans="1:11">
      <c r="A25" s="32" t="s">
        <v>150</v>
      </c>
      <c r="B25" s="33" t="s">
        <v>144</v>
      </c>
      <c r="C25" s="32" t="s">
        <v>139</v>
      </c>
      <c r="D25" s="34">
        <v>42730</v>
      </c>
      <c r="E25" s="34">
        <v>42732</v>
      </c>
      <c r="F25" s="32">
        <f t="shared" si="0"/>
        <v>3</v>
      </c>
      <c r="G25" s="50">
        <f>IF(F25="——","——",NETWORKDAYS(D25,E25,节日假期!$A$2:$A$28)+COUNTIFS(节日假期!B:B,"&gt;="&amp;$D25,节日假期!B:B,"&lt;="&amp;$E25)+I25)</f>
        <v>3</v>
      </c>
      <c r="H25" s="32" t="str">
        <f t="shared" ca="1" si="2"/>
        <v>已结束</v>
      </c>
      <c r="I25" s="47"/>
      <c r="J25" s="34">
        <f t="shared" ca="1" si="1"/>
        <v>42732</v>
      </c>
      <c r="K25" s="44" t="s">
        <v>10</v>
      </c>
    </row>
    <row r="26" spans="1:11">
      <c r="A26" s="32" t="s">
        <v>150</v>
      </c>
      <c r="B26" s="33" t="s">
        <v>145</v>
      </c>
      <c r="C26" s="32" t="s">
        <v>137</v>
      </c>
      <c r="D26" s="34">
        <v>42732</v>
      </c>
      <c r="E26" s="34">
        <v>42741</v>
      </c>
      <c r="F26" s="32">
        <f t="shared" si="0"/>
        <v>10</v>
      </c>
      <c r="G26" s="50">
        <f>IF(F26="——","——",NETWORKDAYS(D26,E26,节日假期!$A$2:$A$28)+COUNTIFS(节日假期!B:B,"&gt;="&amp;$D26,节日假期!B:B,"&lt;="&amp;$E26)+I26)</f>
        <v>7</v>
      </c>
      <c r="H26" s="32" t="str">
        <f t="shared" ca="1" si="2"/>
        <v>已结束</v>
      </c>
      <c r="I26" s="47"/>
      <c r="J26" s="34">
        <f t="shared" ca="1" si="1"/>
        <v>42741</v>
      </c>
      <c r="K26" s="44" t="s">
        <v>10</v>
      </c>
    </row>
    <row r="27" spans="1:11">
      <c r="A27" s="32" t="s">
        <v>150</v>
      </c>
      <c r="B27" s="33" t="s">
        <v>146</v>
      </c>
      <c r="C27" s="32" t="s">
        <v>139</v>
      </c>
      <c r="D27" s="34">
        <v>42725</v>
      </c>
      <c r="E27" s="34">
        <v>42731</v>
      </c>
      <c r="F27" s="32">
        <f t="shared" si="0"/>
        <v>7</v>
      </c>
      <c r="G27" s="50">
        <f>IF(F27="——","——",NETWORKDAYS(D27,E27,节日假期!$A$2:$A$28)+COUNTIFS(节日假期!B:B,"&gt;="&amp;$D27,节日假期!B:B,"&lt;="&amp;$E27)+I27)</f>
        <v>5</v>
      </c>
      <c r="H27" s="32" t="str">
        <f t="shared" ca="1" si="2"/>
        <v>已结束</v>
      </c>
      <c r="I27" s="47"/>
      <c r="J27" s="34">
        <f t="shared" ca="1" si="1"/>
        <v>42731</v>
      </c>
      <c r="K27" s="44" t="s">
        <v>10</v>
      </c>
    </row>
    <row r="28" spans="1:11">
      <c r="A28" s="32" t="s">
        <v>150</v>
      </c>
      <c r="B28" s="33" t="s">
        <v>147</v>
      </c>
      <c r="C28" s="32" t="s">
        <v>139</v>
      </c>
      <c r="D28" s="34">
        <v>42732</v>
      </c>
      <c r="E28" s="34">
        <v>42734</v>
      </c>
      <c r="F28" s="32">
        <f t="shared" si="0"/>
        <v>3</v>
      </c>
      <c r="G28" s="50">
        <f>IF(F28="——","——",NETWORKDAYS(D28,E28,节日假期!$A$2:$A$28)+COUNTIFS(节日假期!B:B,"&gt;="&amp;$D28,节日假期!B:B,"&lt;="&amp;$E28)+I28)</f>
        <v>3</v>
      </c>
      <c r="H28" s="32" t="str">
        <f t="shared" ca="1" si="2"/>
        <v>已结束</v>
      </c>
      <c r="I28" s="47"/>
      <c r="J28" s="34">
        <f t="shared" ca="1" si="1"/>
        <v>42734</v>
      </c>
      <c r="K28" s="44" t="s">
        <v>10</v>
      </c>
    </row>
    <row r="29" spans="1:11">
      <c r="A29" s="32" t="s">
        <v>150</v>
      </c>
      <c r="B29" s="33" t="s">
        <v>148</v>
      </c>
      <c r="C29" s="32" t="s">
        <v>139</v>
      </c>
      <c r="D29" s="34">
        <v>42734</v>
      </c>
      <c r="E29" s="34">
        <v>42745</v>
      </c>
      <c r="F29" s="32">
        <f t="shared" si="0"/>
        <v>12</v>
      </c>
      <c r="G29" s="50">
        <f>IF(F29="——","——",NETWORKDAYS(D29,E29,节日假期!$A$2:$A$28)+COUNTIFS(节日假期!B:B,"&gt;="&amp;$D29,节日假期!B:B,"&lt;="&amp;$E29)+I29)</f>
        <v>7</v>
      </c>
      <c r="H29" s="32" t="str">
        <f t="shared" ca="1" si="2"/>
        <v>已结束</v>
      </c>
      <c r="I29" s="47"/>
      <c r="J29" s="34">
        <f t="shared" ca="1" si="1"/>
        <v>42745</v>
      </c>
      <c r="K29" s="44" t="s">
        <v>10</v>
      </c>
    </row>
    <row r="30" spans="1:11">
      <c r="A30" s="32" t="s">
        <v>150</v>
      </c>
      <c r="B30" s="33" t="s">
        <v>149</v>
      </c>
      <c r="C30" s="32" t="s">
        <v>139</v>
      </c>
      <c r="D30" s="34">
        <v>42746</v>
      </c>
      <c r="E30" s="34">
        <v>42748</v>
      </c>
      <c r="F30" s="32">
        <f t="shared" si="0"/>
        <v>3</v>
      </c>
      <c r="G30" s="50">
        <f>IF(F30="——","——",NETWORKDAYS(D30,E30,节日假期!$A$2:$A$28)+COUNTIFS(节日假期!B:B,"&gt;="&amp;$D30,节日假期!B:B,"&lt;="&amp;$E30)+I30)</f>
        <v>3</v>
      </c>
      <c r="H30" s="32" t="str">
        <f t="shared" ca="1" si="2"/>
        <v>已结束</v>
      </c>
      <c r="I30" s="47"/>
      <c r="J30" s="34">
        <f t="shared" ca="1" si="1"/>
        <v>42748</v>
      </c>
      <c r="K30" s="44" t="s">
        <v>10</v>
      </c>
    </row>
    <row r="31" spans="1:11">
      <c r="A31" s="32" t="s">
        <v>164</v>
      </c>
      <c r="B31" s="33" t="s">
        <v>165</v>
      </c>
      <c r="C31" s="32" t="s">
        <v>166</v>
      </c>
      <c r="D31" s="34">
        <v>42717</v>
      </c>
      <c r="E31" s="34">
        <v>42717</v>
      </c>
      <c r="F31" s="32">
        <f t="shared" ref="F31:F63" si="3">E31-D31+1</f>
        <v>1</v>
      </c>
      <c r="G31" s="50">
        <f>IF(F31="——","——",NETWORKDAYS(D31,E31,节日假期!$A$2:$A$28)+COUNTIFS(节日假期!B:B,"&gt;="&amp;$D31,节日假期!B:B,"&lt;="&amp;$E31)+I31)</f>
        <v>1</v>
      </c>
      <c r="H31" s="32" t="str">
        <f t="shared" ca="1" si="2"/>
        <v>已结束</v>
      </c>
      <c r="I31" s="47"/>
      <c r="J31" s="34">
        <f t="shared" ref="J31:J63" ca="1" si="4">IF(H31="未开始","——",E31+I31)</f>
        <v>42717</v>
      </c>
      <c r="K31" s="44" t="s">
        <v>159</v>
      </c>
    </row>
    <row r="32" spans="1:11">
      <c r="A32" s="32" t="s">
        <v>164</v>
      </c>
      <c r="B32" s="33" t="s">
        <v>167</v>
      </c>
      <c r="C32" s="32" t="s">
        <v>168</v>
      </c>
      <c r="D32" s="34">
        <v>42717</v>
      </c>
      <c r="E32" s="34">
        <v>42720</v>
      </c>
      <c r="F32" s="32">
        <f t="shared" si="3"/>
        <v>4</v>
      </c>
      <c r="G32" s="50">
        <f>IF(F32="——","——",NETWORKDAYS(D32,E32,节日假期!$A$2:$A$28)+COUNTIFS(节日假期!B:B,"&gt;="&amp;$D32,节日假期!B:B,"&lt;="&amp;$E32)+I32)</f>
        <v>4</v>
      </c>
      <c r="H32" s="32" t="str">
        <f t="shared" ca="1" si="2"/>
        <v>已结束</v>
      </c>
      <c r="I32" s="47"/>
      <c r="J32" s="34">
        <f t="shared" ca="1" si="4"/>
        <v>42720</v>
      </c>
      <c r="K32" s="44" t="s">
        <v>160</v>
      </c>
    </row>
    <row r="33" spans="1:11">
      <c r="A33" s="32" t="s">
        <v>164</v>
      </c>
      <c r="B33" s="33" t="s">
        <v>169</v>
      </c>
      <c r="C33" s="32" t="s">
        <v>166</v>
      </c>
      <c r="D33" s="34">
        <v>42718</v>
      </c>
      <c r="E33" s="34">
        <v>42718</v>
      </c>
      <c r="F33" s="32">
        <f t="shared" si="3"/>
        <v>1</v>
      </c>
      <c r="G33" s="50">
        <f>IF(F33="——","——",NETWORKDAYS(D33,E33,节日假期!$A$2:$A$28)+COUNTIFS(节日假期!B:B,"&gt;="&amp;$D33,节日假期!B:B,"&lt;="&amp;$E33)+I33)</f>
        <v>1</v>
      </c>
      <c r="H33" s="32" t="str">
        <f t="shared" ca="1" si="2"/>
        <v>已结束</v>
      </c>
      <c r="I33" s="47"/>
      <c r="J33" s="34">
        <f t="shared" ca="1" si="4"/>
        <v>42718</v>
      </c>
      <c r="K33" s="44" t="s">
        <v>10</v>
      </c>
    </row>
    <row r="34" spans="1:11">
      <c r="A34" s="32" t="s">
        <v>164</v>
      </c>
      <c r="B34" s="33" t="s">
        <v>170</v>
      </c>
      <c r="C34" s="32" t="s">
        <v>166</v>
      </c>
      <c r="D34" s="34">
        <v>42719</v>
      </c>
      <c r="E34" s="34">
        <v>42719</v>
      </c>
      <c r="F34" s="32">
        <f t="shared" si="3"/>
        <v>1</v>
      </c>
      <c r="G34" s="50">
        <f>IF(F34="——","——",NETWORKDAYS(D34,E34,节日假期!$A$2:$A$28)+COUNTIFS(节日假期!B:B,"&gt;="&amp;$D34,节日假期!B:B,"&lt;="&amp;$E34)+I34)</f>
        <v>1</v>
      </c>
      <c r="H34" s="32" t="str">
        <f t="shared" ca="1" si="2"/>
        <v>已结束</v>
      </c>
      <c r="I34" s="47"/>
      <c r="J34" s="34">
        <f t="shared" ca="1" si="4"/>
        <v>42719</v>
      </c>
      <c r="K34" s="44" t="s">
        <v>10</v>
      </c>
    </row>
    <row r="35" spans="1:11">
      <c r="A35" s="32" t="s">
        <v>164</v>
      </c>
      <c r="B35" s="33" t="s">
        <v>171</v>
      </c>
      <c r="C35" s="32" t="s">
        <v>166</v>
      </c>
      <c r="D35" s="34">
        <v>42720</v>
      </c>
      <c r="E35" s="34">
        <v>42720</v>
      </c>
      <c r="F35" s="32">
        <f t="shared" si="3"/>
        <v>1</v>
      </c>
      <c r="G35" s="50">
        <f>IF(F35="——","——",NETWORKDAYS(D35,E35,节日假期!$A$2:$A$28)+COUNTIFS(节日假期!B:B,"&gt;="&amp;$D35,节日假期!B:B,"&lt;="&amp;$E35)+I35)</f>
        <v>1</v>
      </c>
      <c r="H35" s="32" t="str">
        <f t="shared" ca="1" si="2"/>
        <v>已结束</v>
      </c>
      <c r="I35" s="47"/>
      <c r="J35" s="34">
        <f t="shared" ca="1" si="4"/>
        <v>42720</v>
      </c>
      <c r="K35" s="44" t="s">
        <v>10</v>
      </c>
    </row>
    <row r="36" spans="1:11">
      <c r="A36" s="32" t="s">
        <v>164</v>
      </c>
      <c r="B36" s="33" t="s">
        <v>172</v>
      </c>
      <c r="C36" s="32" t="s">
        <v>166</v>
      </c>
      <c r="D36" s="34">
        <v>42723</v>
      </c>
      <c r="E36" s="34">
        <v>42723</v>
      </c>
      <c r="F36" s="32">
        <f t="shared" si="3"/>
        <v>1</v>
      </c>
      <c r="G36" s="50">
        <f>IF(F36="——","——",NETWORKDAYS(D36,E36,节日假期!$A$2:$A$28)+COUNTIFS(节日假期!B:B,"&gt;="&amp;$D36,节日假期!B:B,"&lt;="&amp;$E36)+I36)</f>
        <v>1</v>
      </c>
      <c r="H36" s="32" t="str">
        <f t="shared" ca="1" si="2"/>
        <v>已结束</v>
      </c>
      <c r="I36" s="47"/>
      <c r="J36" s="34">
        <f t="shared" ca="1" si="4"/>
        <v>42723</v>
      </c>
      <c r="K36" s="44" t="s">
        <v>10</v>
      </c>
    </row>
    <row r="37" spans="1:11">
      <c r="A37" s="32" t="s">
        <v>164</v>
      </c>
      <c r="B37" s="33" t="s">
        <v>173</v>
      </c>
      <c r="C37" s="32" t="s">
        <v>168</v>
      </c>
      <c r="D37" s="34">
        <v>42723</v>
      </c>
      <c r="E37" s="34">
        <v>42724</v>
      </c>
      <c r="F37" s="32">
        <f t="shared" si="3"/>
        <v>2</v>
      </c>
      <c r="G37" s="50">
        <f>IF(F37="——","——",NETWORKDAYS(D37,E37,节日假期!$A$2:$A$28)+COUNTIFS(节日假期!B:B,"&gt;="&amp;$D37,节日假期!B:B,"&lt;="&amp;$E37)+I37)</f>
        <v>2</v>
      </c>
      <c r="H37" s="32" t="str">
        <f t="shared" ca="1" si="2"/>
        <v>已结束</v>
      </c>
      <c r="I37" s="47"/>
      <c r="J37" s="34">
        <f t="shared" ca="1" si="4"/>
        <v>42724</v>
      </c>
      <c r="K37" s="44" t="s">
        <v>10</v>
      </c>
    </row>
    <row r="38" spans="1:11">
      <c r="A38" s="32" t="s">
        <v>164</v>
      </c>
      <c r="B38" s="33" t="s">
        <v>174</v>
      </c>
      <c r="C38" s="32" t="s">
        <v>166</v>
      </c>
      <c r="D38" s="34">
        <v>42724</v>
      </c>
      <c r="E38" s="34">
        <v>42724</v>
      </c>
      <c r="F38" s="32">
        <f t="shared" si="3"/>
        <v>1</v>
      </c>
      <c r="G38" s="50">
        <f>IF(F38="——","——",NETWORKDAYS(D38,E38,节日假期!$A$2:$A$28)+COUNTIFS(节日假期!B:B,"&gt;="&amp;$D38,节日假期!B:B,"&lt;="&amp;$E38)+I38)</f>
        <v>1</v>
      </c>
      <c r="H38" s="32" t="str">
        <f t="shared" ca="1" si="2"/>
        <v>已结束</v>
      </c>
      <c r="I38" s="47"/>
      <c r="J38" s="34">
        <f t="shared" ca="1" si="4"/>
        <v>42724</v>
      </c>
      <c r="K38" s="44" t="s">
        <v>10</v>
      </c>
    </row>
    <row r="39" spans="1:11">
      <c r="A39" s="32" t="s">
        <v>164</v>
      </c>
      <c r="B39" s="33" t="s">
        <v>175</v>
      </c>
      <c r="C39" s="32" t="s">
        <v>166</v>
      </c>
      <c r="D39" s="34">
        <v>42725</v>
      </c>
      <c r="E39" s="34">
        <v>42725</v>
      </c>
      <c r="F39" s="32">
        <f t="shared" si="3"/>
        <v>1</v>
      </c>
      <c r="G39" s="50">
        <f>IF(F39="——","——",NETWORKDAYS(D39,E39,节日假期!$A$2:$A$28)+COUNTIFS(节日假期!B:B,"&gt;="&amp;$D39,节日假期!B:B,"&lt;="&amp;$E39)+I39)</f>
        <v>1</v>
      </c>
      <c r="H39" s="32" t="str">
        <f t="shared" ca="1" si="2"/>
        <v>已结束</v>
      </c>
      <c r="I39" s="47"/>
      <c r="J39" s="34">
        <f t="shared" ca="1" si="4"/>
        <v>42725</v>
      </c>
      <c r="K39" s="44" t="s">
        <v>159</v>
      </c>
    </row>
    <row r="40" spans="1:11">
      <c r="A40" s="32" t="s">
        <v>164</v>
      </c>
      <c r="B40" s="33" t="s">
        <v>176</v>
      </c>
      <c r="C40" s="32" t="s">
        <v>168</v>
      </c>
      <c r="D40" s="34">
        <v>42725</v>
      </c>
      <c r="E40" s="34">
        <v>42726</v>
      </c>
      <c r="F40" s="32">
        <f t="shared" si="3"/>
        <v>2</v>
      </c>
      <c r="G40" s="50">
        <f>IF(F40="——","——",NETWORKDAYS(D40,E40,节日假期!$A$2:$A$28)+COUNTIFS(节日假期!B:B,"&gt;="&amp;$D40,节日假期!B:B,"&lt;="&amp;$E40)+I40)</f>
        <v>2</v>
      </c>
      <c r="H40" s="32" t="str">
        <f t="shared" ca="1" si="2"/>
        <v>已结束</v>
      </c>
      <c r="I40" s="47"/>
      <c r="J40" s="34">
        <f t="shared" ca="1" si="4"/>
        <v>42726</v>
      </c>
      <c r="K40" s="44" t="s">
        <v>10</v>
      </c>
    </row>
    <row r="41" spans="1:11">
      <c r="A41" s="32" t="s">
        <v>164</v>
      </c>
      <c r="B41" s="33" t="s">
        <v>177</v>
      </c>
      <c r="C41" s="32" t="s">
        <v>166</v>
      </c>
      <c r="D41" s="34">
        <v>42726</v>
      </c>
      <c r="E41" s="34">
        <v>42726</v>
      </c>
      <c r="F41" s="32">
        <f t="shared" si="3"/>
        <v>1</v>
      </c>
      <c r="G41" s="50">
        <f>IF(F41="——","——",NETWORKDAYS(D41,E41,节日假期!$A$2:$A$28)+COUNTIFS(节日假期!B:B,"&gt;="&amp;$D41,节日假期!B:B,"&lt;="&amp;$E41)+I41)</f>
        <v>1</v>
      </c>
      <c r="H41" s="32" t="str">
        <f t="shared" ca="1" si="2"/>
        <v>已结束</v>
      </c>
      <c r="I41" s="47"/>
      <c r="J41" s="34">
        <f t="shared" ca="1" si="4"/>
        <v>42726</v>
      </c>
      <c r="K41" s="44" t="s">
        <v>10</v>
      </c>
    </row>
    <row r="42" spans="1:11">
      <c r="A42" s="32" t="s">
        <v>164</v>
      </c>
      <c r="B42" s="33" t="s">
        <v>178</v>
      </c>
      <c r="C42" s="32" t="s">
        <v>166</v>
      </c>
      <c r="D42" s="34">
        <v>42727</v>
      </c>
      <c r="E42" s="34">
        <v>42733</v>
      </c>
      <c r="F42" s="32">
        <f t="shared" si="3"/>
        <v>7</v>
      </c>
      <c r="G42" s="50">
        <f>IF(F42="——","——",NETWORKDAYS(D42,E42,节日假期!$A$2:$A$28)+COUNTIFS(节日假期!B:B,"&gt;="&amp;$D42,节日假期!B:B,"&lt;="&amp;$E42)+I42)</f>
        <v>5</v>
      </c>
      <c r="H42" s="32" t="str">
        <f t="shared" ca="1" si="2"/>
        <v>已结束</v>
      </c>
      <c r="I42" s="47"/>
      <c r="J42" s="34">
        <f t="shared" ca="1" si="4"/>
        <v>42733</v>
      </c>
      <c r="K42" s="44" t="s">
        <v>10</v>
      </c>
    </row>
    <row r="43" spans="1:11">
      <c r="A43" s="32" t="s">
        <v>164</v>
      </c>
      <c r="B43" s="33" t="s">
        <v>179</v>
      </c>
      <c r="C43" s="32" t="s">
        <v>168</v>
      </c>
      <c r="D43" s="34">
        <v>42727</v>
      </c>
      <c r="E43" s="34">
        <v>42730</v>
      </c>
      <c r="F43" s="32">
        <f t="shared" si="3"/>
        <v>4</v>
      </c>
      <c r="G43" s="50">
        <f>IF(F43="——","——",NETWORKDAYS(D43,E43,节日假期!$A$2:$A$28)+COUNTIFS(节日假期!B:B,"&gt;="&amp;$D43,节日假期!B:B,"&lt;="&amp;$E43)+I43)</f>
        <v>2</v>
      </c>
      <c r="H43" s="32" t="str">
        <f t="shared" ca="1" si="2"/>
        <v>已结束</v>
      </c>
      <c r="I43" s="47"/>
      <c r="J43" s="34">
        <f t="shared" ca="1" si="4"/>
        <v>42730</v>
      </c>
      <c r="K43" s="44" t="s">
        <v>10</v>
      </c>
    </row>
    <row r="44" spans="1:11">
      <c r="A44" s="32" t="s">
        <v>164</v>
      </c>
      <c r="B44" s="33" t="s">
        <v>180</v>
      </c>
      <c r="C44" s="32" t="s">
        <v>166</v>
      </c>
      <c r="D44" s="34">
        <v>42731</v>
      </c>
      <c r="E44" s="34">
        <v>42732</v>
      </c>
      <c r="F44" s="32">
        <f t="shared" si="3"/>
        <v>2</v>
      </c>
      <c r="G44" s="50">
        <f>IF(F44="——","——",NETWORKDAYS(D44,E44,节日假期!$A$2:$A$28)+COUNTIFS(节日假期!B:B,"&gt;="&amp;$D44,节日假期!B:B,"&lt;="&amp;$E44)+I44)</f>
        <v>2</v>
      </c>
      <c r="H44" s="32" t="str">
        <f t="shared" ca="1" si="2"/>
        <v>已结束</v>
      </c>
      <c r="I44" s="47"/>
      <c r="J44" s="34">
        <f t="shared" ca="1" si="4"/>
        <v>42732</v>
      </c>
      <c r="K44" s="44" t="s">
        <v>10</v>
      </c>
    </row>
    <row r="45" spans="1:11">
      <c r="A45" s="32" t="s">
        <v>164</v>
      </c>
      <c r="B45" s="33" t="s">
        <v>181</v>
      </c>
      <c r="C45" s="32" t="s">
        <v>168</v>
      </c>
      <c r="D45" s="34">
        <v>42731</v>
      </c>
      <c r="E45" s="34">
        <v>42732</v>
      </c>
      <c r="F45" s="32">
        <f t="shared" si="3"/>
        <v>2</v>
      </c>
      <c r="G45" s="50">
        <f>IF(F45="——","——",NETWORKDAYS(D45,E45,节日假期!$A$2:$A$28)+COUNTIFS(节日假期!B:B,"&gt;="&amp;$D45,节日假期!B:B,"&lt;="&amp;$E45)+I45)</f>
        <v>2</v>
      </c>
      <c r="H45" s="32" t="str">
        <f t="shared" ca="1" si="2"/>
        <v>已结束</v>
      </c>
      <c r="I45" s="47"/>
      <c r="J45" s="34">
        <f t="shared" ca="1" si="4"/>
        <v>42732</v>
      </c>
      <c r="K45" s="44" t="s">
        <v>10</v>
      </c>
    </row>
    <row r="46" spans="1:11">
      <c r="A46" s="32" t="s">
        <v>164</v>
      </c>
      <c r="B46" s="33" t="s">
        <v>182</v>
      </c>
      <c r="C46" s="32" t="s">
        <v>166</v>
      </c>
      <c r="D46" s="34">
        <v>42733</v>
      </c>
      <c r="E46" s="34">
        <v>42734</v>
      </c>
      <c r="F46" s="32">
        <f t="shared" si="3"/>
        <v>2</v>
      </c>
      <c r="G46" s="50">
        <f>IF(F46="——","——",NETWORKDAYS(D46,E46,节日假期!$A$2:$A$28)+COUNTIFS(节日假期!B:B,"&gt;="&amp;$D46,节日假期!B:B,"&lt;="&amp;$E46)+I46)</f>
        <v>2</v>
      </c>
      <c r="H46" s="32" t="str">
        <f t="shared" ca="1" si="2"/>
        <v>已结束</v>
      </c>
      <c r="I46" s="47"/>
      <c r="J46" s="34">
        <f t="shared" ca="1" si="4"/>
        <v>42734</v>
      </c>
      <c r="K46" s="44" t="s">
        <v>10</v>
      </c>
    </row>
    <row r="47" spans="1:11">
      <c r="A47" s="32" t="s">
        <v>164</v>
      </c>
      <c r="B47" s="33" t="s">
        <v>183</v>
      </c>
      <c r="C47" s="32" t="s">
        <v>168</v>
      </c>
      <c r="D47" s="34">
        <v>42733</v>
      </c>
      <c r="E47" s="34">
        <v>42733</v>
      </c>
      <c r="F47" s="32">
        <f t="shared" si="3"/>
        <v>1</v>
      </c>
      <c r="G47" s="50">
        <f>IF(F47="——","——",NETWORKDAYS(D47,E47,节日假期!$A$2:$A$28)+COUNTIFS(节日假期!B:B,"&gt;="&amp;$D47,节日假期!B:B,"&lt;="&amp;$E47)+I47)</f>
        <v>1</v>
      </c>
      <c r="H47" s="32" t="str">
        <f t="shared" ca="1" si="2"/>
        <v>已结束</v>
      </c>
      <c r="I47" s="47"/>
      <c r="J47" s="34">
        <f t="shared" ca="1" si="4"/>
        <v>42733</v>
      </c>
      <c r="K47" s="44" t="s">
        <v>10</v>
      </c>
    </row>
    <row r="48" spans="1:11">
      <c r="A48" s="32" t="s">
        <v>164</v>
      </c>
      <c r="B48" s="33" t="s">
        <v>184</v>
      </c>
      <c r="C48" s="32" t="s">
        <v>168</v>
      </c>
      <c r="D48" s="34">
        <v>42734</v>
      </c>
      <c r="E48" s="34">
        <v>42734</v>
      </c>
      <c r="F48" s="32">
        <f t="shared" si="3"/>
        <v>1</v>
      </c>
      <c r="G48" s="50">
        <f>IF(F48="——","——",NETWORKDAYS(D48,E48,节日假期!$A$2:$A$28)+COUNTIFS(节日假期!B:B,"&gt;="&amp;$D48,节日假期!B:B,"&lt;="&amp;$E48)+I48)</f>
        <v>1</v>
      </c>
      <c r="H48" s="32" t="str">
        <f t="shared" ca="1" si="2"/>
        <v>已结束</v>
      </c>
      <c r="I48" s="47"/>
      <c r="J48" s="34">
        <f t="shared" ca="1" si="4"/>
        <v>42734</v>
      </c>
      <c r="K48" s="44" t="s">
        <v>10</v>
      </c>
    </row>
    <row r="49" spans="1:11">
      <c r="A49" s="32" t="s">
        <v>164</v>
      </c>
      <c r="B49" s="33" t="s">
        <v>185</v>
      </c>
      <c r="C49" s="32" t="s">
        <v>166</v>
      </c>
      <c r="D49" s="34">
        <v>42738</v>
      </c>
      <c r="E49" s="34">
        <v>42739</v>
      </c>
      <c r="F49" s="32">
        <f t="shared" si="3"/>
        <v>2</v>
      </c>
      <c r="G49" s="50">
        <f>IF(F49="——","——",NETWORKDAYS(D49,E49,节日假期!$A$2:$A$28)+COUNTIFS(节日假期!B:B,"&gt;="&amp;$D49,节日假期!B:B,"&lt;="&amp;$E49)+I49)</f>
        <v>2</v>
      </c>
      <c r="H49" s="32" t="str">
        <f t="shared" ca="1" si="2"/>
        <v>已结束</v>
      </c>
      <c r="I49" s="47"/>
      <c r="J49" s="34">
        <f t="shared" ca="1" si="4"/>
        <v>42739</v>
      </c>
      <c r="K49" s="44" t="s">
        <v>161</v>
      </c>
    </row>
    <row r="50" spans="1:11">
      <c r="A50" s="32" t="s">
        <v>164</v>
      </c>
      <c r="B50" s="33" t="s">
        <v>186</v>
      </c>
      <c r="C50" s="32" t="s">
        <v>168</v>
      </c>
      <c r="D50" s="34">
        <v>42738</v>
      </c>
      <c r="E50" s="34">
        <v>42738</v>
      </c>
      <c r="F50" s="32">
        <f t="shared" si="3"/>
        <v>1</v>
      </c>
      <c r="G50" s="50">
        <f>IF(F50="——","——",NETWORKDAYS(D50,E50,节日假期!$A$2:$A$28)+COUNTIFS(节日假期!B:B,"&gt;="&amp;$D50,节日假期!B:B,"&lt;="&amp;$E50)+I50)</f>
        <v>1</v>
      </c>
      <c r="H50" s="32" t="str">
        <f t="shared" ca="1" si="2"/>
        <v>已结束</v>
      </c>
      <c r="I50" s="47"/>
      <c r="J50" s="34">
        <f t="shared" ca="1" si="4"/>
        <v>42738</v>
      </c>
      <c r="K50" s="44" t="s">
        <v>10</v>
      </c>
    </row>
    <row r="51" spans="1:11">
      <c r="A51" s="32" t="s">
        <v>164</v>
      </c>
      <c r="B51" s="33" t="s">
        <v>187</v>
      </c>
      <c r="C51" s="32" t="s">
        <v>168</v>
      </c>
      <c r="D51" s="34">
        <v>42739</v>
      </c>
      <c r="E51" s="34">
        <v>42739</v>
      </c>
      <c r="F51" s="32">
        <f t="shared" si="3"/>
        <v>1</v>
      </c>
      <c r="G51" s="50">
        <f>IF(F51="——","——",NETWORKDAYS(D51,E51,节日假期!$A$2:$A$28)+COUNTIFS(节日假期!B:B,"&gt;="&amp;$D51,节日假期!B:B,"&lt;="&amp;$E51)+I51)</f>
        <v>1</v>
      </c>
      <c r="H51" s="32" t="str">
        <f t="shared" ca="1" si="2"/>
        <v>已结束</v>
      </c>
      <c r="I51" s="47"/>
      <c r="J51" s="34">
        <f t="shared" ca="1" si="4"/>
        <v>42739</v>
      </c>
      <c r="K51" s="44" t="s">
        <v>10</v>
      </c>
    </row>
    <row r="52" spans="1:11">
      <c r="A52" s="32" t="s">
        <v>164</v>
      </c>
      <c r="B52" s="33" t="s">
        <v>188</v>
      </c>
      <c r="C52" s="32" t="s">
        <v>166</v>
      </c>
      <c r="D52" s="34">
        <v>42740</v>
      </c>
      <c r="E52" s="34">
        <v>42740</v>
      </c>
      <c r="F52" s="32">
        <f t="shared" si="3"/>
        <v>1</v>
      </c>
      <c r="G52" s="50">
        <f>IF(F52="——","——",NETWORKDAYS(D52,E52,节日假期!$A$2:$A$28)+COUNTIFS(节日假期!B:B,"&gt;="&amp;$D52,节日假期!B:B,"&lt;="&amp;$E52)+I52)</f>
        <v>1</v>
      </c>
      <c r="H52" s="32" t="str">
        <f t="shared" ca="1" si="2"/>
        <v>已结束</v>
      </c>
      <c r="I52" s="47"/>
      <c r="J52" s="34">
        <f t="shared" ca="1" si="4"/>
        <v>42740</v>
      </c>
      <c r="K52" s="44" t="s">
        <v>10</v>
      </c>
    </row>
    <row r="53" spans="1:11">
      <c r="A53" s="32" t="s">
        <v>164</v>
      </c>
      <c r="B53" s="33" t="s">
        <v>189</v>
      </c>
      <c r="C53" s="32" t="s">
        <v>168</v>
      </c>
      <c r="D53" s="34">
        <v>42740</v>
      </c>
      <c r="E53" s="34">
        <v>42741</v>
      </c>
      <c r="F53" s="32">
        <f t="shared" si="3"/>
        <v>2</v>
      </c>
      <c r="G53" s="50">
        <f>IF(F53="——","——",NETWORKDAYS(D53,E53,节日假期!$A$2:$A$28)+COUNTIFS(节日假期!B:B,"&gt;="&amp;$D53,节日假期!B:B,"&lt;="&amp;$E53)+I53)</f>
        <v>2</v>
      </c>
      <c r="H53" s="32" t="str">
        <f t="shared" ca="1" si="2"/>
        <v>已结束</v>
      </c>
      <c r="I53" s="47"/>
      <c r="J53" s="34">
        <f t="shared" ca="1" si="4"/>
        <v>42741</v>
      </c>
      <c r="K53" s="44" t="s">
        <v>160</v>
      </c>
    </row>
    <row r="54" spans="1:11">
      <c r="A54" s="32" t="s">
        <v>164</v>
      </c>
      <c r="B54" s="33" t="s">
        <v>190</v>
      </c>
      <c r="C54" s="32" t="s">
        <v>166</v>
      </c>
      <c r="D54" s="34">
        <v>42741</v>
      </c>
      <c r="E54" s="34">
        <v>42741</v>
      </c>
      <c r="F54" s="32">
        <f t="shared" si="3"/>
        <v>1</v>
      </c>
      <c r="G54" s="50">
        <f>IF(F54="——","——",NETWORKDAYS(D54,E54,节日假期!$A$2:$A$28)+COUNTIFS(节日假期!B:B,"&gt;="&amp;$D54,节日假期!B:B,"&lt;="&amp;$E54)+I54)</f>
        <v>1</v>
      </c>
      <c r="H54" s="32" t="str">
        <f t="shared" ca="1" si="2"/>
        <v>已结束</v>
      </c>
      <c r="I54" s="47"/>
      <c r="J54" s="34">
        <f t="shared" ca="1" si="4"/>
        <v>42741</v>
      </c>
      <c r="K54" s="44" t="s">
        <v>10</v>
      </c>
    </row>
    <row r="55" spans="1:11">
      <c r="A55" s="32" t="s">
        <v>164</v>
      </c>
      <c r="B55" s="33" t="s">
        <v>191</v>
      </c>
      <c r="C55" s="32" t="s">
        <v>166</v>
      </c>
      <c r="D55" s="34">
        <v>42744</v>
      </c>
      <c r="E55" s="34">
        <v>42744</v>
      </c>
      <c r="F55" s="32">
        <f t="shared" si="3"/>
        <v>1</v>
      </c>
      <c r="G55" s="50">
        <f>IF(F55="——","——",NETWORKDAYS(D55,E55,节日假期!$A$2:$A$28)+COUNTIFS(节日假期!B:B,"&gt;="&amp;$D55,节日假期!B:B,"&lt;="&amp;$E55)+I55)</f>
        <v>1</v>
      </c>
      <c r="H55" s="32" t="str">
        <f t="shared" ca="1" si="2"/>
        <v>已结束</v>
      </c>
      <c r="I55" s="47"/>
      <c r="J55" s="34">
        <f t="shared" ca="1" si="4"/>
        <v>42744</v>
      </c>
      <c r="K55" s="44" t="s">
        <v>10</v>
      </c>
    </row>
    <row r="56" spans="1:11">
      <c r="A56" s="32" t="s">
        <v>164</v>
      </c>
      <c r="B56" s="33" t="s">
        <v>192</v>
      </c>
      <c r="C56" s="32" t="s">
        <v>168</v>
      </c>
      <c r="D56" s="34">
        <v>42744</v>
      </c>
      <c r="E56" s="34">
        <v>42745</v>
      </c>
      <c r="F56" s="32">
        <f t="shared" si="3"/>
        <v>2</v>
      </c>
      <c r="G56" s="50">
        <f>IF(F56="——","——",NETWORKDAYS(D56,E56,节日假期!$A$2:$A$28)+COUNTIFS(节日假期!B:B,"&gt;="&amp;$D56,节日假期!B:B,"&lt;="&amp;$E56)+I56)</f>
        <v>2</v>
      </c>
      <c r="H56" s="32" t="str">
        <f t="shared" ca="1" si="2"/>
        <v>已结束</v>
      </c>
      <c r="I56" s="47"/>
      <c r="J56" s="34">
        <f t="shared" ca="1" si="4"/>
        <v>42745</v>
      </c>
      <c r="K56" s="44" t="s">
        <v>10</v>
      </c>
    </row>
    <row r="57" spans="1:11">
      <c r="A57" s="32" t="s">
        <v>164</v>
      </c>
      <c r="B57" s="33" t="s">
        <v>193</v>
      </c>
      <c r="C57" s="32" t="s">
        <v>166</v>
      </c>
      <c r="D57" s="34">
        <v>42745</v>
      </c>
      <c r="E57" s="34">
        <v>42745</v>
      </c>
      <c r="F57" s="32">
        <f t="shared" si="3"/>
        <v>1</v>
      </c>
      <c r="G57" s="50">
        <f>IF(F57="——","——",NETWORKDAYS(D57,E57,节日假期!$A$2:$A$28)+COUNTIFS(节日假期!B:B,"&gt;="&amp;$D57,节日假期!B:B,"&lt;="&amp;$E57)+I57)</f>
        <v>1</v>
      </c>
      <c r="H57" s="32" t="str">
        <f t="shared" ca="1" si="2"/>
        <v>已结束</v>
      </c>
      <c r="I57" s="47"/>
      <c r="J57" s="34">
        <f t="shared" ca="1" si="4"/>
        <v>42745</v>
      </c>
      <c r="K57" s="44" t="s">
        <v>10</v>
      </c>
    </row>
    <row r="58" spans="1:11">
      <c r="A58" s="32" t="s">
        <v>164</v>
      </c>
      <c r="B58" s="33" t="s">
        <v>194</v>
      </c>
      <c r="C58" s="32" t="s">
        <v>166</v>
      </c>
      <c r="D58" s="34">
        <v>42746</v>
      </c>
      <c r="E58" s="34">
        <v>42746</v>
      </c>
      <c r="F58" s="32">
        <f t="shared" si="3"/>
        <v>1</v>
      </c>
      <c r="G58" s="50">
        <f>IF(F58="——","——",NETWORKDAYS(D58,E58,节日假期!$A$2:$A$28)+COUNTIFS(节日假期!B:B,"&gt;="&amp;$D58,节日假期!B:B,"&lt;="&amp;$E58)+I58)</f>
        <v>1</v>
      </c>
      <c r="H58" s="32" t="str">
        <f t="shared" ca="1" si="2"/>
        <v>已结束</v>
      </c>
      <c r="I58" s="47"/>
      <c r="J58" s="34">
        <f t="shared" ca="1" si="4"/>
        <v>42746</v>
      </c>
      <c r="K58" s="44" t="s">
        <v>10</v>
      </c>
    </row>
    <row r="59" spans="1:11">
      <c r="A59" s="32" t="s">
        <v>164</v>
      </c>
      <c r="B59" s="33" t="s">
        <v>195</v>
      </c>
      <c r="C59" s="32" t="s">
        <v>168</v>
      </c>
      <c r="D59" s="34">
        <v>42746</v>
      </c>
      <c r="E59" s="34">
        <v>42747</v>
      </c>
      <c r="F59" s="32">
        <f t="shared" si="3"/>
        <v>2</v>
      </c>
      <c r="G59" s="50">
        <f>IF(F59="——","——",NETWORKDAYS(D59,E59,节日假期!$A$2:$A$28)+COUNTIFS(节日假期!B:B,"&gt;="&amp;$D59,节日假期!B:B,"&lt;="&amp;$E59)+I59)</f>
        <v>2</v>
      </c>
      <c r="H59" s="32" t="str">
        <f t="shared" ca="1" si="2"/>
        <v>已结束</v>
      </c>
      <c r="I59" s="47"/>
      <c r="J59" s="34">
        <f t="shared" ca="1" si="4"/>
        <v>42747</v>
      </c>
      <c r="K59" s="44" t="s">
        <v>10</v>
      </c>
    </row>
    <row r="60" spans="1:11">
      <c r="A60" s="32" t="s">
        <v>164</v>
      </c>
      <c r="B60" s="33" t="s">
        <v>196</v>
      </c>
      <c r="C60" s="32" t="s">
        <v>166</v>
      </c>
      <c r="D60" s="34">
        <v>42747</v>
      </c>
      <c r="E60" s="34">
        <v>42747</v>
      </c>
      <c r="F60" s="32">
        <f t="shared" si="3"/>
        <v>1</v>
      </c>
      <c r="G60" s="50">
        <f>IF(F60="——","——",NETWORKDAYS(D60,E60,节日假期!$A$2:$A$28)+COUNTIFS(节日假期!B:B,"&gt;="&amp;$D60,节日假期!B:B,"&lt;="&amp;$E60)+I60)</f>
        <v>1</v>
      </c>
      <c r="H60" s="32" t="str">
        <f t="shared" ca="1" si="2"/>
        <v>已结束</v>
      </c>
      <c r="I60" s="47"/>
      <c r="J60" s="34">
        <f t="shared" ca="1" si="4"/>
        <v>42747</v>
      </c>
      <c r="K60" s="44" t="s">
        <v>10</v>
      </c>
    </row>
    <row r="61" spans="1:11">
      <c r="A61" s="32" t="s">
        <v>164</v>
      </c>
      <c r="B61" s="33" t="s">
        <v>197</v>
      </c>
      <c r="C61" s="32" t="s">
        <v>166</v>
      </c>
      <c r="D61" s="34">
        <v>42748</v>
      </c>
      <c r="E61" s="34">
        <v>42751</v>
      </c>
      <c r="F61" s="32">
        <f t="shared" si="3"/>
        <v>4</v>
      </c>
      <c r="G61" s="50">
        <f>IF(F61="——","——",NETWORKDAYS(D61,E61,节日假期!$A$2:$A$28)+COUNTIFS(节日假期!B:B,"&gt;="&amp;$D61,节日假期!B:B,"&lt;="&amp;$E61)+I61)</f>
        <v>2</v>
      </c>
      <c r="H61" s="32" t="str">
        <f t="shared" ca="1" si="2"/>
        <v>已结束</v>
      </c>
      <c r="I61" s="47"/>
      <c r="J61" s="34">
        <f t="shared" ca="1" si="4"/>
        <v>42751</v>
      </c>
      <c r="K61" s="44" t="s">
        <v>161</v>
      </c>
    </row>
    <row r="62" spans="1:11">
      <c r="A62" s="32" t="s">
        <v>164</v>
      </c>
      <c r="B62" s="33" t="s">
        <v>198</v>
      </c>
      <c r="C62" s="32" t="s">
        <v>168</v>
      </c>
      <c r="D62" s="34">
        <v>42748</v>
      </c>
      <c r="E62" s="34">
        <v>42751</v>
      </c>
      <c r="F62" s="32">
        <f t="shared" si="3"/>
        <v>4</v>
      </c>
      <c r="G62" s="50">
        <f>IF(F62="——","——",NETWORKDAYS(D62,E62,节日假期!$A$2:$A$28)+COUNTIFS(节日假期!B:B,"&gt;="&amp;$D62,节日假期!B:B,"&lt;="&amp;$E62)+I62)</f>
        <v>2</v>
      </c>
      <c r="H62" s="32" t="str">
        <f t="shared" ca="1" si="2"/>
        <v>已结束</v>
      </c>
      <c r="I62" s="47"/>
      <c r="J62" s="34">
        <f t="shared" ca="1" si="4"/>
        <v>42751</v>
      </c>
      <c r="K62" s="44" t="s">
        <v>162</v>
      </c>
    </row>
    <row r="63" spans="1:11">
      <c r="A63" s="32" t="s">
        <v>164</v>
      </c>
      <c r="B63" s="33" t="s">
        <v>199</v>
      </c>
      <c r="C63" s="32" t="s">
        <v>168</v>
      </c>
      <c r="D63" s="34">
        <v>42754</v>
      </c>
      <c r="E63" s="34">
        <v>42755</v>
      </c>
      <c r="F63" s="32">
        <f t="shared" si="3"/>
        <v>2</v>
      </c>
      <c r="G63" s="50">
        <f>IF(F63="——","——",NETWORKDAYS(D63,E63,节日假期!$A$2:$A$28)+COUNTIFS(节日假期!B:B,"&gt;="&amp;$D63,节日假期!B:B,"&lt;="&amp;$E63)+I63)</f>
        <v>2</v>
      </c>
      <c r="H63" s="32" t="str">
        <f t="shared" ca="1" si="2"/>
        <v>已结束</v>
      </c>
      <c r="I63" s="47"/>
      <c r="J63" s="34">
        <f t="shared" ca="1" si="4"/>
        <v>42755</v>
      </c>
      <c r="K63" s="44" t="s">
        <v>163</v>
      </c>
    </row>
    <row r="64" spans="1:11">
      <c r="G64" s="32"/>
    </row>
    <row r="65" spans="7:7">
      <c r="G65" s="32"/>
    </row>
    <row r="66" spans="7:7">
      <c r="G66" s="32"/>
    </row>
    <row r="67" spans="7:7">
      <c r="G67" s="32"/>
    </row>
    <row r="68" spans="7:7">
      <c r="G68" s="32"/>
    </row>
  </sheetData>
  <autoFilter ref="A2:K2"/>
  <mergeCells count="1">
    <mergeCell ref="A1:J1"/>
  </mergeCells>
  <phoneticPr fontId="4" type="noConversion"/>
  <conditionalFormatting sqref="F12:F18 B3:C18 D3:F11 J3:J30 H3:I3 I4:I30 H4:H63">
    <cfRule type="expression" dxfId="307" priority="113">
      <formula>$H3="未开始"</formula>
    </cfRule>
  </conditionalFormatting>
  <conditionalFormatting sqref="D12:E17">
    <cfRule type="expression" dxfId="306" priority="101">
      <formula>$H12="未开始"</formula>
    </cfRule>
    <cfRule type="expression" dxfId="305" priority="102" stopIfTrue="1">
      <formula>$H12="已结束"</formula>
    </cfRule>
    <cfRule type="expression" dxfId="304" priority="103" stopIfTrue="1">
      <formula>$H12="进行中"</formula>
    </cfRule>
    <cfRule type="expression" dxfId="303" priority="104">
      <formula>$I12&gt;0</formula>
    </cfRule>
  </conditionalFormatting>
  <conditionalFormatting sqref="D18:E18">
    <cfRule type="expression" dxfId="302" priority="93">
      <formula>$H18="未开始"</formula>
    </cfRule>
    <cfRule type="expression" dxfId="301" priority="94" stopIfTrue="1">
      <formula>$H18="已结束"</formula>
    </cfRule>
    <cfRule type="expression" dxfId="300" priority="95" stopIfTrue="1">
      <formula>$H18="进行中"</formula>
    </cfRule>
    <cfRule type="expression" dxfId="299" priority="96">
      <formula>$I18&gt;0</formula>
    </cfRule>
  </conditionalFormatting>
  <conditionalFormatting sqref="D19:E30">
    <cfRule type="expression" dxfId="298" priority="61">
      <formula>$H19="未开始"</formula>
    </cfRule>
    <cfRule type="expression" dxfId="297" priority="62" stopIfTrue="1">
      <formula>$H19="已结束"</formula>
    </cfRule>
    <cfRule type="expression" dxfId="296" priority="63" stopIfTrue="1">
      <formula>$H19="进行中"</formula>
    </cfRule>
    <cfRule type="expression" dxfId="295" priority="64">
      <formula>$I19&gt;0</formula>
    </cfRule>
  </conditionalFormatting>
  <conditionalFormatting sqref="F19:F30">
    <cfRule type="expression" dxfId="294" priority="57">
      <formula>$H19="未开始"</formula>
    </cfRule>
    <cfRule type="expression" dxfId="293" priority="58" stopIfTrue="1">
      <formula>$H19="已结束"</formula>
    </cfRule>
    <cfRule type="expression" dxfId="292" priority="59" stopIfTrue="1">
      <formula>$H19="进行中"</formula>
    </cfRule>
    <cfRule type="expression" dxfId="291" priority="60">
      <formula>$I19&gt;0</formula>
    </cfRule>
  </conditionalFormatting>
  <conditionalFormatting sqref="B19:B30">
    <cfRule type="expression" dxfId="290" priority="53">
      <formula>$H19="未开始"</formula>
    </cfRule>
    <cfRule type="expression" dxfId="289" priority="54" stopIfTrue="1">
      <formula>$H19="已结束"</formula>
    </cfRule>
    <cfRule type="expression" dxfId="288" priority="55" stopIfTrue="1">
      <formula>$H19="进行中"</formula>
    </cfRule>
    <cfRule type="expression" dxfId="287" priority="56">
      <formula>$I19&gt;0</formula>
    </cfRule>
  </conditionalFormatting>
  <conditionalFormatting sqref="C19:C30">
    <cfRule type="expression" dxfId="286" priority="49">
      <formula>$H19="未开始"</formula>
    </cfRule>
    <cfRule type="expression" dxfId="285" priority="50" stopIfTrue="1">
      <formula>$H19="已结束"</formula>
    </cfRule>
    <cfRule type="expression" dxfId="284" priority="51" stopIfTrue="1">
      <formula>$H19="进行中"</formula>
    </cfRule>
    <cfRule type="expression" dxfId="283" priority="52">
      <formula>$I19&gt;0</formula>
    </cfRule>
  </conditionalFormatting>
  <conditionalFormatting sqref="A3:A18">
    <cfRule type="expression" dxfId="282" priority="41">
      <formula>$H3="未开始"</formula>
    </cfRule>
    <cfRule type="expression" dxfId="281" priority="42" stopIfTrue="1">
      <formula>$H3="已结束"</formula>
    </cfRule>
    <cfRule type="expression" dxfId="280" priority="43" stopIfTrue="1">
      <formula>$H3="进行中"</formula>
    </cfRule>
    <cfRule type="expression" dxfId="279" priority="44">
      <formula>$I3&gt;0</formula>
    </cfRule>
  </conditionalFormatting>
  <conditionalFormatting sqref="A19:A30">
    <cfRule type="expression" dxfId="278" priority="37">
      <formula>$H19="未开始"</formula>
    </cfRule>
    <cfRule type="expression" dxfId="277" priority="38" stopIfTrue="1">
      <formula>$H19="已结束"</formula>
    </cfRule>
    <cfRule type="expression" dxfId="276" priority="39" stopIfTrue="1">
      <formula>$H19="进行中"</formula>
    </cfRule>
    <cfRule type="expression" dxfId="275" priority="40">
      <formula>$I19&gt;0</formula>
    </cfRule>
  </conditionalFormatting>
  <conditionalFormatting sqref="I31:J63">
    <cfRule type="expression" dxfId="274" priority="33">
      <formula>$H31="未开始"</formula>
    </cfRule>
    <cfRule type="expression" dxfId="273" priority="34" stopIfTrue="1">
      <formula>$H31="已结束"</formula>
    </cfRule>
    <cfRule type="expression" dxfId="272" priority="35" stopIfTrue="1">
      <formula>$H31="进行中"</formula>
    </cfRule>
    <cfRule type="expression" dxfId="271" priority="36">
      <formula>$I31&gt;0</formula>
    </cfRule>
  </conditionalFormatting>
  <conditionalFormatting sqref="D31:E63">
    <cfRule type="expression" dxfId="270" priority="25">
      <formula>$H31="未开始"</formula>
    </cfRule>
    <cfRule type="expression" dxfId="269" priority="26" stopIfTrue="1">
      <formula>$H31="已结束"</formula>
    </cfRule>
    <cfRule type="expression" dxfId="268" priority="27" stopIfTrue="1">
      <formula>$H31="进行中"</formula>
    </cfRule>
    <cfRule type="expression" dxfId="267" priority="28">
      <formula>$I31&gt;0</formula>
    </cfRule>
  </conditionalFormatting>
  <conditionalFormatting sqref="F31:F63">
    <cfRule type="expression" dxfId="266" priority="21">
      <formula>$H31="未开始"</formula>
    </cfRule>
    <cfRule type="expression" dxfId="265" priority="22" stopIfTrue="1">
      <formula>$H31="已结束"</formula>
    </cfRule>
    <cfRule type="expression" dxfId="264" priority="23" stopIfTrue="1">
      <formula>$H31="进行中"</formula>
    </cfRule>
    <cfRule type="expression" dxfId="263" priority="24">
      <formula>$I31&gt;0</formula>
    </cfRule>
  </conditionalFormatting>
  <conditionalFormatting sqref="B31:B63">
    <cfRule type="expression" dxfId="262" priority="17">
      <formula>$H31="未开始"</formula>
    </cfRule>
    <cfRule type="expression" dxfId="261" priority="18" stopIfTrue="1">
      <formula>$H31="已结束"</formula>
    </cfRule>
    <cfRule type="expression" dxfId="260" priority="19" stopIfTrue="1">
      <formula>$H31="进行中"</formula>
    </cfRule>
    <cfRule type="expression" dxfId="259" priority="20">
      <formula>$I31&gt;0</formula>
    </cfRule>
  </conditionalFormatting>
  <conditionalFormatting sqref="C31:C63">
    <cfRule type="expression" dxfId="258" priority="13">
      <formula>$H31="未开始"</formula>
    </cfRule>
    <cfRule type="expression" dxfId="257" priority="14" stopIfTrue="1">
      <formula>$H31="已结束"</formula>
    </cfRule>
    <cfRule type="expression" dxfId="256" priority="15" stopIfTrue="1">
      <formula>$H31="进行中"</formula>
    </cfRule>
    <cfRule type="expression" dxfId="255" priority="16">
      <formula>$I31&gt;0</formula>
    </cfRule>
  </conditionalFormatting>
  <conditionalFormatting sqref="A31:A63">
    <cfRule type="expression" dxfId="254" priority="9">
      <formula>$H31="未开始"</formula>
    </cfRule>
    <cfRule type="expression" dxfId="253" priority="10" stopIfTrue="1">
      <formula>$H31="已结束"</formula>
    </cfRule>
    <cfRule type="expression" dxfId="252" priority="11" stopIfTrue="1">
      <formula>$H31="进行中"</formula>
    </cfRule>
    <cfRule type="expression" dxfId="251" priority="12">
      <formula>$I31&gt;0</formula>
    </cfRule>
  </conditionalFormatting>
  <conditionalFormatting sqref="G3:G68">
    <cfRule type="expression" dxfId="250" priority="5">
      <formula>$H3="未开始"</formula>
    </cfRule>
    <cfRule type="expression" dxfId="249" priority="6" stopIfTrue="1">
      <formula>$H3="已结束"</formula>
    </cfRule>
    <cfRule type="expression" dxfId="248" priority="7" stopIfTrue="1">
      <formula>$H3="进行中"</formula>
    </cfRule>
    <cfRule type="expression" dxfId="247" priority="8">
      <formula>$I3&gt;0</formula>
    </cfRule>
  </conditionalFormatting>
  <conditionalFormatting sqref="K3:K63">
    <cfRule type="expression" dxfId="246" priority="1">
      <formula>$H3="未开始"</formula>
    </cfRule>
    <cfRule type="expression" dxfId="245" priority="2" stopIfTrue="1">
      <formula>$H3="已结束"</formula>
    </cfRule>
    <cfRule type="expression" dxfId="244" priority="3" stopIfTrue="1">
      <formula>$H3="进行中"</formula>
    </cfRule>
    <cfRule type="expression" dxfId="243" priority="4">
      <formula>$I3&gt;0</formula>
    </cfRule>
  </conditionalFormatting>
  <conditionalFormatting sqref="F12:F18 B3:C18 D3:F11 J3:J30 H3:I3 I4:I30 H4:H63 K4:K63">
    <cfRule type="expression" dxfId="242" priority="114" stopIfTrue="1">
      <formula>$H3="已结束"</formula>
    </cfRule>
    <cfRule type="expression" dxfId="241" priority="115" stopIfTrue="1">
      <formula>$H3="进行中"</formula>
    </cfRule>
    <cfRule type="expression" dxfId="240" priority="116">
      <formula>$I3&gt;0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0.499984740745262"/>
  </sheetPr>
  <dimension ref="A1:K68"/>
  <sheetViews>
    <sheetView workbookViewId="0">
      <pane xSplit="2" ySplit="2" topLeftCell="C21" activePane="bottomRight" state="frozen"/>
      <selection pane="topRight" activeCell="C1" sqref="C1"/>
      <selection pane="bottomLeft" activeCell="A3" sqref="A3"/>
      <selection pane="bottomRight" activeCell="D22" sqref="D22:E22"/>
    </sheetView>
  </sheetViews>
  <sheetFormatPr defaultColWidth="9" defaultRowHeight="12"/>
  <cols>
    <col min="1" max="1" width="18.625" style="25" customWidth="1"/>
    <col min="2" max="2" width="31.625" style="25" bestFit="1" customWidth="1"/>
    <col min="3" max="3" width="18.625" style="25" customWidth="1"/>
    <col min="4" max="4" width="12.625" style="26" bestFit="1" customWidth="1"/>
    <col min="5" max="5" width="15.625" style="26" customWidth="1"/>
    <col min="6" max="6" width="12.625" style="25" hidden="1" customWidth="1"/>
    <col min="7" max="7" width="14.125" style="25" bestFit="1" customWidth="1"/>
    <col min="8" max="8" width="9.125" style="27" customWidth="1"/>
    <col min="9" max="9" width="9" style="25" bestFit="1" customWidth="1"/>
    <col min="10" max="10" width="30.625" style="25" customWidth="1"/>
    <col min="11" max="11" width="53" style="28" bestFit="1" customWidth="1"/>
    <col min="12" max="12" width="10.625" style="25" customWidth="1"/>
    <col min="13" max="16384" width="9" style="25"/>
  </cols>
  <sheetData>
    <row r="1" spans="1:11" ht="12" customHeight="1">
      <c r="A1" s="70" t="s">
        <v>151</v>
      </c>
      <c r="B1" s="70"/>
      <c r="C1" s="70"/>
      <c r="D1" s="70"/>
      <c r="E1" s="70"/>
      <c r="F1" s="70"/>
      <c r="G1" s="70"/>
      <c r="H1" s="70"/>
      <c r="I1" s="70"/>
      <c r="J1" s="70"/>
      <c r="K1" s="70"/>
    </row>
    <row r="2" spans="1:11" ht="13.5" customHeight="1" thickBot="1">
      <c r="A2" s="37" t="s">
        <v>133</v>
      </c>
      <c r="B2" s="37" t="s">
        <v>0</v>
      </c>
      <c r="C2" s="37" t="s">
        <v>1</v>
      </c>
      <c r="D2" s="38" t="s">
        <v>2</v>
      </c>
      <c r="E2" s="38" t="s">
        <v>3</v>
      </c>
      <c r="F2" s="37" t="s">
        <v>4</v>
      </c>
      <c r="G2" s="37" t="s">
        <v>225</v>
      </c>
      <c r="H2" s="37" t="s">
        <v>5</v>
      </c>
      <c r="I2" s="37" t="s">
        <v>6</v>
      </c>
      <c r="J2" s="37" t="s">
        <v>127</v>
      </c>
      <c r="K2" s="37" t="s">
        <v>7</v>
      </c>
    </row>
    <row r="3" spans="1:11" ht="12" customHeight="1">
      <c r="A3" s="32" t="s">
        <v>153</v>
      </c>
      <c r="B3" s="33" t="s">
        <v>48</v>
      </c>
      <c r="C3" s="32" t="s">
        <v>32</v>
      </c>
      <c r="D3" s="36" t="s">
        <v>229</v>
      </c>
      <c r="E3" s="36" t="s">
        <v>229</v>
      </c>
      <c r="F3" s="49" t="str">
        <f t="shared" ref="F3:F66" si="0">IF(D3="——","——",IF(E3="——","——",E3-D3+1))</f>
        <v>——</v>
      </c>
      <c r="G3" s="50" t="str">
        <f>IF(F3="——","——",NETWORKDAYS(D3,E3,节日假期!$A$2:$A$28)+COUNTIFS(节日假期!B:B,"&gt;="&amp;$D3,节日假期!B:B,"&lt;="&amp;$E3)+I3)</f>
        <v>——</v>
      </c>
      <c r="H3" s="32" t="str">
        <f ca="1">IF(I3&gt;0,IF(TODAY()&gt;E3+I3,"已结束","已延期"),IF(TODAY()&lt;D3,"未开始",IF(TODAY()&gt;E3+I3,"已结束","进行中")))</f>
        <v>未开始</v>
      </c>
      <c r="I3" s="47"/>
      <c r="J3" s="34" t="str">
        <f t="shared" ref="J3:J34" ca="1" si="1">IF(H3="未开始","——",E3+I3)</f>
        <v>——</v>
      </c>
      <c r="K3" s="44" t="s">
        <v>126</v>
      </c>
    </row>
    <row r="4" spans="1:11">
      <c r="A4" s="32" t="s">
        <v>224</v>
      </c>
      <c r="B4" s="33" t="s">
        <v>46</v>
      </c>
      <c r="C4" s="32" t="s">
        <v>30</v>
      </c>
      <c r="D4" s="36">
        <v>42770</v>
      </c>
      <c r="E4" s="36">
        <v>42772</v>
      </c>
      <c r="F4" s="49">
        <f t="shared" si="0"/>
        <v>3</v>
      </c>
      <c r="G4" s="50">
        <f>IF(F4="——","——",NETWORKDAYS(D4,E4,节日假期!$A$2:$A$28)+COUNTIFS(节日假期!B:B,"&gt;="&amp;$D4,节日假期!B:B,"&lt;="&amp;$E4)+I4)</f>
        <v>2</v>
      </c>
      <c r="H4" s="32" t="str">
        <f t="shared" ref="H4:H67" ca="1" si="2">IF(I4&gt;0,IF(TODAY()&gt;E4+I4,"已结束","已延期"),IF(TODAY()&lt;D4,"未开始",IF(TODAY()&gt;E4+I4,"已结束","进行中")))</f>
        <v>已结束</v>
      </c>
      <c r="I4" s="47"/>
      <c r="J4" s="34">
        <f t="shared" ca="1" si="1"/>
        <v>42772</v>
      </c>
      <c r="K4" s="44"/>
    </row>
    <row r="5" spans="1:11">
      <c r="A5" s="32" t="s">
        <v>224</v>
      </c>
      <c r="B5" s="33" t="s">
        <v>45</v>
      </c>
      <c r="C5" s="32" t="s">
        <v>30</v>
      </c>
      <c r="D5" s="36">
        <v>42773</v>
      </c>
      <c r="E5" s="36">
        <v>42775</v>
      </c>
      <c r="F5" s="49">
        <f t="shared" si="0"/>
        <v>3</v>
      </c>
      <c r="G5" s="50">
        <f>IF(F5="——","——",NETWORKDAYS(D5,E5,节日假期!$A$2:$A$28)+COUNTIFS(节日假期!B:B,"&gt;="&amp;$D5,节日假期!B:B,"&lt;="&amp;$E5)+I5)</f>
        <v>3</v>
      </c>
      <c r="H5" s="32" t="str">
        <f t="shared" ca="1" si="2"/>
        <v>已结束</v>
      </c>
      <c r="I5" s="47"/>
      <c r="J5" s="34">
        <f t="shared" ca="1" si="1"/>
        <v>42775</v>
      </c>
      <c r="K5" s="44"/>
    </row>
    <row r="6" spans="1:11">
      <c r="A6" s="32" t="s">
        <v>224</v>
      </c>
      <c r="B6" s="33" t="s">
        <v>29</v>
      </c>
      <c r="C6" s="32" t="s">
        <v>30</v>
      </c>
      <c r="D6" s="36">
        <v>42776</v>
      </c>
      <c r="E6" s="36">
        <v>42781</v>
      </c>
      <c r="F6" s="49">
        <f t="shared" si="0"/>
        <v>6</v>
      </c>
      <c r="G6" s="50">
        <f>IF(F6="——","——",NETWORKDAYS(D6,E6,节日假期!$A$2:$A$28)+COUNTIFS(节日假期!B:B,"&gt;="&amp;$D6,节日假期!B:B,"&lt;="&amp;$E6)+I6)</f>
        <v>4</v>
      </c>
      <c r="H6" s="32" t="str">
        <f t="shared" ca="1" si="2"/>
        <v>已结束</v>
      </c>
      <c r="I6" s="47"/>
      <c r="J6" s="34">
        <f t="shared" ca="1" si="1"/>
        <v>42781</v>
      </c>
      <c r="K6" s="63" t="s">
        <v>239</v>
      </c>
    </row>
    <row r="7" spans="1:11">
      <c r="A7" s="32" t="s">
        <v>224</v>
      </c>
      <c r="B7" s="33" t="s">
        <v>51</v>
      </c>
      <c r="C7" s="32" t="s">
        <v>30</v>
      </c>
      <c r="D7" s="36">
        <v>42782</v>
      </c>
      <c r="E7" s="36">
        <v>42783</v>
      </c>
      <c r="F7" s="49">
        <f t="shared" si="0"/>
        <v>2</v>
      </c>
      <c r="G7" s="50">
        <f>IF(F7="——","——",NETWORKDAYS(D7,E7,节日假期!$A$2:$A$28)+COUNTIFS(节日假期!B:B,"&gt;="&amp;$D7,节日假期!B:B,"&lt;="&amp;$E7)+I7)</f>
        <v>2</v>
      </c>
      <c r="H7" s="32" t="str">
        <f t="shared" ca="1" si="2"/>
        <v>已结束</v>
      </c>
      <c r="I7" s="47"/>
      <c r="J7" s="34">
        <f t="shared" ca="1" si="1"/>
        <v>42783</v>
      </c>
      <c r="K7" s="44"/>
    </row>
    <row r="8" spans="1:11">
      <c r="A8" s="32" t="s">
        <v>224</v>
      </c>
      <c r="B8" s="33" t="s">
        <v>52</v>
      </c>
      <c r="C8" s="32" t="s">
        <v>30</v>
      </c>
      <c r="D8" s="36">
        <v>42786</v>
      </c>
      <c r="E8" s="36">
        <v>42787</v>
      </c>
      <c r="F8" s="49">
        <f t="shared" si="0"/>
        <v>2</v>
      </c>
      <c r="G8" s="50">
        <f>IF(F8="——","——",NETWORKDAYS(D8,E8,节日假期!$A$2:$A$28)+COUNTIFS(节日假期!B:B,"&gt;="&amp;$D8,节日假期!B:B,"&lt;="&amp;$E8)+I8)</f>
        <v>2</v>
      </c>
      <c r="H8" s="32" t="str">
        <f t="shared" ca="1" si="2"/>
        <v>已结束</v>
      </c>
      <c r="I8" s="47"/>
      <c r="J8" s="34">
        <f t="shared" ca="1" si="1"/>
        <v>42787</v>
      </c>
      <c r="K8" s="44"/>
    </row>
    <row r="9" spans="1:11">
      <c r="A9" s="32" t="s">
        <v>224</v>
      </c>
      <c r="B9" s="33" t="s">
        <v>53</v>
      </c>
      <c r="C9" s="32" t="s">
        <v>30</v>
      </c>
      <c r="D9" s="36">
        <v>42788</v>
      </c>
      <c r="E9" s="36">
        <v>42789</v>
      </c>
      <c r="F9" s="49">
        <f t="shared" si="0"/>
        <v>2</v>
      </c>
      <c r="G9" s="50">
        <f>IF(F9="——","——",NETWORKDAYS(D9,E9,节日假期!$A$2:$A$28)+COUNTIFS(节日假期!B:B,"&gt;="&amp;$D9,节日假期!B:B,"&lt;="&amp;$E9)+I9)</f>
        <v>2</v>
      </c>
      <c r="H9" s="32" t="str">
        <f t="shared" ca="1" si="2"/>
        <v>已结束</v>
      </c>
      <c r="I9" s="47"/>
      <c r="J9" s="34">
        <f t="shared" ca="1" si="1"/>
        <v>42789</v>
      </c>
      <c r="K9" s="44"/>
    </row>
    <row r="10" spans="1:11">
      <c r="A10" s="32" t="s">
        <v>224</v>
      </c>
      <c r="B10" s="33" t="s">
        <v>54</v>
      </c>
      <c r="C10" s="32" t="s">
        <v>30</v>
      </c>
      <c r="D10" s="36">
        <v>42790</v>
      </c>
      <c r="E10" s="36">
        <v>42793</v>
      </c>
      <c r="F10" s="49">
        <f t="shared" si="0"/>
        <v>4</v>
      </c>
      <c r="G10" s="50">
        <f>IF(F10="——","——",NETWORKDAYS(D10,E10,节日假期!$A$2:$A$28)+COUNTIFS(节日假期!B:B,"&gt;="&amp;$D10,节日假期!B:B,"&lt;="&amp;$E10)+I10)</f>
        <v>2</v>
      </c>
      <c r="H10" s="32" t="str">
        <f t="shared" ca="1" si="2"/>
        <v>已结束</v>
      </c>
      <c r="I10" s="47"/>
      <c r="J10" s="34">
        <f t="shared" ca="1" si="1"/>
        <v>42793</v>
      </c>
      <c r="K10" s="44"/>
    </row>
    <row r="11" spans="1:11">
      <c r="A11" s="58" t="s">
        <v>224</v>
      </c>
      <c r="B11" s="59" t="s">
        <v>31</v>
      </c>
      <c r="C11" s="58" t="s">
        <v>30</v>
      </c>
      <c r="D11" s="60" t="s">
        <v>32</v>
      </c>
      <c r="E11" s="60" t="s">
        <v>32</v>
      </c>
      <c r="F11" s="57" t="s">
        <v>32</v>
      </c>
      <c r="G11" s="57" t="s">
        <v>32</v>
      </c>
      <c r="H11" s="58" t="str">
        <f t="shared" ca="1" si="2"/>
        <v>未开始</v>
      </c>
      <c r="I11" s="58"/>
      <c r="J11" s="61" t="str">
        <f t="shared" ca="1" si="1"/>
        <v>——</v>
      </c>
      <c r="K11" s="62"/>
    </row>
    <row r="12" spans="1:11">
      <c r="A12" s="58" t="s">
        <v>224</v>
      </c>
      <c r="B12" s="59" t="s">
        <v>33</v>
      </c>
      <c r="C12" s="58" t="s">
        <v>30</v>
      </c>
      <c r="D12" s="60" t="s">
        <v>32</v>
      </c>
      <c r="E12" s="60" t="s">
        <v>32</v>
      </c>
      <c r="F12" s="57" t="s">
        <v>32</v>
      </c>
      <c r="G12" s="57" t="s">
        <v>32</v>
      </c>
      <c r="H12" s="58" t="str">
        <f t="shared" ca="1" si="2"/>
        <v>未开始</v>
      </c>
      <c r="I12" s="58"/>
      <c r="J12" s="61" t="str">
        <f t="shared" ca="1" si="1"/>
        <v>——</v>
      </c>
      <c r="K12" s="62"/>
    </row>
    <row r="13" spans="1:11">
      <c r="A13" s="58" t="s">
        <v>224</v>
      </c>
      <c r="B13" s="59" t="s">
        <v>34</v>
      </c>
      <c r="C13" s="58" t="s">
        <v>30</v>
      </c>
      <c r="D13" s="60" t="s">
        <v>32</v>
      </c>
      <c r="E13" s="60" t="s">
        <v>32</v>
      </c>
      <c r="F13" s="57" t="s">
        <v>32</v>
      </c>
      <c r="G13" s="57" t="s">
        <v>32</v>
      </c>
      <c r="H13" s="58" t="str">
        <f t="shared" ca="1" si="2"/>
        <v>未开始</v>
      </c>
      <c r="I13" s="58"/>
      <c r="J13" s="61" t="str">
        <f t="shared" ca="1" si="1"/>
        <v>——</v>
      </c>
      <c r="K13" s="62"/>
    </row>
    <row r="14" spans="1:11">
      <c r="A14" s="58" t="s">
        <v>224</v>
      </c>
      <c r="B14" s="59" t="s">
        <v>55</v>
      </c>
      <c r="C14" s="58" t="s">
        <v>30</v>
      </c>
      <c r="D14" s="60" t="s">
        <v>32</v>
      </c>
      <c r="E14" s="60" t="s">
        <v>32</v>
      </c>
      <c r="F14" s="57" t="s">
        <v>32</v>
      </c>
      <c r="G14" s="57" t="s">
        <v>32</v>
      </c>
      <c r="H14" s="58" t="str">
        <f t="shared" ca="1" si="2"/>
        <v>未开始</v>
      </c>
      <c r="I14" s="58"/>
      <c r="J14" s="61" t="str">
        <f t="shared" ca="1" si="1"/>
        <v>——</v>
      </c>
      <c r="K14" s="62"/>
    </row>
    <row r="15" spans="1:11">
      <c r="A15" s="58" t="s">
        <v>224</v>
      </c>
      <c r="B15" s="59" t="s">
        <v>35</v>
      </c>
      <c r="C15" s="58" t="s">
        <v>30</v>
      </c>
      <c r="D15" s="60" t="s">
        <v>32</v>
      </c>
      <c r="E15" s="60" t="s">
        <v>32</v>
      </c>
      <c r="F15" s="57" t="s">
        <v>32</v>
      </c>
      <c r="G15" s="57" t="s">
        <v>32</v>
      </c>
      <c r="H15" s="58" t="str">
        <f t="shared" ca="1" si="2"/>
        <v>未开始</v>
      </c>
      <c r="I15" s="58"/>
      <c r="J15" s="61" t="str">
        <f t="shared" ca="1" si="1"/>
        <v>——</v>
      </c>
      <c r="K15" s="62"/>
    </row>
    <row r="16" spans="1:11" ht="12" customHeight="1">
      <c r="A16" s="58" t="s">
        <v>224</v>
      </c>
      <c r="B16" s="59" t="s">
        <v>36</v>
      </c>
      <c r="C16" s="58" t="s">
        <v>30</v>
      </c>
      <c r="D16" s="60" t="s">
        <v>32</v>
      </c>
      <c r="E16" s="60" t="s">
        <v>32</v>
      </c>
      <c r="F16" s="57" t="s">
        <v>32</v>
      </c>
      <c r="G16" s="57" t="s">
        <v>32</v>
      </c>
      <c r="H16" s="58" t="str">
        <f t="shared" ca="1" si="2"/>
        <v>未开始</v>
      </c>
      <c r="I16" s="58"/>
      <c r="J16" s="61" t="str">
        <f t="shared" ca="1" si="1"/>
        <v>——</v>
      </c>
      <c r="K16" s="62"/>
    </row>
    <row r="17" spans="1:11">
      <c r="A17" s="58" t="s">
        <v>224</v>
      </c>
      <c r="B17" s="59" t="s">
        <v>37</v>
      </c>
      <c r="C17" s="58" t="s">
        <v>30</v>
      </c>
      <c r="D17" s="60" t="s">
        <v>32</v>
      </c>
      <c r="E17" s="60" t="s">
        <v>32</v>
      </c>
      <c r="F17" s="57" t="s">
        <v>32</v>
      </c>
      <c r="G17" s="57" t="s">
        <v>32</v>
      </c>
      <c r="H17" s="58" t="str">
        <f t="shared" ca="1" si="2"/>
        <v>未开始</v>
      </c>
      <c r="I17" s="58"/>
      <c r="J17" s="61" t="str">
        <f t="shared" ca="1" si="1"/>
        <v>——</v>
      </c>
      <c r="K17" s="62"/>
    </row>
    <row r="18" spans="1:11">
      <c r="A18" s="58" t="s">
        <v>224</v>
      </c>
      <c r="B18" s="59" t="s">
        <v>38</v>
      </c>
      <c r="C18" s="58" t="s">
        <v>30</v>
      </c>
      <c r="D18" s="60" t="s">
        <v>32</v>
      </c>
      <c r="E18" s="60" t="s">
        <v>32</v>
      </c>
      <c r="F18" s="57" t="s">
        <v>32</v>
      </c>
      <c r="G18" s="57" t="s">
        <v>32</v>
      </c>
      <c r="H18" s="58" t="str">
        <f t="shared" ca="1" si="2"/>
        <v>未开始</v>
      </c>
      <c r="I18" s="58"/>
      <c r="J18" s="61" t="str">
        <f t="shared" ca="1" si="1"/>
        <v>——</v>
      </c>
      <c r="K18" s="62"/>
    </row>
    <row r="19" spans="1:11">
      <c r="A19" s="58" t="s">
        <v>224</v>
      </c>
      <c r="B19" s="59" t="s">
        <v>40</v>
      </c>
      <c r="C19" s="58" t="s">
        <v>30</v>
      </c>
      <c r="D19" s="60" t="s">
        <v>32</v>
      </c>
      <c r="E19" s="60" t="s">
        <v>32</v>
      </c>
      <c r="F19" s="57" t="s">
        <v>32</v>
      </c>
      <c r="G19" s="57" t="s">
        <v>32</v>
      </c>
      <c r="H19" s="58" t="str">
        <f t="shared" ca="1" si="2"/>
        <v>未开始</v>
      </c>
      <c r="I19" s="58"/>
      <c r="J19" s="61" t="str">
        <f t="shared" ca="1" si="1"/>
        <v>——</v>
      </c>
      <c r="K19" s="62"/>
    </row>
    <row r="20" spans="1:11">
      <c r="A20" s="58" t="s">
        <v>224</v>
      </c>
      <c r="B20" s="59" t="s">
        <v>42</v>
      </c>
      <c r="C20" s="58" t="s">
        <v>30</v>
      </c>
      <c r="D20" s="60" t="s">
        <v>32</v>
      </c>
      <c r="E20" s="60" t="s">
        <v>32</v>
      </c>
      <c r="F20" s="57" t="s">
        <v>32</v>
      </c>
      <c r="G20" s="57" t="s">
        <v>32</v>
      </c>
      <c r="H20" s="58" t="str">
        <f t="shared" ca="1" si="2"/>
        <v>未开始</v>
      </c>
      <c r="I20" s="58"/>
      <c r="J20" s="61" t="str">
        <f t="shared" ca="1" si="1"/>
        <v>——</v>
      </c>
      <c r="K20" s="62"/>
    </row>
    <row r="21" spans="1:11">
      <c r="A21" s="58" t="s">
        <v>224</v>
      </c>
      <c r="B21" s="59" t="s">
        <v>44</v>
      </c>
      <c r="C21" s="58" t="s">
        <v>30</v>
      </c>
      <c r="D21" s="60" t="s">
        <v>32</v>
      </c>
      <c r="E21" s="60" t="s">
        <v>32</v>
      </c>
      <c r="F21" s="57" t="s">
        <v>32</v>
      </c>
      <c r="G21" s="57" t="s">
        <v>32</v>
      </c>
      <c r="H21" s="58" t="str">
        <f t="shared" ca="1" si="2"/>
        <v>未开始</v>
      </c>
      <c r="I21" s="58"/>
      <c r="J21" s="61" t="str">
        <f t="shared" ca="1" si="1"/>
        <v>——</v>
      </c>
      <c r="K21" s="62"/>
    </row>
    <row r="22" spans="1:11">
      <c r="A22" s="32" t="s">
        <v>224</v>
      </c>
      <c r="B22" s="33" t="s">
        <v>50</v>
      </c>
      <c r="C22" s="32" t="s">
        <v>30</v>
      </c>
      <c r="D22" s="36">
        <v>42794</v>
      </c>
      <c r="E22" s="36">
        <v>42796</v>
      </c>
      <c r="F22" s="49">
        <f t="shared" si="0"/>
        <v>3</v>
      </c>
      <c r="G22" s="50">
        <f>IF(F22="——","——",NETWORKDAYS(D22,E22,节日假期!$A$2:$A$28)+COUNTIFS(节日假期!B:B,"&gt;="&amp;$D22,节日假期!B:B,"&lt;="&amp;$E22)+I22)</f>
        <v>3</v>
      </c>
      <c r="H22" s="32" t="str">
        <f t="shared" ca="1" si="2"/>
        <v>已结束</v>
      </c>
      <c r="I22" s="47"/>
      <c r="J22" s="34">
        <f t="shared" ca="1" si="1"/>
        <v>42796</v>
      </c>
      <c r="K22" s="63" t="s">
        <v>233</v>
      </c>
    </row>
    <row r="23" spans="1:11">
      <c r="A23" s="32" t="s">
        <v>224</v>
      </c>
      <c r="B23" s="33" t="s">
        <v>47</v>
      </c>
      <c r="C23" s="32" t="s">
        <v>30</v>
      </c>
      <c r="D23" s="36">
        <v>42797</v>
      </c>
      <c r="E23" s="36">
        <v>42801</v>
      </c>
      <c r="F23" s="49">
        <f t="shared" si="0"/>
        <v>5</v>
      </c>
      <c r="G23" s="50">
        <f>IF(F23="——","——",NETWORKDAYS(D23,E23,节日假期!$A$2:$A$28)+COUNTIFS(节日假期!B:B,"&gt;="&amp;$D23,节日假期!B:B,"&lt;="&amp;$E23)+I23)</f>
        <v>3</v>
      </c>
      <c r="H23" s="32" t="str">
        <f t="shared" ca="1" si="2"/>
        <v>已结束</v>
      </c>
      <c r="I23" s="47"/>
      <c r="J23" s="34">
        <f t="shared" ca="1" si="1"/>
        <v>42801</v>
      </c>
      <c r="K23" s="44"/>
    </row>
    <row r="24" spans="1:11">
      <c r="A24" s="32" t="s">
        <v>224</v>
      </c>
      <c r="B24" s="33" t="s">
        <v>56</v>
      </c>
      <c r="C24" s="32" t="s">
        <v>30</v>
      </c>
      <c r="D24" s="36">
        <v>42802</v>
      </c>
      <c r="E24" s="36">
        <v>42808</v>
      </c>
      <c r="F24" s="49">
        <f t="shared" si="0"/>
        <v>7</v>
      </c>
      <c r="G24" s="50">
        <f>IF(F24="——","——",NETWORKDAYS(D24,E24,节日假期!$A$2:$A$28)+COUNTIFS(节日假期!B:B,"&gt;="&amp;$D24,节日假期!B:B,"&lt;="&amp;$E24)+I24)</f>
        <v>5</v>
      </c>
      <c r="H24" s="32" t="str">
        <f t="shared" ca="1" si="2"/>
        <v>已结束</v>
      </c>
      <c r="I24" s="47"/>
      <c r="J24" s="34">
        <f t="shared" ca="1" si="1"/>
        <v>42808</v>
      </c>
      <c r="K24" s="44" t="s">
        <v>57</v>
      </c>
    </row>
    <row r="25" spans="1:11">
      <c r="A25" s="32" t="s">
        <v>135</v>
      </c>
      <c r="B25" s="33" t="s">
        <v>41</v>
      </c>
      <c r="C25" s="32" t="s">
        <v>12</v>
      </c>
      <c r="D25" s="36">
        <v>42758</v>
      </c>
      <c r="E25" s="36">
        <v>42759</v>
      </c>
      <c r="F25" s="49">
        <f t="shared" si="0"/>
        <v>2</v>
      </c>
      <c r="G25" s="50">
        <f>IF(F25="——","——",NETWORKDAYS(D25,E25,节日假期!$A$2:$A$28)+COUNTIFS(节日假期!B:B,"&gt;="&amp;$D25,节日假期!B:B,"&lt;="&amp;$E25)+I25)</f>
        <v>2</v>
      </c>
      <c r="H25" s="32" t="str">
        <f t="shared" ca="1" si="2"/>
        <v>已结束</v>
      </c>
      <c r="I25" s="47"/>
      <c r="J25" s="34">
        <f t="shared" ca="1" si="1"/>
        <v>42759</v>
      </c>
      <c r="K25" s="44" t="s">
        <v>242</v>
      </c>
    </row>
    <row r="26" spans="1:11">
      <c r="A26" s="32" t="s">
        <v>135</v>
      </c>
      <c r="B26" s="33" t="s">
        <v>43</v>
      </c>
      <c r="C26" s="32" t="s">
        <v>12</v>
      </c>
      <c r="D26" s="36">
        <v>42760</v>
      </c>
      <c r="E26" s="36">
        <v>42761</v>
      </c>
      <c r="F26" s="49">
        <f t="shared" si="0"/>
        <v>2</v>
      </c>
      <c r="G26" s="50">
        <f>IF(F26="——","——",NETWORKDAYS(D26,E26,节日假期!$A$2:$A$28)+COUNTIFS(节日假期!B:B,"&gt;="&amp;$D26,节日假期!B:B,"&lt;="&amp;$E26)+I26)</f>
        <v>2</v>
      </c>
      <c r="H26" s="32" t="str">
        <f t="shared" ca="1" si="2"/>
        <v>已结束</v>
      </c>
      <c r="I26" s="47"/>
      <c r="J26" s="34">
        <f t="shared" ca="1" si="1"/>
        <v>42761</v>
      </c>
      <c r="K26" s="44" t="s">
        <v>242</v>
      </c>
    </row>
    <row r="27" spans="1:11">
      <c r="A27" s="32" t="s">
        <v>135</v>
      </c>
      <c r="B27" s="33" t="s">
        <v>226</v>
      </c>
      <c r="C27" s="32" t="s">
        <v>12</v>
      </c>
      <c r="D27" s="36">
        <v>42769</v>
      </c>
      <c r="E27" s="36">
        <v>42809</v>
      </c>
      <c r="F27" s="49">
        <f t="shared" si="0"/>
        <v>41</v>
      </c>
      <c r="G27" s="50">
        <f>IF(F27="——","——",NETWORKDAYS(D27,E27,节日假期!$A$2:$A$28)+COUNTIFS(节日假期!B:B,"&gt;="&amp;$D27,节日假期!B:B,"&lt;="&amp;$E27)+I27)</f>
        <v>30</v>
      </c>
      <c r="H27" s="32" t="str">
        <f t="shared" ca="1" si="2"/>
        <v>已结束</v>
      </c>
      <c r="I27" s="47"/>
      <c r="J27" s="34">
        <f t="shared" ca="1" si="1"/>
        <v>42809</v>
      </c>
      <c r="K27" s="44" t="s">
        <v>234</v>
      </c>
    </row>
    <row r="28" spans="1:11">
      <c r="A28" s="32" t="s">
        <v>220</v>
      </c>
      <c r="B28" s="33" t="s">
        <v>80</v>
      </c>
      <c r="C28" s="32" t="s">
        <v>62</v>
      </c>
      <c r="D28" s="36">
        <v>42769</v>
      </c>
      <c r="E28" s="36">
        <v>42770</v>
      </c>
      <c r="F28" s="49">
        <f t="shared" si="0"/>
        <v>2</v>
      </c>
      <c r="G28" s="50">
        <f>IF(F28="——","——",NETWORKDAYS(D28,E28,节日假期!$A$2:$A$28)+COUNTIFS(节日假期!B:B,"&gt;="&amp;$D28,节日假期!B:B,"&lt;="&amp;$E28)+I28)</f>
        <v>2</v>
      </c>
      <c r="H28" s="32" t="str">
        <f t="shared" ca="1" si="2"/>
        <v>已结束</v>
      </c>
      <c r="I28" s="47"/>
      <c r="J28" s="34">
        <f t="shared" ca="1" si="1"/>
        <v>42770</v>
      </c>
      <c r="K28" s="71" t="s">
        <v>243</v>
      </c>
    </row>
    <row r="29" spans="1:11">
      <c r="A29" s="32" t="s">
        <v>220</v>
      </c>
      <c r="B29" s="33" t="s">
        <v>81</v>
      </c>
      <c r="C29" s="32" t="s">
        <v>62</v>
      </c>
      <c r="D29" s="36">
        <v>42772</v>
      </c>
      <c r="E29" s="36">
        <v>42773</v>
      </c>
      <c r="F29" s="49">
        <f t="shared" si="0"/>
        <v>2</v>
      </c>
      <c r="G29" s="50">
        <f>IF(F29="——","——",NETWORKDAYS(D29,E29,节日假期!$A$2:$A$28)+COUNTIFS(节日假期!B:B,"&gt;="&amp;$D29,节日假期!B:B,"&lt;="&amp;$E29)+I29)</f>
        <v>2</v>
      </c>
      <c r="H29" s="32" t="str">
        <f t="shared" ca="1" si="2"/>
        <v>已结束</v>
      </c>
      <c r="I29" s="47"/>
      <c r="J29" s="34">
        <f t="shared" ca="1" si="1"/>
        <v>42773</v>
      </c>
      <c r="K29" s="71"/>
    </row>
    <row r="30" spans="1:11">
      <c r="A30" s="32" t="s">
        <v>220</v>
      </c>
      <c r="B30" s="33" t="s">
        <v>82</v>
      </c>
      <c r="C30" s="32" t="s">
        <v>62</v>
      </c>
      <c r="D30" s="36">
        <v>42774</v>
      </c>
      <c r="E30" s="36">
        <v>42774</v>
      </c>
      <c r="F30" s="49">
        <f t="shared" si="0"/>
        <v>1</v>
      </c>
      <c r="G30" s="50">
        <f>IF(F30="——","——",NETWORKDAYS(D30,E30,节日假期!$A$2:$A$28)+COUNTIFS(节日假期!B:B,"&gt;="&amp;$D30,节日假期!B:B,"&lt;="&amp;$E30)+I30)</f>
        <v>1</v>
      </c>
      <c r="H30" s="32" t="str">
        <f t="shared" ca="1" si="2"/>
        <v>已结束</v>
      </c>
      <c r="I30" s="47"/>
      <c r="J30" s="34">
        <f t="shared" ca="1" si="1"/>
        <v>42774</v>
      </c>
      <c r="K30" s="71"/>
    </row>
    <row r="31" spans="1:11">
      <c r="A31" s="32" t="s">
        <v>220</v>
      </c>
      <c r="B31" s="33" t="s">
        <v>84</v>
      </c>
      <c r="C31" s="32" t="s">
        <v>62</v>
      </c>
      <c r="D31" s="36">
        <v>42775</v>
      </c>
      <c r="E31" s="36">
        <v>42776</v>
      </c>
      <c r="F31" s="49">
        <f t="shared" si="0"/>
        <v>2</v>
      </c>
      <c r="G31" s="50">
        <f>IF(F31="——","——",NETWORKDAYS(D31,E31,节日假期!$A$2:$A$28)+COUNTIFS(节日假期!B:B,"&gt;="&amp;$D31,节日假期!B:B,"&lt;="&amp;$E31)+I31)</f>
        <v>2</v>
      </c>
      <c r="H31" s="32" t="str">
        <f t="shared" ca="1" si="2"/>
        <v>已结束</v>
      </c>
      <c r="I31" s="47"/>
      <c r="J31" s="34">
        <f t="shared" ca="1" si="1"/>
        <v>42776</v>
      </c>
      <c r="K31" s="65"/>
    </row>
    <row r="32" spans="1:11">
      <c r="A32" s="32" t="s">
        <v>220</v>
      </c>
      <c r="B32" s="33" t="s">
        <v>85</v>
      </c>
      <c r="C32" s="32" t="s">
        <v>62</v>
      </c>
      <c r="D32" s="36">
        <v>42779</v>
      </c>
      <c r="E32" s="36">
        <v>42780</v>
      </c>
      <c r="F32" s="49">
        <f t="shared" si="0"/>
        <v>2</v>
      </c>
      <c r="G32" s="50">
        <f>IF(F32="——","——",NETWORKDAYS(D32,E32,节日假期!$A$2:$A$28)+COUNTIFS(节日假期!B:B,"&gt;="&amp;$D32,节日假期!B:B,"&lt;="&amp;$E32)+I32)</f>
        <v>2</v>
      </c>
      <c r="H32" s="32" t="str">
        <f t="shared" ca="1" si="2"/>
        <v>已结束</v>
      </c>
      <c r="I32" s="47"/>
      <c r="J32" s="34">
        <f t="shared" ca="1" si="1"/>
        <v>42780</v>
      </c>
      <c r="K32" s="44"/>
    </row>
    <row r="33" spans="1:11">
      <c r="A33" s="32" t="s">
        <v>220</v>
      </c>
      <c r="B33" s="33" t="s">
        <v>86</v>
      </c>
      <c r="C33" s="32" t="s">
        <v>62</v>
      </c>
      <c r="D33" s="36">
        <v>42781</v>
      </c>
      <c r="E33" s="36">
        <v>42782</v>
      </c>
      <c r="F33" s="49">
        <f t="shared" si="0"/>
        <v>2</v>
      </c>
      <c r="G33" s="50">
        <f>IF(F33="——","——",NETWORKDAYS(D33,E33,节日假期!$A$2:$A$28)+COUNTIFS(节日假期!B:B,"&gt;="&amp;$D33,节日假期!B:B,"&lt;="&amp;$E33)+I33)</f>
        <v>2</v>
      </c>
      <c r="H33" s="32" t="str">
        <f t="shared" ca="1" si="2"/>
        <v>已结束</v>
      </c>
      <c r="I33" s="47"/>
      <c r="J33" s="34">
        <f t="shared" ca="1" si="1"/>
        <v>42782</v>
      </c>
      <c r="K33" s="44"/>
    </row>
    <row r="34" spans="1:11">
      <c r="A34" s="32" t="s">
        <v>220</v>
      </c>
      <c r="B34" s="64" t="s">
        <v>210</v>
      </c>
      <c r="C34" s="32" t="s">
        <v>62</v>
      </c>
      <c r="D34" s="36" t="s">
        <v>244</v>
      </c>
      <c r="E34" s="36" t="s">
        <v>244</v>
      </c>
      <c r="F34" s="49" t="str">
        <f t="shared" si="0"/>
        <v>——</v>
      </c>
      <c r="G34" s="50" t="str">
        <f>IF(F34="——","——",NETWORKDAYS(D34,E34,节日假期!$A$2:$A$28)+COUNTIFS(节日假期!B:B,"&gt;="&amp;$D34,节日假期!B:B,"&lt;="&amp;$E34)+I34)</f>
        <v>——</v>
      </c>
      <c r="H34" s="32" t="str">
        <f t="shared" ca="1" si="2"/>
        <v>未开始</v>
      </c>
      <c r="I34" s="47"/>
      <c r="J34" s="34" t="str">
        <f t="shared" ca="1" si="1"/>
        <v>——</v>
      </c>
      <c r="K34" s="63" t="s">
        <v>245</v>
      </c>
    </row>
    <row r="35" spans="1:11">
      <c r="A35" s="32" t="s">
        <v>220</v>
      </c>
      <c r="B35" s="33" t="s">
        <v>211</v>
      </c>
      <c r="C35" s="32" t="s">
        <v>62</v>
      </c>
      <c r="D35" s="36">
        <v>42789</v>
      </c>
      <c r="E35" s="36">
        <v>42790</v>
      </c>
      <c r="F35" s="49">
        <f t="shared" si="0"/>
        <v>2</v>
      </c>
      <c r="G35" s="50">
        <f>IF(F35="——","——",NETWORKDAYS(D35,E35,节日假期!$A$2:$A$28)+COUNTIFS(节日假期!B:B,"&gt;="&amp;$D35,节日假期!B:B,"&lt;="&amp;$E35)+I35)</f>
        <v>2</v>
      </c>
      <c r="H35" s="32" t="str">
        <f t="shared" ca="1" si="2"/>
        <v>已结束</v>
      </c>
      <c r="I35" s="47"/>
      <c r="J35" s="34">
        <f t="shared" ref="J35:J66" ca="1" si="3">IF(H35="未开始","——",E35+I35)</f>
        <v>42790</v>
      </c>
      <c r="K35" s="44" t="s">
        <v>214</v>
      </c>
    </row>
    <row r="36" spans="1:11">
      <c r="A36" s="32" t="s">
        <v>220</v>
      </c>
      <c r="B36" s="33" t="s">
        <v>212</v>
      </c>
      <c r="C36" s="32" t="s">
        <v>62</v>
      </c>
      <c r="D36" s="36">
        <v>42793</v>
      </c>
      <c r="E36" s="36">
        <v>42794</v>
      </c>
      <c r="F36" s="49">
        <f t="shared" si="0"/>
        <v>2</v>
      </c>
      <c r="G36" s="50">
        <f>IF(F36="——","——",NETWORKDAYS(D36,E36,节日假期!$A$2:$A$28)+COUNTIFS(节日假期!B:B,"&gt;="&amp;$D36,节日假期!B:B,"&lt;="&amp;$E36)+I36)</f>
        <v>2</v>
      </c>
      <c r="H36" s="32" t="str">
        <f t="shared" ca="1" si="2"/>
        <v>已结束</v>
      </c>
      <c r="I36" s="47"/>
      <c r="J36" s="34">
        <f t="shared" ca="1" si="3"/>
        <v>42794</v>
      </c>
      <c r="K36" s="44" t="s">
        <v>215</v>
      </c>
    </row>
    <row r="37" spans="1:11">
      <c r="A37" s="52" t="s">
        <v>220</v>
      </c>
      <c r="B37" s="53" t="s">
        <v>119</v>
      </c>
      <c r="C37" s="52" t="s">
        <v>62</v>
      </c>
      <c r="D37" s="54" t="s">
        <v>230</v>
      </c>
      <c r="E37" s="54" t="s">
        <v>230</v>
      </c>
      <c r="F37" s="51" t="str">
        <f t="shared" ref="F37:F38" si="4">IF(D37="——","——",IF(E37="——","——",E37-D37+1))</f>
        <v>——</v>
      </c>
      <c r="G37" s="51" t="str">
        <f>IF(F37="——","——",NETWORKDAYS(D37,E37,节日假期!$A$2:$A$28)+COUNTIFS(节日假期!B:B,"&gt;="&amp;$D37,节日假期!B:B,"&lt;="&amp;$E37)+I37)</f>
        <v>——</v>
      </c>
      <c r="H37" s="52" t="str">
        <f t="shared" ca="1" si="2"/>
        <v>未开始</v>
      </c>
      <c r="I37" s="52"/>
      <c r="J37" s="55" t="str">
        <f t="shared" ca="1" si="3"/>
        <v>——</v>
      </c>
      <c r="K37" s="56"/>
    </row>
    <row r="38" spans="1:11">
      <c r="A38" s="52" t="s">
        <v>220</v>
      </c>
      <c r="B38" s="53" t="s">
        <v>121</v>
      </c>
      <c r="C38" s="52" t="s">
        <v>62</v>
      </c>
      <c r="D38" s="54" t="s">
        <v>230</v>
      </c>
      <c r="E38" s="54" t="s">
        <v>230</v>
      </c>
      <c r="F38" s="51" t="str">
        <f t="shared" si="4"/>
        <v>——</v>
      </c>
      <c r="G38" s="51" t="str">
        <f>IF(F38="——","——",NETWORKDAYS(D38,E38,节日假期!$A$2:$A$28)+COUNTIFS(节日假期!B:B,"&gt;="&amp;$D38,节日假期!B:B,"&lt;="&amp;$E38)+I38)</f>
        <v>——</v>
      </c>
      <c r="H38" s="52" t="str">
        <f t="shared" ca="1" si="2"/>
        <v>未开始</v>
      </c>
      <c r="I38" s="52"/>
      <c r="J38" s="55" t="str">
        <f t="shared" ca="1" si="3"/>
        <v>——</v>
      </c>
      <c r="K38" s="56"/>
    </row>
    <row r="39" spans="1:11">
      <c r="A39" s="52" t="s">
        <v>220</v>
      </c>
      <c r="B39" s="53" t="s">
        <v>116</v>
      </c>
      <c r="C39" s="52" t="s">
        <v>62</v>
      </c>
      <c r="D39" s="54" t="s">
        <v>230</v>
      </c>
      <c r="E39" s="54" t="s">
        <v>230</v>
      </c>
      <c r="F39" s="51" t="str">
        <f t="shared" si="0"/>
        <v>——</v>
      </c>
      <c r="G39" s="51" t="str">
        <f>IF(F39="——","——",NETWORKDAYS(D39,E39,节日假期!$A$2:$A$28)+COUNTIFS(节日假期!B:B,"&gt;="&amp;$D39,节日假期!B:B,"&lt;="&amp;$E39)+I39)</f>
        <v>——</v>
      </c>
      <c r="H39" s="52" t="str">
        <f ca="1">IF(I39&gt;0,IF(TODAY()&gt;E40+I39,"已结束","已延期"),IF(TODAY()&lt;D39,"未开始",IF(TODAY()&gt;E40+I39,"已结束","进行中")))</f>
        <v>未开始</v>
      </c>
      <c r="I39" s="52"/>
      <c r="J39" s="55" t="str">
        <f ca="1">IF(H39="未开始","——",E40+I39)</f>
        <v>——</v>
      </c>
      <c r="K39" s="56" t="s">
        <v>213</v>
      </c>
    </row>
    <row r="40" spans="1:11">
      <c r="A40" s="52" t="s">
        <v>220</v>
      </c>
      <c r="B40" s="53" t="s">
        <v>118</v>
      </c>
      <c r="C40" s="52" t="s">
        <v>62</v>
      </c>
      <c r="D40" s="54" t="s">
        <v>32</v>
      </c>
      <c r="E40" s="54" t="s">
        <v>230</v>
      </c>
      <c r="F40" s="51" t="str">
        <f t="shared" si="0"/>
        <v>——</v>
      </c>
      <c r="G40" s="51" t="str">
        <f>IF(F40="——","——",NETWORKDAYS(D40,E40,节日假期!$A$2:$A$28)+COUNTIFS(节日假期!B:B,"&gt;="&amp;$D40,节日假期!B:B,"&lt;="&amp;$E40)+I40)</f>
        <v>——</v>
      </c>
      <c r="H40" s="52" t="str">
        <f ca="1">IF(I40&gt;0,IF(TODAY()&gt;#REF!+I40,"已结束","已延期"),IF(TODAY()&lt;D40,"未开始",IF(TODAY()&gt;#REF!+I40,"已结束","进行中")))</f>
        <v>未开始</v>
      </c>
      <c r="I40" s="52"/>
      <c r="J40" s="55" t="str">
        <f ca="1">IF(H40="未开始","——",#REF!+I40)</f>
        <v>——</v>
      </c>
      <c r="K40" s="56" t="s">
        <v>213</v>
      </c>
    </row>
    <row r="41" spans="1:11">
      <c r="A41" s="32" t="s">
        <v>220</v>
      </c>
      <c r="B41" s="33" t="s">
        <v>103</v>
      </c>
      <c r="C41" s="32" t="s">
        <v>68</v>
      </c>
      <c r="D41" s="36">
        <v>42772</v>
      </c>
      <c r="E41" s="36">
        <v>42772</v>
      </c>
      <c r="F41" s="49">
        <f t="shared" si="0"/>
        <v>1</v>
      </c>
      <c r="G41" s="50">
        <f>IF(F41="——","——",NETWORKDAYS(D41,E41,节日假期!$A$2:$A$28)+COUNTIFS(节日假期!B:B,"&gt;="&amp;$D41,节日假期!B:B,"&lt;="&amp;$E41)+I41)</f>
        <v>1</v>
      </c>
      <c r="H41" s="32" t="str">
        <f t="shared" ca="1" si="2"/>
        <v>已结束</v>
      </c>
      <c r="I41" s="47"/>
      <c r="J41" s="34">
        <f t="shared" ca="1" si="3"/>
        <v>42772</v>
      </c>
      <c r="K41" s="44"/>
    </row>
    <row r="42" spans="1:11">
      <c r="A42" s="32" t="s">
        <v>220</v>
      </c>
      <c r="B42" s="33" t="s">
        <v>221</v>
      </c>
      <c r="C42" s="32" t="s">
        <v>68</v>
      </c>
      <c r="D42" s="36">
        <v>42773</v>
      </c>
      <c r="E42" s="36">
        <v>42773</v>
      </c>
      <c r="F42" s="49">
        <f t="shared" si="0"/>
        <v>1</v>
      </c>
      <c r="G42" s="50">
        <f>IF(F42="——","——",NETWORKDAYS(D42,E42,节日假期!$A$2:$A$28)+COUNTIFS(节日假期!B:B,"&gt;="&amp;$D42,节日假期!B:B,"&lt;="&amp;$E42)+I42)</f>
        <v>1</v>
      </c>
      <c r="H42" s="32" t="str">
        <f t="shared" ca="1" si="2"/>
        <v>已结束</v>
      </c>
      <c r="I42" s="47"/>
      <c r="J42" s="34">
        <f t="shared" ca="1" si="3"/>
        <v>42773</v>
      </c>
      <c r="K42" s="44" t="s">
        <v>222</v>
      </c>
    </row>
    <row r="43" spans="1:11">
      <c r="A43" s="32" t="s">
        <v>220</v>
      </c>
      <c r="B43" s="33" t="s">
        <v>109</v>
      </c>
      <c r="C43" s="32" t="s">
        <v>68</v>
      </c>
      <c r="D43" s="36">
        <v>42774</v>
      </c>
      <c r="E43" s="36">
        <v>42776</v>
      </c>
      <c r="F43" s="49">
        <f t="shared" si="0"/>
        <v>3</v>
      </c>
      <c r="G43" s="50">
        <f>IF(F43="——","——",NETWORKDAYS(D43,E43,节日假期!$A$2:$A$28)+COUNTIFS(节日假期!B:B,"&gt;="&amp;$D43,节日假期!B:B,"&lt;="&amp;$E43)+I43)</f>
        <v>3</v>
      </c>
      <c r="H43" s="32" t="str">
        <f t="shared" ca="1" si="2"/>
        <v>已结束</v>
      </c>
      <c r="I43" s="47"/>
      <c r="J43" s="34">
        <f t="shared" ca="1" si="3"/>
        <v>42776</v>
      </c>
      <c r="K43" s="65"/>
    </row>
    <row r="44" spans="1:11">
      <c r="A44" s="32" t="s">
        <v>220</v>
      </c>
      <c r="B44" s="33" t="s">
        <v>110</v>
      </c>
      <c r="C44" s="32" t="s">
        <v>68</v>
      </c>
      <c r="D44" s="36">
        <v>42779</v>
      </c>
      <c r="E44" s="36">
        <v>42781</v>
      </c>
      <c r="F44" s="49">
        <f t="shared" si="0"/>
        <v>3</v>
      </c>
      <c r="G44" s="50">
        <f>IF(F44="——","——",NETWORKDAYS(D44,E44,节日假期!$A$2:$A$28)+COUNTIFS(节日假期!B:B,"&gt;="&amp;$D44,节日假期!B:B,"&lt;="&amp;$E44)+I44)</f>
        <v>3</v>
      </c>
      <c r="H44" s="32" t="str">
        <f t="shared" ca="1" si="2"/>
        <v>已结束</v>
      </c>
      <c r="I44" s="47"/>
      <c r="J44" s="34">
        <f t="shared" ca="1" si="3"/>
        <v>42781</v>
      </c>
      <c r="K44" s="44" t="s">
        <v>223</v>
      </c>
    </row>
    <row r="45" spans="1:11">
      <c r="A45" s="32" t="s">
        <v>220</v>
      </c>
      <c r="B45" s="33" t="s">
        <v>111</v>
      </c>
      <c r="C45" s="32" t="s">
        <v>68</v>
      </c>
      <c r="D45" s="36">
        <v>42782</v>
      </c>
      <c r="E45" s="36">
        <v>42782</v>
      </c>
      <c r="F45" s="49">
        <f t="shared" si="0"/>
        <v>1</v>
      </c>
      <c r="G45" s="50">
        <f>IF(F45="——","——",NETWORKDAYS(D45,E45,节日假期!$A$2:$A$28)+COUNTIFS(节日假期!B:B,"&gt;="&amp;$D45,节日假期!B:B,"&lt;="&amp;$E45)+I45)</f>
        <v>1</v>
      </c>
      <c r="H45" s="32" t="str">
        <f t="shared" ca="1" si="2"/>
        <v>已结束</v>
      </c>
      <c r="I45" s="47"/>
      <c r="J45" s="34">
        <f t="shared" ca="1" si="3"/>
        <v>42782</v>
      </c>
      <c r="K45" s="44"/>
    </row>
    <row r="46" spans="1:11">
      <c r="A46" s="32" t="s">
        <v>220</v>
      </c>
      <c r="B46" s="33" t="s">
        <v>87</v>
      </c>
      <c r="C46" s="32" t="s">
        <v>68</v>
      </c>
      <c r="D46" s="36">
        <v>42783</v>
      </c>
      <c r="E46" s="36">
        <v>42783</v>
      </c>
      <c r="F46" s="49">
        <f t="shared" si="0"/>
        <v>1</v>
      </c>
      <c r="G46" s="50">
        <f>IF(F46="——","——",NETWORKDAYS(D46,E46,节日假期!$A$2:$A$28)+COUNTIFS(节日假期!B:B,"&gt;="&amp;$D46,节日假期!B:B,"&lt;="&amp;$E46)+I46)</f>
        <v>1</v>
      </c>
      <c r="H46" s="32" t="str">
        <f t="shared" ca="1" si="2"/>
        <v>已结束</v>
      </c>
      <c r="I46" s="47"/>
      <c r="J46" s="34">
        <f t="shared" ca="1" si="3"/>
        <v>42783</v>
      </c>
      <c r="K46" s="44"/>
    </row>
    <row r="47" spans="1:11">
      <c r="A47" s="32" t="s">
        <v>220</v>
      </c>
      <c r="B47" s="33" t="s">
        <v>112</v>
      </c>
      <c r="C47" s="32" t="s">
        <v>68</v>
      </c>
      <c r="D47" s="36">
        <v>42786</v>
      </c>
      <c r="E47" s="36">
        <v>42786</v>
      </c>
      <c r="F47" s="49">
        <f t="shared" si="0"/>
        <v>1</v>
      </c>
      <c r="G47" s="50">
        <f>IF(F47="——","——",NETWORKDAYS(D47,E47,节日假期!$A$2:$A$28)+COUNTIFS(节日假期!B:B,"&gt;="&amp;$D47,节日假期!B:B,"&lt;="&amp;$E47)+I47)</f>
        <v>1</v>
      </c>
      <c r="H47" s="32" t="str">
        <f t="shared" ca="1" si="2"/>
        <v>已结束</v>
      </c>
      <c r="I47" s="47"/>
      <c r="J47" s="34">
        <f t="shared" ca="1" si="3"/>
        <v>42786</v>
      </c>
      <c r="K47" s="44"/>
    </row>
    <row r="48" spans="1:11">
      <c r="A48" s="32" t="s">
        <v>220</v>
      </c>
      <c r="B48" s="33" t="s">
        <v>114</v>
      </c>
      <c r="C48" s="32" t="s">
        <v>68</v>
      </c>
      <c r="D48" s="36">
        <v>42787</v>
      </c>
      <c r="E48" s="36">
        <v>42787</v>
      </c>
      <c r="F48" s="49">
        <f t="shared" si="0"/>
        <v>1</v>
      </c>
      <c r="G48" s="50">
        <f>IF(F48="——","——",NETWORKDAYS(D48,E48,节日假期!$A$2:$A$28)+COUNTIFS(节日假期!B:B,"&gt;="&amp;$D48,节日假期!B:B,"&lt;="&amp;$E48)+I48)</f>
        <v>1</v>
      </c>
      <c r="H48" s="32" t="str">
        <f t="shared" ca="1" si="2"/>
        <v>已结束</v>
      </c>
      <c r="I48" s="47"/>
      <c r="J48" s="34">
        <f t="shared" ca="1" si="3"/>
        <v>42787</v>
      </c>
      <c r="K48" s="44"/>
    </row>
    <row r="49" spans="1:11">
      <c r="A49" s="32" t="s">
        <v>220</v>
      </c>
      <c r="B49" s="33" t="s">
        <v>117</v>
      </c>
      <c r="C49" s="32" t="s">
        <v>68</v>
      </c>
      <c r="D49" s="36">
        <v>42788</v>
      </c>
      <c r="E49" s="36">
        <v>42789</v>
      </c>
      <c r="F49" s="49">
        <f t="shared" si="0"/>
        <v>2</v>
      </c>
      <c r="G49" s="50">
        <f>IF(F49="——","——",NETWORKDAYS(D49,E49,节日假期!$A$2:$A$28)+COUNTIFS(节日假期!B:B,"&gt;="&amp;$D49,节日假期!B:B,"&lt;="&amp;$E49)+I49)</f>
        <v>2</v>
      </c>
      <c r="H49" s="32" t="str">
        <f t="shared" ca="1" si="2"/>
        <v>已结束</v>
      </c>
      <c r="I49" s="47"/>
      <c r="J49" s="34">
        <f t="shared" ca="1" si="3"/>
        <v>42789</v>
      </c>
      <c r="K49" s="44"/>
    </row>
    <row r="50" spans="1:11">
      <c r="A50" s="32" t="s">
        <v>220</v>
      </c>
      <c r="B50" s="33" t="s">
        <v>113</v>
      </c>
      <c r="C50" s="32" t="s">
        <v>68</v>
      </c>
      <c r="D50" s="36">
        <v>42790</v>
      </c>
      <c r="E50" s="36">
        <v>42793</v>
      </c>
      <c r="F50" s="49">
        <f t="shared" si="0"/>
        <v>4</v>
      </c>
      <c r="G50" s="50">
        <f>IF(F50="——","——",NETWORKDAYS(D50,E50,节日假期!$A$2:$A$28)+COUNTIFS(节日假期!B:B,"&gt;="&amp;$D50,节日假期!B:B,"&lt;="&amp;$E50)+I50)</f>
        <v>2</v>
      </c>
      <c r="H50" s="32" t="str">
        <f t="shared" ca="1" si="2"/>
        <v>已结束</v>
      </c>
      <c r="I50" s="47"/>
      <c r="J50" s="34">
        <f t="shared" ca="1" si="3"/>
        <v>42793</v>
      </c>
      <c r="K50" s="44" t="s">
        <v>216</v>
      </c>
    </row>
    <row r="51" spans="1:11">
      <c r="A51" s="32" t="s">
        <v>220</v>
      </c>
      <c r="B51" s="33" t="s">
        <v>101</v>
      </c>
      <c r="C51" s="32" t="s">
        <v>68</v>
      </c>
      <c r="D51" s="36">
        <v>42794</v>
      </c>
      <c r="E51" s="36">
        <v>42795</v>
      </c>
      <c r="F51" s="49">
        <f t="shared" si="0"/>
        <v>2</v>
      </c>
      <c r="G51" s="50">
        <f>IF(F51="——","——",NETWORKDAYS(D51,E51,节日假期!$A$2:$A$28)+COUNTIFS(节日假期!B:B,"&gt;="&amp;$D51,节日假期!B:B,"&lt;="&amp;$E51)+I51)</f>
        <v>2</v>
      </c>
      <c r="H51" s="32" t="str">
        <f t="shared" ca="1" si="2"/>
        <v>已结束</v>
      </c>
      <c r="I51" s="47"/>
      <c r="J51" s="34">
        <f t="shared" ca="1" si="3"/>
        <v>42795</v>
      </c>
      <c r="K51" s="44"/>
    </row>
    <row r="52" spans="1:11">
      <c r="A52" s="32" t="s">
        <v>220</v>
      </c>
      <c r="B52" s="33" t="s">
        <v>99</v>
      </c>
      <c r="C52" s="32" t="s">
        <v>68</v>
      </c>
      <c r="D52" s="36">
        <v>42796</v>
      </c>
      <c r="E52" s="36">
        <v>42797</v>
      </c>
      <c r="F52" s="49">
        <f t="shared" si="0"/>
        <v>2</v>
      </c>
      <c r="G52" s="50">
        <f>IF(F52="——","——",NETWORKDAYS(D52,E52,节日假期!$A$2:$A$28)+COUNTIFS(节日假期!B:B,"&gt;="&amp;$D52,节日假期!B:B,"&lt;="&amp;$E52)+I52)</f>
        <v>2</v>
      </c>
      <c r="H52" s="32" t="str">
        <f t="shared" ca="1" si="2"/>
        <v>已结束</v>
      </c>
      <c r="I52" s="47"/>
      <c r="J52" s="34">
        <f t="shared" ca="1" si="3"/>
        <v>42797</v>
      </c>
      <c r="K52" s="44" t="s">
        <v>217</v>
      </c>
    </row>
    <row r="53" spans="1:11">
      <c r="A53" s="32" t="s">
        <v>220</v>
      </c>
      <c r="B53" s="33" t="s">
        <v>124</v>
      </c>
      <c r="C53" s="32" t="s">
        <v>68</v>
      </c>
      <c r="D53" s="36">
        <v>42800</v>
      </c>
      <c r="E53" s="36">
        <v>42803</v>
      </c>
      <c r="F53" s="49">
        <f t="shared" si="0"/>
        <v>4</v>
      </c>
      <c r="G53" s="50">
        <f>IF(F53="——","——",NETWORKDAYS(D53,E53,节日假期!$A$2:$A$28)+COUNTIFS(节日假期!B:B,"&gt;="&amp;$D53,节日假期!B:B,"&lt;="&amp;$E53)+I53)</f>
        <v>4</v>
      </c>
      <c r="H53" s="32" t="str">
        <f t="shared" ca="1" si="2"/>
        <v>已结束</v>
      </c>
      <c r="I53" s="47"/>
      <c r="J53" s="34">
        <f t="shared" ca="1" si="3"/>
        <v>42803</v>
      </c>
      <c r="K53" s="44"/>
    </row>
    <row r="54" spans="1:11">
      <c r="A54" s="32" t="s">
        <v>220</v>
      </c>
      <c r="B54" s="33" t="s">
        <v>122</v>
      </c>
      <c r="C54" s="32" t="s">
        <v>68</v>
      </c>
      <c r="D54" s="36">
        <v>42804</v>
      </c>
      <c r="E54" s="36">
        <v>42807</v>
      </c>
      <c r="F54" s="49">
        <f t="shared" si="0"/>
        <v>4</v>
      </c>
      <c r="G54" s="50">
        <f>IF(F54="——","——",NETWORKDAYS(D54,E54,节日假期!$A$2:$A$28)+COUNTIFS(节日假期!B:B,"&gt;="&amp;$D54,节日假期!B:B,"&lt;="&amp;$E54)+I54)</f>
        <v>2</v>
      </c>
      <c r="H54" s="32" t="str">
        <f t="shared" ca="1" si="2"/>
        <v>已结束</v>
      </c>
      <c r="I54" s="47"/>
      <c r="J54" s="34">
        <f t="shared" ca="1" si="3"/>
        <v>42807</v>
      </c>
      <c r="K54" s="44" t="s">
        <v>218</v>
      </c>
    </row>
    <row r="55" spans="1:11">
      <c r="A55" s="32" t="s">
        <v>220</v>
      </c>
      <c r="B55" s="33" t="s">
        <v>123</v>
      </c>
      <c r="C55" s="32" t="s">
        <v>68</v>
      </c>
      <c r="D55" s="36">
        <v>42808</v>
      </c>
      <c r="E55" s="36">
        <v>42809</v>
      </c>
      <c r="F55" s="49">
        <f t="shared" si="0"/>
        <v>2</v>
      </c>
      <c r="G55" s="50">
        <f>IF(F55="——","——",NETWORKDAYS(D55,E55,节日假期!$A$2:$A$28)+COUNTIFS(节日假期!B:B,"&gt;="&amp;$D55,节日假期!B:B,"&lt;="&amp;$E55)+I55)</f>
        <v>2</v>
      </c>
      <c r="H55" s="32" t="str">
        <f t="shared" ca="1" si="2"/>
        <v>已结束</v>
      </c>
      <c r="I55" s="47"/>
      <c r="J55" s="34">
        <f t="shared" ca="1" si="3"/>
        <v>42809</v>
      </c>
      <c r="K55" s="44" t="s">
        <v>218</v>
      </c>
    </row>
    <row r="56" spans="1:11">
      <c r="A56" s="32" t="s">
        <v>235</v>
      </c>
      <c r="B56" s="64" t="s">
        <v>247</v>
      </c>
      <c r="C56" s="32" t="s">
        <v>236</v>
      </c>
      <c r="D56" s="36">
        <v>42779</v>
      </c>
      <c r="E56" s="36">
        <v>42788</v>
      </c>
      <c r="F56" s="49"/>
      <c r="G56" s="50">
        <f>IF(F56="——","——",NETWORKDAYS(D56,E56,节日假期!$A$2:$A$28)+COUNTIFS(节日假期!B:B,"&gt;="&amp;$D56,节日假期!B:B,"&lt;="&amp;$E56)+I56)</f>
        <v>8</v>
      </c>
      <c r="H56" s="32" t="str">
        <f t="shared" ca="1" si="2"/>
        <v>已结束</v>
      </c>
      <c r="I56" s="47"/>
      <c r="J56" s="34">
        <f t="shared" ref="J56" ca="1" si="5">IF(H56="未开始","——",E56+I56)</f>
        <v>42788</v>
      </c>
      <c r="K56" s="44" t="s">
        <v>246</v>
      </c>
    </row>
    <row r="57" spans="1:11">
      <c r="A57" s="58" t="s">
        <v>135</v>
      </c>
      <c r="B57" s="59" t="s">
        <v>58</v>
      </c>
      <c r="C57" s="58" t="s">
        <v>9</v>
      </c>
      <c r="D57" s="60" t="s">
        <v>232</v>
      </c>
      <c r="E57" s="60" t="s">
        <v>232</v>
      </c>
      <c r="F57" s="57" t="str">
        <f t="shared" si="0"/>
        <v>——</v>
      </c>
      <c r="G57" s="57" t="str">
        <f>IF(F57="——","——",NETWORKDAYS(D57,E57,节日假期!$A$2:$A$28)+COUNTIFS(节日假期!B:B,"&gt;="&amp;$D57,节日假期!B:B,"&lt;="&amp;$E57)+I57)</f>
        <v>——</v>
      </c>
      <c r="H57" s="58" t="str">
        <f t="shared" ca="1" si="2"/>
        <v>未开始</v>
      </c>
      <c r="I57" s="58"/>
      <c r="J57" s="61" t="str">
        <f t="shared" ca="1" si="3"/>
        <v>——</v>
      </c>
      <c r="K57" s="62"/>
    </row>
    <row r="58" spans="1:11">
      <c r="A58" s="58" t="s">
        <v>135</v>
      </c>
      <c r="B58" s="59" t="s">
        <v>59</v>
      </c>
      <c r="C58" s="58" t="s">
        <v>9</v>
      </c>
      <c r="D58" s="60" t="s">
        <v>232</v>
      </c>
      <c r="E58" s="60" t="s">
        <v>232</v>
      </c>
      <c r="F58" s="57" t="str">
        <f t="shared" si="0"/>
        <v>——</v>
      </c>
      <c r="G58" s="57" t="str">
        <f>IF(F58="——","——",NETWORKDAYS(D58,E58,节日假期!$A$2:$A$28)+COUNTIFS(节日假期!B:B,"&gt;="&amp;$D58,节日假期!B:B,"&lt;="&amp;$E58)+I58)</f>
        <v>——</v>
      </c>
      <c r="H58" s="58" t="str">
        <f t="shared" ca="1" si="2"/>
        <v>未开始</v>
      </c>
      <c r="I58" s="58"/>
      <c r="J58" s="61" t="str">
        <f t="shared" ca="1" si="3"/>
        <v>——</v>
      </c>
      <c r="K58" s="62"/>
    </row>
    <row r="59" spans="1:11">
      <c r="A59" s="58" t="s">
        <v>135</v>
      </c>
      <c r="B59" s="59" t="s">
        <v>60</v>
      </c>
      <c r="C59" s="58" t="s">
        <v>9</v>
      </c>
      <c r="D59" s="60" t="s">
        <v>232</v>
      </c>
      <c r="E59" s="60" t="s">
        <v>232</v>
      </c>
      <c r="F59" s="57" t="str">
        <f t="shared" si="0"/>
        <v>——</v>
      </c>
      <c r="G59" s="57" t="str">
        <f>IF(F59="——","——",NETWORKDAYS(D59,E59,节日假期!$A$2:$A$28)+COUNTIFS(节日假期!B:B,"&gt;="&amp;$D59,节日假期!B:B,"&lt;="&amp;$E59)+I59)</f>
        <v>——</v>
      </c>
      <c r="H59" s="58" t="str">
        <f t="shared" ca="1" si="2"/>
        <v>未开始</v>
      </c>
      <c r="I59" s="58"/>
      <c r="J59" s="61" t="str">
        <f t="shared" ca="1" si="3"/>
        <v>——</v>
      </c>
      <c r="K59" s="62"/>
    </row>
    <row r="60" spans="1:11">
      <c r="A60" s="32" t="s">
        <v>135</v>
      </c>
      <c r="B60" s="64" t="s">
        <v>49</v>
      </c>
      <c r="C60" s="32" t="s">
        <v>236</v>
      </c>
      <c r="D60" s="36">
        <v>42773</v>
      </c>
      <c r="E60" s="36">
        <v>42776</v>
      </c>
      <c r="F60" s="49">
        <f t="shared" si="0"/>
        <v>4</v>
      </c>
      <c r="G60" s="50">
        <f>IF(F60="——","——",NETWORKDAYS(D60,E60,节日假期!$A$2:$A$28)+COUNTIFS(节日假期!B:B,"&gt;="&amp;$D60,节日假期!B:B,"&lt;="&amp;$E60)+I60)</f>
        <v>4</v>
      </c>
      <c r="H60" s="32" t="str">
        <f t="shared" ca="1" si="2"/>
        <v>已结束</v>
      </c>
      <c r="I60" s="47"/>
      <c r="J60" s="34">
        <f t="shared" ca="1" si="3"/>
        <v>42776</v>
      </c>
      <c r="K60" s="44"/>
    </row>
    <row r="61" spans="1:11">
      <c r="A61" s="32" t="s">
        <v>154</v>
      </c>
      <c r="B61" s="33" t="s">
        <v>128</v>
      </c>
      <c r="C61" s="32" t="s">
        <v>132</v>
      </c>
      <c r="D61" s="36">
        <v>42769</v>
      </c>
      <c r="E61" s="36">
        <v>42772</v>
      </c>
      <c r="F61" s="49">
        <f t="shared" si="0"/>
        <v>4</v>
      </c>
      <c r="G61" s="50">
        <f>IF(F61="——","——",NETWORKDAYS(D61,E61,节日假期!$A$2:$A$28)+COUNTIFS(节日假期!B:B,"&gt;="&amp;$D61,节日假期!B:B,"&lt;="&amp;$E61)+I61)</f>
        <v>3</v>
      </c>
      <c r="H61" s="32" t="str">
        <f t="shared" ca="1" si="2"/>
        <v>已结束</v>
      </c>
      <c r="I61" s="47"/>
      <c r="J61" s="34">
        <f t="shared" ca="1" si="3"/>
        <v>42772</v>
      </c>
      <c r="K61" s="44"/>
    </row>
    <row r="62" spans="1:11">
      <c r="A62" s="58" t="s">
        <v>154</v>
      </c>
      <c r="B62" s="59" t="s">
        <v>130</v>
      </c>
      <c r="C62" s="58" t="s">
        <v>132</v>
      </c>
      <c r="D62" s="60" t="s">
        <v>232</v>
      </c>
      <c r="E62" s="60" t="s">
        <v>232</v>
      </c>
      <c r="F62" s="57" t="str">
        <f t="shared" si="0"/>
        <v>——</v>
      </c>
      <c r="G62" s="57" t="str">
        <f>IF(F62="——","——",NETWORKDAYS(D62,E62,节日假期!$A$2:$A$28)+COUNTIFS(节日假期!B:B,"&gt;="&amp;$D62,节日假期!B:B,"&lt;="&amp;$E62)+I62)</f>
        <v>——</v>
      </c>
      <c r="H62" s="58" t="str">
        <f t="shared" ca="1" si="2"/>
        <v>未开始</v>
      </c>
      <c r="I62" s="58"/>
      <c r="J62" s="61" t="str">
        <f t="shared" ca="1" si="3"/>
        <v>——</v>
      </c>
      <c r="K62" s="62"/>
    </row>
    <row r="63" spans="1:11">
      <c r="A63" s="58" t="s">
        <v>154</v>
      </c>
      <c r="B63" s="59" t="s">
        <v>131</v>
      </c>
      <c r="C63" s="58" t="s">
        <v>132</v>
      </c>
      <c r="D63" s="60" t="s">
        <v>232</v>
      </c>
      <c r="E63" s="60" t="s">
        <v>232</v>
      </c>
      <c r="F63" s="57" t="str">
        <f t="shared" si="0"/>
        <v>——</v>
      </c>
      <c r="G63" s="57" t="str">
        <f>IF(F63="——","——",NETWORKDAYS(D63,E63,节日假期!$A$2:$A$28)+COUNTIFS(节日假期!B:B,"&gt;="&amp;$D63,节日假期!B:B,"&lt;="&amp;$E63)+I63)</f>
        <v>——</v>
      </c>
      <c r="H63" s="58" t="str">
        <f t="shared" ca="1" si="2"/>
        <v>未开始</v>
      </c>
      <c r="I63" s="58"/>
      <c r="J63" s="61" t="str">
        <f t="shared" ca="1" si="3"/>
        <v>——</v>
      </c>
      <c r="K63" s="62"/>
    </row>
    <row r="64" spans="1:11">
      <c r="A64" s="32" t="s">
        <v>154</v>
      </c>
      <c r="B64" s="64" t="s">
        <v>238</v>
      </c>
      <c r="C64" s="32" t="s">
        <v>132</v>
      </c>
      <c r="D64" s="36">
        <v>42773</v>
      </c>
      <c r="E64" s="36">
        <v>42788</v>
      </c>
      <c r="F64" s="49">
        <f t="shared" si="0"/>
        <v>16</v>
      </c>
      <c r="G64" s="50">
        <f>IF(F64="——","——",NETWORKDAYS(D64,E64,节日假期!$A$2:$A$28)+COUNTIFS(节日假期!B:B,"&gt;="&amp;$D64,节日假期!B:B,"&lt;="&amp;$E64)+I64)</f>
        <v>12</v>
      </c>
      <c r="H64" s="32" t="str">
        <f t="shared" ca="1" si="2"/>
        <v>已结束</v>
      </c>
      <c r="I64" s="47"/>
      <c r="J64" s="34">
        <f t="shared" ca="1" si="3"/>
        <v>42788</v>
      </c>
      <c r="K64" s="63" t="s">
        <v>237</v>
      </c>
    </row>
    <row r="65" spans="1:11">
      <c r="A65" s="58" t="s">
        <v>150</v>
      </c>
      <c r="B65" s="59" t="s">
        <v>209</v>
      </c>
      <c r="C65" s="58" t="s">
        <v>208</v>
      </c>
      <c r="D65" s="60" t="s">
        <v>232</v>
      </c>
      <c r="E65" s="60" t="s">
        <v>232</v>
      </c>
      <c r="F65" s="57" t="str">
        <f t="shared" si="0"/>
        <v>——</v>
      </c>
      <c r="G65" s="57" t="str">
        <f>IF(F65="——","——",NETWORKDAYS(D65,E65,节日假期!$A$2:$A$28)+COUNTIFS(节日假期!B:B,"&gt;="&amp;$D65,节日假期!B:B,"&lt;="&amp;$E65)+I65)</f>
        <v>——</v>
      </c>
      <c r="H65" s="58" t="str">
        <f t="shared" ca="1" si="2"/>
        <v>未开始</v>
      </c>
      <c r="I65" s="58"/>
      <c r="J65" s="61" t="str">
        <f t="shared" ca="1" si="3"/>
        <v>——</v>
      </c>
      <c r="K65" s="62"/>
    </row>
    <row r="66" spans="1:11">
      <c r="A66" s="32" t="s">
        <v>154</v>
      </c>
      <c r="B66" s="33" t="s">
        <v>155</v>
      </c>
      <c r="C66" s="32" t="s">
        <v>156</v>
      </c>
      <c r="D66" s="36" t="s">
        <v>32</v>
      </c>
      <c r="E66" s="36" t="s">
        <v>230</v>
      </c>
      <c r="F66" s="49" t="str">
        <f t="shared" si="0"/>
        <v>——</v>
      </c>
      <c r="G66" s="50" t="str">
        <f>IF(F66="——","——",NETWORKDAYS(D66,E66,节日假期!$A$2:$A$28)+COUNTIFS(节日假期!B:B,"&gt;="&amp;$D66,节日假期!B:B,"&lt;="&amp;$E66)+I66)</f>
        <v>——</v>
      </c>
      <c r="H66" s="32" t="str">
        <f t="shared" ca="1" si="2"/>
        <v>未开始</v>
      </c>
      <c r="I66" s="47"/>
      <c r="J66" s="34" t="str">
        <f t="shared" ca="1" si="3"/>
        <v>——</v>
      </c>
      <c r="K66" s="44" t="s">
        <v>157</v>
      </c>
    </row>
    <row r="67" spans="1:11">
      <c r="A67" s="32" t="s">
        <v>154</v>
      </c>
      <c r="B67" s="33" t="s">
        <v>158</v>
      </c>
      <c r="C67" s="32" t="s">
        <v>156</v>
      </c>
      <c r="D67" s="36" t="s">
        <v>32</v>
      </c>
      <c r="E67" s="36" t="s">
        <v>32</v>
      </c>
      <c r="F67" s="49" t="str">
        <f t="shared" ref="F67:F68" si="6">IF(D67="——","——",IF(E67="——","——",E67-D67+1))</f>
        <v>——</v>
      </c>
      <c r="G67" s="50" t="str">
        <f>IF(F67="——","——",NETWORKDAYS(D67,E67,节日假期!$A$2:$A$28)+COUNTIFS(节日假期!B:B,"&gt;="&amp;$D67,节日假期!B:B,"&lt;="&amp;$E67)+I67)</f>
        <v>——</v>
      </c>
      <c r="H67" s="32" t="str">
        <f t="shared" ca="1" si="2"/>
        <v>未开始</v>
      </c>
      <c r="I67" s="47"/>
      <c r="J67" s="34" t="str">
        <f t="shared" ref="J67:J68" ca="1" si="7">IF(H67="未开始","——",E67+I67)</f>
        <v>——</v>
      </c>
      <c r="K67" s="44" t="s">
        <v>157</v>
      </c>
    </row>
    <row r="68" spans="1:11">
      <c r="A68" s="32" t="s">
        <v>219</v>
      </c>
      <c r="B68" s="33" t="s">
        <v>129</v>
      </c>
      <c r="C68" s="32" t="s">
        <v>152</v>
      </c>
      <c r="D68" s="36">
        <v>42769</v>
      </c>
      <c r="E68" s="36">
        <v>42788</v>
      </c>
      <c r="F68" s="49">
        <f t="shared" si="6"/>
        <v>20</v>
      </c>
      <c r="G68" s="50">
        <f>IF(F68="——","——",NETWORKDAYS(D68,E68,节日假期!$A$2:$A$28)+COUNTIFS(节日假期!B:B,"&gt;="&amp;$D68,节日假期!B:B,"&lt;="&amp;$E68)+I68)</f>
        <v>8</v>
      </c>
      <c r="H68" s="32" t="str">
        <f t="shared" ref="H68" ca="1" si="8">IF(I68&gt;0,IF(TODAY()&gt;E68+I68,"已结束","已延期"),IF(TODAY()&lt;D68,"未开始",IF(TODAY()&gt;E68+I68,"已结束","进行中")))</f>
        <v>已结束</v>
      </c>
      <c r="I68" s="47">
        <v>-7</v>
      </c>
      <c r="J68" s="34">
        <f t="shared" ca="1" si="7"/>
        <v>42781</v>
      </c>
      <c r="K68" s="44" t="s">
        <v>248</v>
      </c>
    </row>
  </sheetData>
  <autoFilter ref="A2:K2">
    <sortState ref="A3:J69">
      <sortCondition ref="C2"/>
    </sortState>
  </autoFilter>
  <mergeCells count="2">
    <mergeCell ref="A1:K1"/>
    <mergeCell ref="K28:K30"/>
  </mergeCells>
  <phoneticPr fontId="4" type="noConversion"/>
  <conditionalFormatting sqref="K32:K39 A38:C39 I33:J36 I38:J39 K44:K55 I3:J31 A40:D40 A3:E36 D39 F3:F9 A41:E68 H3:H68 J57:K68 I40:I68 F40:F68 G39:G68 K3:K28">
    <cfRule type="expression" dxfId="239" priority="296">
      <formula>$H3="未开始"</formula>
    </cfRule>
    <cfRule type="expression" dxfId="238" priority="297" stopIfTrue="1">
      <formula>$H3="已结束"</formula>
    </cfRule>
    <cfRule type="expression" dxfId="237" priority="298" stopIfTrue="1">
      <formula>$H3="进行中"</formula>
    </cfRule>
    <cfRule type="expression" dxfId="236" priority="299">
      <formula>$I3&gt;0</formula>
    </cfRule>
  </conditionalFormatting>
  <conditionalFormatting sqref="I28">
    <cfRule type="expression" dxfId="235" priority="250">
      <formula>$H28="未开始"</formula>
    </cfRule>
    <cfRule type="expression" dxfId="234" priority="251" stopIfTrue="1">
      <formula>$H28="已结束"</formula>
    </cfRule>
    <cfRule type="expression" dxfId="233" priority="252" stopIfTrue="1">
      <formula>$H28="进行中"</formula>
    </cfRule>
    <cfRule type="expression" dxfId="232" priority="253">
      <formula>$I28&gt;0</formula>
    </cfRule>
  </conditionalFormatting>
  <conditionalFormatting sqref="B31:B36">
    <cfRule type="expression" dxfId="231" priority="225">
      <formula>$H31="未开始"</formula>
    </cfRule>
    <cfRule type="expression" dxfId="230" priority="226" stopIfTrue="1">
      <formula>$H31="已结束"</formula>
    </cfRule>
    <cfRule type="expression" dxfId="229" priority="227" stopIfTrue="1">
      <formula>$H31="进行中"</formula>
    </cfRule>
    <cfRule type="expression" dxfId="228" priority="228">
      <formula>$I31&gt;0</formula>
    </cfRule>
  </conditionalFormatting>
  <conditionalFormatting sqref="I32:J32">
    <cfRule type="expression" dxfId="227" priority="213">
      <formula>$H32="未开始"</formula>
    </cfRule>
    <cfRule type="expression" dxfId="226" priority="214" stopIfTrue="1">
      <formula>$H32="已结束"</formula>
    </cfRule>
    <cfRule type="expression" dxfId="225" priority="215" stopIfTrue="1">
      <formula>$H32="进行中"</formula>
    </cfRule>
    <cfRule type="expression" dxfId="224" priority="216">
      <formula>$I32&gt;0</formula>
    </cfRule>
  </conditionalFormatting>
  <conditionalFormatting sqref="I32">
    <cfRule type="expression" dxfId="223" priority="209">
      <formula>$H32="未开始"</formula>
    </cfRule>
    <cfRule type="expression" dxfId="222" priority="210" stopIfTrue="1">
      <formula>$H32="已结束"</formula>
    </cfRule>
    <cfRule type="expression" dxfId="221" priority="211" stopIfTrue="1">
      <formula>$H32="进行中"</formula>
    </cfRule>
    <cfRule type="expression" dxfId="220" priority="212">
      <formula>$I32&gt;0</formula>
    </cfRule>
  </conditionalFormatting>
  <conditionalFormatting sqref="C32 A32:A36 A38:A39">
    <cfRule type="expression" dxfId="219" priority="623">
      <formula>$H32="未开始"</formula>
    </cfRule>
    <cfRule type="expression" dxfId="218" priority="624" stopIfTrue="1">
      <formula>$H32="已结束"</formula>
    </cfRule>
    <cfRule type="expression" dxfId="217" priority="625" stopIfTrue="1">
      <formula>$H32="进行中"</formula>
    </cfRule>
    <cfRule type="expression" dxfId="216" priority="626">
      <formula>#REF!&gt;0</formula>
    </cfRule>
  </conditionalFormatting>
  <conditionalFormatting sqref="A37:C37">
    <cfRule type="expression" dxfId="215" priority="149">
      <formula>$H37="未开始"</formula>
    </cfRule>
    <cfRule type="expression" dxfId="214" priority="150" stopIfTrue="1">
      <formula>$H37="已结束"</formula>
    </cfRule>
    <cfRule type="expression" dxfId="213" priority="151" stopIfTrue="1">
      <formula>$H37="进行中"</formula>
    </cfRule>
    <cfRule type="expression" dxfId="212" priority="152">
      <formula>$I37&gt;0</formula>
    </cfRule>
  </conditionalFormatting>
  <conditionalFormatting sqref="I37">
    <cfRule type="expression" dxfId="211" priority="145">
      <formula>$H37="未开始"</formula>
    </cfRule>
    <cfRule type="expression" dxfId="210" priority="146" stopIfTrue="1">
      <formula>$H37="已结束"</formula>
    </cfRule>
    <cfRule type="expression" dxfId="209" priority="147" stopIfTrue="1">
      <formula>$H37="进行中"</formula>
    </cfRule>
    <cfRule type="expression" dxfId="208" priority="148">
      <formula>$I37&gt;0</formula>
    </cfRule>
  </conditionalFormatting>
  <conditionalFormatting sqref="B37">
    <cfRule type="expression" dxfId="207" priority="141">
      <formula>$H37="未开始"</formula>
    </cfRule>
    <cfRule type="expression" dxfId="206" priority="142" stopIfTrue="1">
      <formula>$H37="已结束"</formula>
    </cfRule>
    <cfRule type="expression" dxfId="205" priority="143" stopIfTrue="1">
      <formula>$H37="进行中"</formula>
    </cfRule>
    <cfRule type="expression" dxfId="204" priority="144">
      <formula>$I37&gt;0</formula>
    </cfRule>
  </conditionalFormatting>
  <conditionalFormatting sqref="J37">
    <cfRule type="expression" dxfId="203" priority="137">
      <formula>$H37="未开始"</formula>
    </cfRule>
    <cfRule type="expression" dxfId="202" priority="138" stopIfTrue="1">
      <formula>$H37="已结束"</formula>
    </cfRule>
    <cfRule type="expression" dxfId="201" priority="139" stopIfTrue="1">
      <formula>$H37="进行中"</formula>
    </cfRule>
    <cfRule type="expression" dxfId="200" priority="140">
      <formula>$I37&gt;0</formula>
    </cfRule>
  </conditionalFormatting>
  <conditionalFormatting sqref="A37">
    <cfRule type="expression" dxfId="199" priority="153">
      <formula>$H37="未开始"</formula>
    </cfRule>
    <cfRule type="expression" dxfId="198" priority="154" stopIfTrue="1">
      <formula>$H37="已结束"</formula>
    </cfRule>
    <cfRule type="expression" dxfId="197" priority="155" stopIfTrue="1">
      <formula>$H37="进行中"</formula>
    </cfRule>
    <cfRule type="expression" dxfId="196" priority="156">
      <formula>#REF!&gt;0</formula>
    </cfRule>
  </conditionalFormatting>
  <conditionalFormatting sqref="J40:J55">
    <cfRule type="expression" dxfId="195" priority="97">
      <formula>$H40="未开始"</formula>
    </cfRule>
    <cfRule type="expression" dxfId="194" priority="98" stopIfTrue="1">
      <formula>$H40="已结束"</formula>
    </cfRule>
    <cfRule type="expression" dxfId="193" priority="99" stopIfTrue="1">
      <formula>$H40="进行中"</formula>
    </cfRule>
    <cfRule type="expression" dxfId="192" priority="100">
      <formula>$I40&gt;0</formula>
    </cfRule>
  </conditionalFormatting>
  <conditionalFormatting sqref="K40">
    <cfRule type="expression" dxfId="191" priority="89">
      <formula>$H40="未开始"</formula>
    </cfRule>
    <cfRule type="expression" dxfId="190" priority="90" stopIfTrue="1">
      <formula>$H40="已结束"</formula>
    </cfRule>
    <cfRule type="expression" dxfId="189" priority="91" stopIfTrue="1">
      <formula>$H40="进行中"</formula>
    </cfRule>
    <cfRule type="expression" dxfId="188" priority="92">
      <formula>$I40&gt;0</formula>
    </cfRule>
  </conditionalFormatting>
  <conditionalFormatting sqref="K42">
    <cfRule type="expression" dxfId="187" priority="631">
      <formula>$H31="未开始"</formula>
    </cfRule>
    <cfRule type="expression" dxfId="186" priority="632" stopIfTrue="1">
      <formula>$H31="已结束"</formula>
    </cfRule>
    <cfRule type="expression" dxfId="185" priority="633" stopIfTrue="1">
      <formula>$H31="进行中"</formula>
    </cfRule>
    <cfRule type="expression" dxfId="184" priority="634">
      <formula>$I31&gt;0</formula>
    </cfRule>
  </conditionalFormatting>
  <conditionalFormatting sqref="E39:E40">
    <cfRule type="expression" dxfId="183" priority="45">
      <formula>$H39="未开始"</formula>
    </cfRule>
    <cfRule type="expression" dxfId="182" priority="46" stopIfTrue="1">
      <formula>$H39="已结束"</formula>
    </cfRule>
    <cfRule type="expression" dxfId="181" priority="47" stopIfTrue="1">
      <formula>$H39="进行中"</formula>
    </cfRule>
    <cfRule type="expression" dxfId="180" priority="48">
      <formula>$I39&gt;0</formula>
    </cfRule>
  </conditionalFormatting>
  <conditionalFormatting sqref="F39">
    <cfRule type="expression" dxfId="179" priority="37">
      <formula>$H39="未开始"</formula>
    </cfRule>
    <cfRule type="expression" dxfId="178" priority="38" stopIfTrue="1">
      <formula>$H39="已结束"</formula>
    </cfRule>
    <cfRule type="expression" dxfId="177" priority="39" stopIfTrue="1">
      <formula>$H39="进行中"</formula>
    </cfRule>
    <cfRule type="expression" dxfId="176" priority="40">
      <formula>$I39&gt;0</formula>
    </cfRule>
  </conditionalFormatting>
  <conditionalFormatting sqref="F10:F36 G3:G36">
    <cfRule type="expression" dxfId="175" priority="41">
      <formula>$H3="未开始"</formula>
    </cfRule>
    <cfRule type="expression" dxfId="174" priority="42" stopIfTrue="1">
      <formula>$H3="已结束"</formula>
    </cfRule>
    <cfRule type="expression" dxfId="173" priority="43" stopIfTrue="1">
      <formula>$H3="进行中"</formula>
    </cfRule>
    <cfRule type="expression" dxfId="172" priority="44">
      <formula>$I3&gt;0</formula>
    </cfRule>
  </conditionalFormatting>
  <conditionalFormatting sqref="D37:D38">
    <cfRule type="expression" dxfId="171" priority="33">
      <formula>$H37="未开始"</formula>
    </cfRule>
    <cfRule type="expression" dxfId="170" priority="34" stopIfTrue="1">
      <formula>$H37="已结束"</formula>
    </cfRule>
    <cfRule type="expression" dxfId="169" priority="35" stopIfTrue="1">
      <formula>$H37="进行中"</formula>
    </cfRule>
    <cfRule type="expression" dxfId="168" priority="36">
      <formula>$I37&gt;0</formula>
    </cfRule>
  </conditionalFormatting>
  <conditionalFormatting sqref="E37:E38">
    <cfRule type="expression" dxfId="167" priority="29">
      <formula>$H37="未开始"</formula>
    </cfRule>
    <cfRule type="expression" dxfId="166" priority="30" stopIfTrue="1">
      <formula>$H37="已结束"</formula>
    </cfRule>
    <cfRule type="expression" dxfId="165" priority="31" stopIfTrue="1">
      <formula>$H37="进行中"</formula>
    </cfRule>
    <cfRule type="expression" dxfId="164" priority="32">
      <formula>$I37&gt;0</formula>
    </cfRule>
  </conditionalFormatting>
  <conditionalFormatting sqref="F37:F38">
    <cfRule type="expression" dxfId="163" priority="21">
      <formula>$H37="未开始"</formula>
    </cfRule>
    <cfRule type="expression" dxfId="162" priority="22" stopIfTrue="1">
      <formula>$H37="已结束"</formula>
    </cfRule>
    <cfRule type="expression" dxfId="161" priority="23" stopIfTrue="1">
      <formula>$H37="进行中"</formula>
    </cfRule>
    <cfRule type="expression" dxfId="160" priority="24">
      <formula>$I37&gt;0</formula>
    </cfRule>
  </conditionalFormatting>
  <conditionalFormatting sqref="G37:G38">
    <cfRule type="expression" dxfId="159" priority="25">
      <formula>$H37="未开始"</formula>
    </cfRule>
    <cfRule type="expression" dxfId="158" priority="26" stopIfTrue="1">
      <formula>$H37="已结束"</formula>
    </cfRule>
    <cfRule type="expression" dxfId="157" priority="27" stopIfTrue="1">
      <formula>$H37="进行中"</formula>
    </cfRule>
    <cfRule type="expression" dxfId="156" priority="28">
      <formula>$I37&gt;0</formula>
    </cfRule>
  </conditionalFormatting>
  <conditionalFormatting sqref="K56">
    <cfRule type="expression" dxfId="155" priority="17">
      <formula>$H56="未开始"</formula>
    </cfRule>
    <cfRule type="expression" dxfId="154" priority="18" stopIfTrue="1">
      <formula>$H56="已结束"</formula>
    </cfRule>
    <cfRule type="expression" dxfId="153" priority="19" stopIfTrue="1">
      <formula>$H56="进行中"</formula>
    </cfRule>
    <cfRule type="expression" dxfId="152" priority="20">
      <formula>$I56&gt;0</formula>
    </cfRule>
  </conditionalFormatting>
  <conditionalFormatting sqref="J56">
    <cfRule type="expression" dxfId="151" priority="13">
      <formula>$H56="未开始"</formula>
    </cfRule>
    <cfRule type="expression" dxfId="150" priority="14" stopIfTrue="1">
      <formula>$H56="已结束"</formula>
    </cfRule>
    <cfRule type="expression" dxfId="149" priority="15" stopIfTrue="1">
      <formula>$H56="进行中"</formula>
    </cfRule>
    <cfRule type="expression" dxfId="148" priority="16">
      <formula>$I56&gt;0</formula>
    </cfRule>
  </conditionalFormatting>
  <conditionalFormatting sqref="K41">
    <cfRule type="expression" dxfId="147" priority="9">
      <formula>$H41="未开始"</formula>
    </cfRule>
    <cfRule type="expression" dxfId="146" priority="10" stopIfTrue="1">
      <formula>$H41="已结束"</formula>
    </cfRule>
    <cfRule type="expression" dxfId="145" priority="11" stopIfTrue="1">
      <formula>$H41="进行中"</formula>
    </cfRule>
    <cfRule type="expression" dxfId="144" priority="12">
      <formula>$I41&gt;0</formula>
    </cfRule>
  </conditionalFormatting>
  <conditionalFormatting sqref="K31">
    <cfRule type="expression" dxfId="143" priority="5">
      <formula>$H31="未开始"</formula>
    </cfRule>
    <cfRule type="expression" dxfId="142" priority="6" stopIfTrue="1">
      <formula>$H31="已结束"</formula>
    </cfRule>
    <cfRule type="expression" dxfId="141" priority="7" stopIfTrue="1">
      <formula>$H31="进行中"</formula>
    </cfRule>
    <cfRule type="expression" dxfId="140" priority="8">
      <formula>$I31&gt;0</formula>
    </cfRule>
  </conditionalFormatting>
  <conditionalFormatting sqref="K43">
    <cfRule type="expression" dxfId="139" priority="1">
      <formula>$H43="未开始"</formula>
    </cfRule>
    <cfRule type="expression" dxfId="138" priority="2" stopIfTrue="1">
      <formula>$H43="已结束"</formula>
    </cfRule>
    <cfRule type="expression" dxfId="137" priority="3" stopIfTrue="1">
      <formula>$H43="进行中"</formula>
    </cfRule>
    <cfRule type="expression" dxfId="136" priority="4">
      <formula>$I43&gt;0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50"/>
  </sheetPr>
  <dimension ref="A1:K61"/>
  <sheetViews>
    <sheetView tabSelected="1" workbookViewId="0">
      <selection activeCell="D57" sqref="D57"/>
    </sheetView>
  </sheetViews>
  <sheetFormatPr defaultColWidth="9" defaultRowHeight="12"/>
  <cols>
    <col min="1" max="1" width="18.625" style="25" customWidth="1"/>
    <col min="2" max="2" width="30.625" style="25" customWidth="1"/>
    <col min="3" max="3" width="18.625" style="25" customWidth="1"/>
    <col min="4" max="4" width="18.125" style="26" bestFit="1" customWidth="1"/>
    <col min="5" max="5" width="12.75" style="26" bestFit="1" customWidth="1"/>
    <col min="6" max="6" width="10.75" style="25" hidden="1" customWidth="1"/>
    <col min="7" max="7" width="14.125" style="25" bestFit="1" customWidth="1"/>
    <col min="8" max="8" width="9.125" style="27" customWidth="1"/>
    <col min="9" max="9" width="9.125" style="25" customWidth="1"/>
    <col min="10" max="10" width="30.625" style="25" customWidth="1"/>
    <col min="11" max="11" width="48.375" style="28" bestFit="1" customWidth="1"/>
    <col min="12" max="12" width="10.625" style="25" customWidth="1"/>
    <col min="13" max="16384" width="9" style="25"/>
  </cols>
  <sheetData>
    <row r="1" spans="1:11" ht="12" customHeight="1">
      <c r="A1" s="70" t="s">
        <v>249</v>
      </c>
      <c r="B1" s="70"/>
      <c r="C1" s="70"/>
      <c r="D1" s="70"/>
      <c r="E1" s="70"/>
      <c r="F1" s="70"/>
      <c r="G1" s="70"/>
      <c r="H1" s="70"/>
      <c r="I1" s="70"/>
      <c r="J1" s="70"/>
      <c r="K1" s="70"/>
    </row>
    <row r="2" spans="1:11" ht="12.75" thickBot="1">
      <c r="A2" s="37" t="s">
        <v>250</v>
      </c>
      <c r="B2" s="37" t="s">
        <v>0</v>
      </c>
      <c r="C2" s="37" t="s">
        <v>1</v>
      </c>
      <c r="D2" s="38" t="s">
        <v>2</v>
      </c>
      <c r="E2" s="38" t="s">
        <v>3</v>
      </c>
      <c r="F2" s="37" t="s">
        <v>4</v>
      </c>
      <c r="G2" s="37" t="s">
        <v>251</v>
      </c>
      <c r="H2" s="37" t="s">
        <v>5</v>
      </c>
      <c r="I2" s="37" t="s">
        <v>6</v>
      </c>
      <c r="J2" s="37" t="s">
        <v>252</v>
      </c>
      <c r="K2" s="37" t="s">
        <v>7</v>
      </c>
    </row>
    <row r="3" spans="1:11">
      <c r="A3" s="32" t="s">
        <v>224</v>
      </c>
      <c r="B3" s="33" t="s">
        <v>292</v>
      </c>
      <c r="C3" s="32" t="s">
        <v>254</v>
      </c>
      <c r="D3" s="36">
        <v>42835</v>
      </c>
      <c r="E3" s="36">
        <v>42845</v>
      </c>
      <c r="F3" s="49">
        <f t="shared" ref="F3" si="0">IF(D3="——","——",IF(E3="——","——",E3-D3+1))</f>
        <v>11</v>
      </c>
      <c r="G3" s="50">
        <f>IF(F3="——","——",NETWORKDAYS(D3,E3,节日假期!$A$2:$A$28)+COUNTIFS(节日假期!B:B,"&gt;="&amp;$D3,节日假期!B:B,"&lt;="&amp;$E3)+I3)</f>
        <v>9</v>
      </c>
      <c r="H3" s="32" t="str">
        <f t="shared" ref="H3" ca="1" si="1">IF(I3&gt;0,IF(TODAY()&gt;E3+I3,"已结束","已延期"),IF(TODAY()&lt;D3,"未开始",IF(TODAY()&gt;E3+I3,"已结束","进行中")))</f>
        <v>已结束</v>
      </c>
      <c r="I3" s="69">
        <v>0</v>
      </c>
      <c r="J3" s="34">
        <f t="shared" ref="J3" ca="1" si="2">IF(H3="未开始","——",E3+I3)</f>
        <v>42845</v>
      </c>
      <c r="K3" s="68"/>
    </row>
    <row r="4" spans="1:11">
      <c r="A4" s="32" t="s">
        <v>224</v>
      </c>
      <c r="B4" s="33" t="s">
        <v>255</v>
      </c>
      <c r="C4" s="32" t="s">
        <v>254</v>
      </c>
      <c r="D4" s="36">
        <v>42846</v>
      </c>
      <c r="E4" s="36">
        <v>42857</v>
      </c>
      <c r="F4" s="49">
        <f t="shared" ref="F4:F61" si="3">IF(D4="——","——",IF(E4="——","——",E4-D4+1))</f>
        <v>12</v>
      </c>
      <c r="G4" s="50">
        <f>IF(F4="——","——",NETWORKDAYS(D4,E4,节日假期!$A$2:$A$28)+COUNTIFS(节日假期!B:B,"&gt;="&amp;$D4,节日假期!B:B,"&lt;="&amp;$E4)+I4)</f>
        <v>7</v>
      </c>
      <c r="H4" s="32" t="str">
        <f t="shared" ref="H4:H61" ca="1" si="4">IF(I4&gt;0,IF(TODAY()&gt;E4+I4,"已结束","已延期"),IF(TODAY()&lt;D4,"未开始",IF(TODAY()&gt;E4+I4,"已结束","进行中")))</f>
        <v>进行中</v>
      </c>
      <c r="I4" s="69"/>
      <c r="J4" s="34">
        <f t="shared" ref="J4:J61" ca="1" si="5">IF(H4="未开始","——",E4+I4)</f>
        <v>42857</v>
      </c>
      <c r="K4" s="66"/>
    </row>
    <row r="5" spans="1:11">
      <c r="A5" s="32" t="s">
        <v>224</v>
      </c>
      <c r="B5" s="33" t="s">
        <v>256</v>
      </c>
      <c r="C5" s="32" t="s">
        <v>254</v>
      </c>
      <c r="D5" s="36">
        <v>42836</v>
      </c>
      <c r="E5" s="36">
        <v>42847</v>
      </c>
      <c r="F5" s="49">
        <f t="shared" si="3"/>
        <v>12</v>
      </c>
      <c r="G5" s="50">
        <f>IF(F5="——","——",NETWORKDAYS(D5,E5,节日假期!$A$2:$A$28)+COUNTIFS(节日假期!B:B,"&gt;="&amp;$D5,节日假期!B:B,"&lt;="&amp;$E5)+I5)</f>
        <v>9</v>
      </c>
      <c r="H5" s="32" t="str">
        <f t="shared" ca="1" si="4"/>
        <v>进行中</v>
      </c>
      <c r="I5" s="69"/>
      <c r="J5" s="34">
        <f t="shared" ca="1" si="5"/>
        <v>42847</v>
      </c>
      <c r="K5" s="66"/>
    </row>
    <row r="6" spans="1:11">
      <c r="A6" s="32" t="s">
        <v>224</v>
      </c>
      <c r="B6" s="33" t="s">
        <v>257</v>
      </c>
      <c r="C6" s="32" t="s">
        <v>254</v>
      </c>
      <c r="D6" s="36">
        <v>42836</v>
      </c>
      <c r="E6" s="36">
        <v>42849</v>
      </c>
      <c r="F6" s="49">
        <f t="shared" si="3"/>
        <v>14</v>
      </c>
      <c r="G6" s="50">
        <f>IF(F6="——","——",NETWORKDAYS(D6,E6,节日假期!$A$2:$A$28)+COUNTIFS(节日假期!B:B,"&gt;="&amp;$D6,节日假期!B:B,"&lt;="&amp;$E6)+I6)</f>
        <v>10</v>
      </c>
      <c r="H6" s="32" t="str">
        <f t="shared" ca="1" si="4"/>
        <v>进行中</v>
      </c>
      <c r="I6" s="69"/>
      <c r="J6" s="34">
        <f t="shared" ca="1" si="5"/>
        <v>42849</v>
      </c>
      <c r="K6" s="66"/>
    </row>
    <row r="7" spans="1:11">
      <c r="A7" s="32" t="s">
        <v>224</v>
      </c>
      <c r="B7" s="67" t="s">
        <v>258</v>
      </c>
      <c r="C7" s="32" t="s">
        <v>254</v>
      </c>
      <c r="D7" s="36">
        <v>42844</v>
      </c>
      <c r="E7" s="36">
        <v>42850</v>
      </c>
      <c r="F7" s="49">
        <f t="shared" si="3"/>
        <v>7</v>
      </c>
      <c r="G7" s="50">
        <f>IF(F7="——","——",NETWORKDAYS(D7,E7,节日假期!$A$2:$A$28)+COUNTIFS(节日假期!B:B,"&gt;="&amp;$D7,节日假期!B:B,"&lt;="&amp;$E7)+I7)</f>
        <v>5</v>
      </c>
      <c r="H7" s="32" t="str">
        <f t="shared" ca="1" si="4"/>
        <v>进行中</v>
      </c>
      <c r="I7" s="69"/>
      <c r="J7" s="34">
        <f t="shared" ca="1" si="5"/>
        <v>42850</v>
      </c>
      <c r="K7" s="66"/>
    </row>
    <row r="8" spans="1:11">
      <c r="A8" s="32" t="s">
        <v>224</v>
      </c>
      <c r="B8" s="33" t="s">
        <v>51</v>
      </c>
      <c r="C8" s="32" t="s">
        <v>254</v>
      </c>
      <c r="D8" s="36">
        <v>42842</v>
      </c>
      <c r="E8" s="36">
        <v>42851</v>
      </c>
      <c r="F8" s="49">
        <f t="shared" si="3"/>
        <v>10</v>
      </c>
      <c r="G8" s="50">
        <f>IF(F8="——","——",NETWORKDAYS(D8,E8,节日假期!$A$2:$A$28)+COUNTIFS(节日假期!B:B,"&gt;="&amp;$D8,节日假期!B:B,"&lt;="&amp;$E8)+I8)</f>
        <v>8</v>
      </c>
      <c r="H8" s="32" t="str">
        <f t="shared" ca="1" si="4"/>
        <v>进行中</v>
      </c>
      <c r="I8" s="69"/>
      <c r="J8" s="34">
        <f t="shared" ca="1" si="5"/>
        <v>42851</v>
      </c>
      <c r="K8" s="66"/>
    </row>
    <row r="9" spans="1:11">
      <c r="A9" s="32" t="s">
        <v>224</v>
      </c>
      <c r="B9" s="33" t="s">
        <v>52</v>
      </c>
      <c r="C9" s="32" t="s">
        <v>254</v>
      </c>
      <c r="D9" s="36">
        <v>42842</v>
      </c>
      <c r="E9" s="36">
        <v>42852</v>
      </c>
      <c r="F9" s="49">
        <f t="shared" si="3"/>
        <v>11</v>
      </c>
      <c r="G9" s="50">
        <f>IF(F9="——","——",NETWORKDAYS(D9,E9,节日假期!$A$2:$A$28)+COUNTIFS(节日假期!B:B,"&gt;="&amp;$D9,节日假期!B:B,"&lt;="&amp;$E9)+I9)</f>
        <v>9</v>
      </c>
      <c r="H9" s="32" t="str">
        <f t="shared" ca="1" si="4"/>
        <v>进行中</v>
      </c>
      <c r="I9" s="69"/>
      <c r="J9" s="34">
        <f t="shared" ca="1" si="5"/>
        <v>42852</v>
      </c>
      <c r="K9" s="66"/>
    </row>
    <row r="10" spans="1:11">
      <c r="A10" s="32" t="s">
        <v>224</v>
      </c>
      <c r="B10" s="33" t="s">
        <v>53</v>
      </c>
      <c r="C10" s="32" t="s">
        <v>254</v>
      </c>
      <c r="D10" s="36">
        <v>42837</v>
      </c>
      <c r="E10" s="36">
        <v>42853</v>
      </c>
      <c r="F10" s="49">
        <f t="shared" si="3"/>
        <v>17</v>
      </c>
      <c r="G10" s="50">
        <f>IF(F10="——","——",NETWORKDAYS(D10,E10,节日假期!$A$2:$A$28)+COUNTIFS(节日假期!B:B,"&gt;="&amp;$D10,节日假期!B:B,"&lt;="&amp;$E10)+I10)</f>
        <v>13</v>
      </c>
      <c r="H10" s="32" t="str">
        <f t="shared" ca="1" si="4"/>
        <v>进行中</v>
      </c>
      <c r="I10" s="69"/>
      <c r="J10" s="34">
        <f t="shared" ca="1" si="5"/>
        <v>42853</v>
      </c>
      <c r="K10" s="66"/>
    </row>
    <row r="11" spans="1:11">
      <c r="A11" s="32" t="s">
        <v>224</v>
      </c>
      <c r="B11" s="33" t="s">
        <v>54</v>
      </c>
      <c r="C11" s="32" t="s">
        <v>254</v>
      </c>
      <c r="D11" s="36">
        <v>42846</v>
      </c>
      <c r="E11" s="36">
        <v>42860</v>
      </c>
      <c r="F11" s="49">
        <f>IF(D11="——","——",IF(E11="——","——",E11-D11+1))</f>
        <v>15</v>
      </c>
      <c r="G11" s="50">
        <f>IF(F11="——","——",NETWORKDAYS(D11,E11,节日假期!$A$2:$A$28)+COUNTIFS(节日假期!B:B,"&gt;="&amp;$D11,节日假期!B:B,"&lt;="&amp;$E11)+I11)</f>
        <v>10</v>
      </c>
      <c r="H11" s="32" t="str">
        <f ca="1">IF(I11&gt;0,IF(TODAY()&gt;E11+I11,"已结束","已延期"),IF(TODAY()&lt;D11,"未开始",IF(TODAY()&gt;E11+I11,"已结束","进行中")))</f>
        <v>进行中</v>
      </c>
      <c r="I11" s="69"/>
      <c r="J11" s="34">
        <f ca="1">IF(H11="未开始","——",E11+I11)</f>
        <v>42860</v>
      </c>
      <c r="K11" s="68"/>
    </row>
    <row r="12" spans="1:11">
      <c r="A12" s="32" t="s">
        <v>224</v>
      </c>
      <c r="B12" s="33" t="s">
        <v>293</v>
      </c>
      <c r="C12" s="32" t="s">
        <v>254</v>
      </c>
      <c r="D12" s="36" t="s">
        <v>32</v>
      </c>
      <c r="E12" s="36" t="s">
        <v>32</v>
      </c>
      <c r="F12" s="49" t="str">
        <f>IF(D12="——","——",IF(E12="——","——",E12-D12+1))</f>
        <v>——</v>
      </c>
      <c r="G12" s="50" t="str">
        <f>IF(F12="——","——",NETWORKDAYS(D12,E12,节日假期!$A$2:$A$28)+COUNTIFS(节日假期!B:B,"&gt;="&amp;$D12,节日假期!B:B,"&lt;="&amp;$E12)+I12)</f>
        <v>——</v>
      </c>
      <c r="H12" s="32" t="str">
        <f ca="1">IF(I12&gt;0,IF(TODAY()&gt;E12+I12,"已结束","已延期"),IF(TODAY()&lt;D12,"未开始",IF(TODAY()&gt;E12+I12,"已结束","进行中")))</f>
        <v>未开始</v>
      </c>
      <c r="I12" s="69"/>
      <c r="J12" s="34" t="str">
        <f ca="1">IF(H12="未开始","——",E12+I12)</f>
        <v>——</v>
      </c>
      <c r="K12" s="66"/>
    </row>
    <row r="13" spans="1:11">
      <c r="A13" s="32" t="s">
        <v>224</v>
      </c>
      <c r="B13" s="33" t="s">
        <v>50</v>
      </c>
      <c r="C13" s="32" t="s">
        <v>254</v>
      </c>
      <c r="D13" s="36" t="s">
        <v>32</v>
      </c>
      <c r="E13" s="36" t="s">
        <v>32</v>
      </c>
      <c r="F13" s="49" t="str">
        <f t="shared" ref="F13" si="6">IF(D13="——","——",IF(E13="——","——",E13-D13+1))</f>
        <v>——</v>
      </c>
      <c r="G13" s="50" t="str">
        <f>IF(F13="——","——",NETWORKDAYS(D13,E13,节日假期!$A$2:$A$28)+COUNTIFS(节日假期!B:B,"&gt;="&amp;$D13,节日假期!B:B,"&lt;="&amp;$E13)+I13)</f>
        <v>——</v>
      </c>
      <c r="H13" s="32" t="str">
        <f t="shared" ref="H13" ca="1" si="7">IF(I13&gt;0,IF(TODAY()&gt;E13+I13,"已结束","已延期"),IF(TODAY()&lt;D13,"未开始",IF(TODAY()&gt;E13+I13,"已结束","进行中")))</f>
        <v>未开始</v>
      </c>
      <c r="I13" s="69"/>
      <c r="J13" s="34" t="str">
        <f t="shared" ref="J13" ca="1" si="8">IF(H13="未开始","——",E13+I13)</f>
        <v>——</v>
      </c>
      <c r="K13" s="68" t="s">
        <v>233</v>
      </c>
    </row>
    <row r="14" spans="1:11">
      <c r="A14" s="32" t="s">
        <v>224</v>
      </c>
      <c r="B14" s="33" t="s">
        <v>45</v>
      </c>
      <c r="C14" s="32" t="s">
        <v>254</v>
      </c>
      <c r="D14" s="36" t="s">
        <v>32</v>
      </c>
      <c r="E14" s="36" t="s">
        <v>32</v>
      </c>
      <c r="F14" s="49" t="str">
        <f t="shared" ref="F14:F16" si="9">IF(D14="——","——",IF(E14="——","——",E14-D14+1))</f>
        <v>——</v>
      </c>
      <c r="G14" s="50" t="str">
        <f>IF(F14="——","——",NETWORKDAYS(D14,E14,节日假期!$A$2:$A$28)+COUNTIFS(节日假期!B:B,"&gt;="&amp;$D14,节日假期!B:B,"&lt;="&amp;$E14)+I14)</f>
        <v>——</v>
      </c>
      <c r="H14" s="32" t="str">
        <f t="shared" ref="H14:H15" ca="1" si="10">IF(I14&gt;0,IF(TODAY()&gt;E14+I14,"已结束","已延期"),IF(TODAY()&lt;D14,"未开始",IF(TODAY()&gt;E14+I14,"已结束","进行中")))</f>
        <v>未开始</v>
      </c>
      <c r="I14" s="69"/>
      <c r="J14" s="34" t="str">
        <f t="shared" ref="J14:J16" ca="1" si="11">IF(H14="未开始","——",E14+I14)</f>
        <v>——</v>
      </c>
      <c r="K14" s="68" t="s">
        <v>294</v>
      </c>
    </row>
    <row r="15" spans="1:11">
      <c r="A15" s="32" t="s">
        <v>224</v>
      </c>
      <c r="B15" s="33" t="s">
        <v>46</v>
      </c>
      <c r="C15" s="32" t="s">
        <v>254</v>
      </c>
      <c r="D15" s="36" t="s">
        <v>32</v>
      </c>
      <c r="E15" s="36" t="s">
        <v>32</v>
      </c>
      <c r="F15" s="49" t="str">
        <f t="shared" si="9"/>
        <v>——</v>
      </c>
      <c r="G15" s="50" t="str">
        <f>IF(F15="——","——",NETWORKDAYS(D15,E15,节日假期!$A$2:$A$28)+COUNTIFS(节日假期!B:B,"&gt;="&amp;$D15,节日假期!B:B,"&lt;="&amp;$E15)+I15)</f>
        <v>——</v>
      </c>
      <c r="H15" s="32" t="str">
        <f t="shared" ca="1" si="10"/>
        <v>未开始</v>
      </c>
      <c r="I15" s="69"/>
      <c r="J15" s="34" t="str">
        <f t="shared" ca="1" si="11"/>
        <v>——</v>
      </c>
      <c r="K15" s="68" t="s">
        <v>294</v>
      </c>
    </row>
    <row r="16" spans="1:11">
      <c r="A16" s="32" t="s">
        <v>135</v>
      </c>
      <c r="B16" s="33" t="s">
        <v>48</v>
      </c>
      <c r="C16" s="32" t="s">
        <v>254</v>
      </c>
      <c r="D16" s="36" t="s">
        <v>32</v>
      </c>
      <c r="E16" s="36" t="s">
        <v>32</v>
      </c>
      <c r="F16" s="49" t="str">
        <f t="shared" si="9"/>
        <v>——</v>
      </c>
      <c r="G16" s="50" t="str">
        <f>IF(F16="——","——",NETWORKDAYS(D16,E16,节日假期!$A$2:$A$28)+COUNTIFS(节日假期!B:B,"&gt;="&amp;$D16,节日假期!B:B,"&lt;="&amp;$E16)+I16)</f>
        <v>——</v>
      </c>
      <c r="H16" s="32" t="str">
        <f ca="1">IF(I16&gt;0,IF(TODAY()&gt;E16+I16,"已结束","已延期"),IF(TODAY()&lt;D16,"未开始",IF(TODAY()&gt;E16+I16,"已结束","进行中")))</f>
        <v>未开始</v>
      </c>
      <c r="I16" s="69"/>
      <c r="J16" s="34" t="str">
        <f t="shared" ca="1" si="11"/>
        <v>——</v>
      </c>
      <c r="K16" s="68" t="s">
        <v>294</v>
      </c>
    </row>
    <row r="17" spans="1:11">
      <c r="A17" s="32" t="s">
        <v>224</v>
      </c>
      <c r="B17" s="33" t="s">
        <v>47</v>
      </c>
      <c r="C17" s="32" t="s">
        <v>254</v>
      </c>
      <c r="D17" s="36" t="s">
        <v>32</v>
      </c>
      <c r="E17" s="36" t="s">
        <v>32</v>
      </c>
      <c r="F17" s="49" t="str">
        <f>IF(D17="——","——",IF(E17="——","——",E17-D17+1))</f>
        <v>——</v>
      </c>
      <c r="G17" s="50" t="str">
        <f>IF(F17="——","——",NETWORKDAYS(D17,E17,节日假期!$A$2:$A$28)+COUNTIFS(节日假期!B:B,"&gt;="&amp;$D17,节日假期!B:B,"&lt;="&amp;$E17)+I17)</f>
        <v>——</v>
      </c>
      <c r="H17" s="32" t="str">
        <f ca="1">IF(I17&gt;0,IF(TODAY()&gt;E17+I17,"已结束","已延期"),IF(TODAY()&lt;D17,"未开始",IF(TODAY()&gt;E17+I17,"已结束","进行中")))</f>
        <v>未开始</v>
      </c>
      <c r="I17" s="69"/>
      <c r="J17" s="34" t="str">
        <f ca="1">IF(H17="未开始","——",E17+I17)</f>
        <v>——</v>
      </c>
      <c r="K17" s="66"/>
    </row>
    <row r="18" spans="1:11">
      <c r="A18" s="32" t="s">
        <v>224</v>
      </c>
      <c r="B18" s="33" t="s">
        <v>259</v>
      </c>
      <c r="C18" s="32" t="s">
        <v>254</v>
      </c>
      <c r="D18" s="36" t="s">
        <v>32</v>
      </c>
      <c r="E18" s="36" t="s">
        <v>32</v>
      </c>
      <c r="F18" s="49" t="str">
        <f t="shared" si="3"/>
        <v>——</v>
      </c>
      <c r="G18" s="50" t="str">
        <f>IF(F18="——","——",NETWORKDAYS(D18,E18,节日假期!$A$2:$A$28)+COUNTIFS(节日假期!B:B,"&gt;="&amp;$D18,节日假期!B:B,"&lt;="&amp;$E18)+I18)</f>
        <v>——</v>
      </c>
      <c r="H18" s="32" t="str">
        <f t="shared" ca="1" si="4"/>
        <v>未开始</v>
      </c>
      <c r="I18" s="69"/>
      <c r="J18" s="34" t="str">
        <f t="shared" ca="1" si="5"/>
        <v>——</v>
      </c>
      <c r="K18" s="66"/>
    </row>
    <row r="19" spans="1:11">
      <c r="A19" s="32" t="s">
        <v>224</v>
      </c>
      <c r="B19" s="33" t="s">
        <v>33</v>
      </c>
      <c r="C19" s="32" t="s">
        <v>254</v>
      </c>
      <c r="D19" s="36" t="s">
        <v>32</v>
      </c>
      <c r="E19" s="36" t="s">
        <v>32</v>
      </c>
      <c r="F19" s="49" t="str">
        <f t="shared" si="3"/>
        <v>——</v>
      </c>
      <c r="G19" s="50" t="str">
        <f>IF(F19="——","——",NETWORKDAYS(D19,E19,节日假期!$A$2:$A$28)+COUNTIFS(节日假期!B:B,"&gt;="&amp;$D19,节日假期!B:B,"&lt;="&amp;$E19)+I19)</f>
        <v>——</v>
      </c>
      <c r="H19" s="32" t="str">
        <f t="shared" ca="1" si="4"/>
        <v>未开始</v>
      </c>
      <c r="I19" s="69"/>
      <c r="J19" s="34" t="str">
        <f t="shared" ca="1" si="5"/>
        <v>——</v>
      </c>
      <c r="K19" s="66"/>
    </row>
    <row r="20" spans="1:11">
      <c r="A20" s="32" t="s">
        <v>224</v>
      </c>
      <c r="B20" s="33" t="s">
        <v>34</v>
      </c>
      <c r="C20" s="32" t="s">
        <v>254</v>
      </c>
      <c r="D20" s="36" t="s">
        <v>32</v>
      </c>
      <c r="E20" s="36" t="s">
        <v>32</v>
      </c>
      <c r="F20" s="49" t="str">
        <f t="shared" si="3"/>
        <v>——</v>
      </c>
      <c r="G20" s="50" t="str">
        <f>IF(F20="——","——",NETWORKDAYS(D20,E20,节日假期!$A$2:$A$28)+COUNTIFS(节日假期!B:B,"&gt;="&amp;$D20,节日假期!B:B,"&lt;="&amp;$E20)+I20)</f>
        <v>——</v>
      </c>
      <c r="H20" s="32" t="str">
        <f t="shared" ca="1" si="4"/>
        <v>未开始</v>
      </c>
      <c r="I20" s="69"/>
      <c r="J20" s="34" t="str">
        <f t="shared" ca="1" si="5"/>
        <v>——</v>
      </c>
      <c r="K20" s="66"/>
    </row>
    <row r="21" spans="1:11">
      <c r="A21" s="32" t="s">
        <v>224</v>
      </c>
      <c r="B21" s="33" t="s">
        <v>55</v>
      </c>
      <c r="C21" s="32" t="s">
        <v>254</v>
      </c>
      <c r="D21" s="36" t="s">
        <v>32</v>
      </c>
      <c r="E21" s="36" t="s">
        <v>32</v>
      </c>
      <c r="F21" s="49" t="str">
        <f t="shared" si="3"/>
        <v>——</v>
      </c>
      <c r="G21" s="50" t="str">
        <f>IF(F21="——","——",NETWORKDAYS(D21,E21,节日假期!$A$2:$A$28)+COUNTIFS(节日假期!B:B,"&gt;="&amp;$D21,节日假期!B:B,"&lt;="&amp;$E21)+I21)</f>
        <v>——</v>
      </c>
      <c r="H21" s="32" t="str">
        <f t="shared" ca="1" si="4"/>
        <v>未开始</v>
      </c>
      <c r="I21" s="69"/>
      <c r="J21" s="34" t="str">
        <f t="shared" ca="1" si="5"/>
        <v>——</v>
      </c>
      <c r="K21" s="66"/>
    </row>
    <row r="22" spans="1:11">
      <c r="A22" s="32" t="s">
        <v>224</v>
      </c>
      <c r="B22" s="33" t="s">
        <v>35</v>
      </c>
      <c r="C22" s="32" t="s">
        <v>254</v>
      </c>
      <c r="D22" s="36" t="s">
        <v>32</v>
      </c>
      <c r="E22" s="36" t="s">
        <v>32</v>
      </c>
      <c r="F22" s="49" t="str">
        <f t="shared" si="3"/>
        <v>——</v>
      </c>
      <c r="G22" s="50" t="str">
        <f>IF(F22="——","——",NETWORKDAYS(D22,E22,节日假期!$A$2:$A$28)+COUNTIFS(节日假期!B:B,"&gt;="&amp;$D22,节日假期!B:B,"&lt;="&amp;$E22)+I22)</f>
        <v>——</v>
      </c>
      <c r="H22" s="32" t="str">
        <f t="shared" ca="1" si="4"/>
        <v>未开始</v>
      </c>
      <c r="I22" s="69"/>
      <c r="J22" s="34" t="str">
        <f t="shared" ca="1" si="5"/>
        <v>——</v>
      </c>
      <c r="K22" s="66"/>
    </row>
    <row r="23" spans="1:11">
      <c r="A23" s="32" t="s">
        <v>224</v>
      </c>
      <c r="B23" s="33" t="s">
        <v>36</v>
      </c>
      <c r="C23" s="32" t="s">
        <v>254</v>
      </c>
      <c r="D23" s="36">
        <v>42837</v>
      </c>
      <c r="E23" s="36">
        <v>42858</v>
      </c>
      <c r="F23" s="49">
        <f t="shared" si="3"/>
        <v>22</v>
      </c>
      <c r="G23" s="50">
        <f>IF(F23="——","——",NETWORKDAYS(D23,E23,节日假期!$A$2:$A$28)+COUNTIFS(节日假期!B:B,"&gt;="&amp;$D23,节日假期!B:B,"&lt;="&amp;$E23)+I23)</f>
        <v>15</v>
      </c>
      <c r="H23" s="32" t="str">
        <f t="shared" ca="1" si="4"/>
        <v>进行中</v>
      </c>
      <c r="I23" s="69"/>
      <c r="J23" s="34">
        <f t="shared" ca="1" si="5"/>
        <v>42858</v>
      </c>
      <c r="K23" s="66"/>
    </row>
    <row r="24" spans="1:11">
      <c r="A24" s="32" t="s">
        <v>224</v>
      </c>
      <c r="B24" s="33" t="s">
        <v>37</v>
      </c>
      <c r="C24" s="32" t="s">
        <v>254</v>
      </c>
      <c r="D24" s="36" t="s">
        <v>253</v>
      </c>
      <c r="E24" s="36" t="s">
        <v>253</v>
      </c>
      <c r="F24" s="49" t="str">
        <f t="shared" si="3"/>
        <v>——</v>
      </c>
      <c r="G24" s="50" t="str">
        <f>IF(F24="——","——",NETWORKDAYS(D24,E24,节日假期!$A$2:$A$28)+COUNTIFS(节日假期!B:B,"&gt;="&amp;$D24,节日假期!B:B,"&lt;="&amp;$E24)+I24)</f>
        <v>——</v>
      </c>
      <c r="H24" s="32" t="str">
        <f t="shared" ca="1" si="4"/>
        <v>未开始</v>
      </c>
      <c r="I24" s="69"/>
      <c r="J24" s="34" t="str">
        <f t="shared" ca="1" si="5"/>
        <v>——</v>
      </c>
      <c r="K24" s="66"/>
    </row>
    <row r="25" spans="1:11">
      <c r="A25" s="32" t="s">
        <v>224</v>
      </c>
      <c r="B25" s="33" t="s">
        <v>38</v>
      </c>
      <c r="C25" s="32" t="s">
        <v>254</v>
      </c>
      <c r="D25" s="36" t="s">
        <v>253</v>
      </c>
      <c r="E25" s="36" t="s">
        <v>253</v>
      </c>
      <c r="F25" s="49" t="str">
        <f t="shared" si="3"/>
        <v>——</v>
      </c>
      <c r="G25" s="50" t="str">
        <f>IF(F25="——","——",NETWORKDAYS(D25,E25,节日假期!$A$2:$A$28)+COUNTIFS(节日假期!B:B,"&gt;="&amp;$D25,节日假期!B:B,"&lt;="&amp;$E25)+I25)</f>
        <v>——</v>
      </c>
      <c r="H25" s="32" t="str">
        <f t="shared" ca="1" si="4"/>
        <v>未开始</v>
      </c>
      <c r="I25" s="69"/>
      <c r="J25" s="34" t="str">
        <f t="shared" ca="1" si="5"/>
        <v>——</v>
      </c>
      <c r="K25" s="66"/>
    </row>
    <row r="26" spans="1:11">
      <c r="A26" s="32" t="s">
        <v>224</v>
      </c>
      <c r="B26" s="33" t="s">
        <v>40</v>
      </c>
      <c r="C26" s="32" t="s">
        <v>254</v>
      </c>
      <c r="D26" s="36" t="s">
        <v>253</v>
      </c>
      <c r="E26" s="36" t="s">
        <v>253</v>
      </c>
      <c r="F26" s="49" t="str">
        <f t="shared" si="3"/>
        <v>——</v>
      </c>
      <c r="G26" s="50" t="str">
        <f>IF(F26="——","——",NETWORKDAYS(D26,E26,节日假期!$A$2:$A$28)+COUNTIFS(节日假期!B:B,"&gt;="&amp;$D26,节日假期!B:B,"&lt;="&amp;$E26)+I26)</f>
        <v>——</v>
      </c>
      <c r="H26" s="32" t="str">
        <f t="shared" ca="1" si="4"/>
        <v>未开始</v>
      </c>
      <c r="I26" s="69"/>
      <c r="J26" s="34" t="str">
        <f t="shared" ca="1" si="5"/>
        <v>——</v>
      </c>
      <c r="K26" s="66"/>
    </row>
    <row r="27" spans="1:11">
      <c r="A27" s="32" t="s">
        <v>224</v>
      </c>
      <c r="B27" s="33" t="s">
        <v>42</v>
      </c>
      <c r="C27" s="32" t="s">
        <v>254</v>
      </c>
      <c r="D27" s="36" t="s">
        <v>253</v>
      </c>
      <c r="E27" s="36" t="s">
        <v>253</v>
      </c>
      <c r="F27" s="49" t="str">
        <f t="shared" si="3"/>
        <v>——</v>
      </c>
      <c r="G27" s="50" t="str">
        <f>IF(F27="——","——",NETWORKDAYS(D27,E27,节日假期!$A$2:$A$28)+COUNTIFS(节日假期!B:B,"&gt;="&amp;$D27,节日假期!B:B,"&lt;="&amp;$E27)+I27)</f>
        <v>——</v>
      </c>
      <c r="H27" s="32" t="str">
        <f t="shared" ca="1" si="4"/>
        <v>未开始</v>
      </c>
      <c r="I27" s="69"/>
      <c r="J27" s="34" t="str">
        <f t="shared" ca="1" si="5"/>
        <v>——</v>
      </c>
      <c r="K27" s="66"/>
    </row>
    <row r="28" spans="1:11">
      <c r="A28" s="32" t="s">
        <v>224</v>
      </c>
      <c r="B28" s="33" t="s">
        <v>44</v>
      </c>
      <c r="C28" s="32" t="s">
        <v>254</v>
      </c>
      <c r="D28" s="36" t="s">
        <v>229</v>
      </c>
      <c r="E28" s="36" t="s">
        <v>229</v>
      </c>
      <c r="F28" s="49" t="str">
        <f t="shared" si="3"/>
        <v>——</v>
      </c>
      <c r="G28" s="50" t="str">
        <f>IF(F28="——","——",NETWORKDAYS(D28,E28,节日假期!$A$2:$A$28)+COUNTIFS(节日假期!B:B,"&gt;="&amp;$D28,节日假期!B:B,"&lt;="&amp;$E28)+I28)</f>
        <v>——</v>
      </c>
      <c r="H28" s="32" t="str">
        <f t="shared" ca="1" si="4"/>
        <v>未开始</v>
      </c>
      <c r="I28" s="69"/>
      <c r="J28" s="34" t="str">
        <f t="shared" ca="1" si="5"/>
        <v>——</v>
      </c>
      <c r="K28" s="66"/>
    </row>
    <row r="29" spans="1:11">
      <c r="A29" s="32" t="s">
        <v>224</v>
      </c>
      <c r="B29" s="33" t="s">
        <v>56</v>
      </c>
      <c r="C29" s="32" t="s">
        <v>295</v>
      </c>
      <c r="D29" s="36" t="s">
        <v>229</v>
      </c>
      <c r="E29" s="36" t="s">
        <v>229</v>
      </c>
      <c r="F29" s="49" t="str">
        <f t="shared" si="3"/>
        <v>——</v>
      </c>
      <c r="G29" s="50" t="str">
        <f>IF(F29="——","——",NETWORKDAYS(D29,E29,节日假期!$A$2:$A$28)+COUNTIFS(节日假期!B:B,"&gt;="&amp;$D29,节日假期!B:B,"&lt;="&amp;$E29)+I29)</f>
        <v>——</v>
      </c>
      <c r="H29" s="32" t="str">
        <f t="shared" ca="1" si="4"/>
        <v>未开始</v>
      </c>
      <c r="I29" s="69"/>
      <c r="J29" s="34" t="str">
        <f t="shared" ca="1" si="5"/>
        <v>——</v>
      </c>
      <c r="K29" s="66" t="s">
        <v>296</v>
      </c>
    </row>
    <row r="30" spans="1:11">
      <c r="A30" s="32" t="s">
        <v>153</v>
      </c>
      <c r="B30" s="33" t="s">
        <v>260</v>
      </c>
      <c r="C30" s="32" t="s">
        <v>12</v>
      </c>
      <c r="D30" s="36">
        <v>42845</v>
      </c>
      <c r="E30" s="36">
        <v>42874</v>
      </c>
      <c r="F30" s="49">
        <f t="shared" si="3"/>
        <v>30</v>
      </c>
      <c r="G30" s="50">
        <f>IF(F30="——","——",NETWORKDAYS(D30,E30,节日假期!$A$2:$A$28)+COUNTIFS(节日假期!B:B,"&gt;="&amp;$D30,节日假期!B:B,"&lt;="&amp;$E30)+I30)</f>
        <v>21</v>
      </c>
      <c r="H30" s="32" t="str">
        <f t="shared" ca="1" si="4"/>
        <v>进行中</v>
      </c>
      <c r="I30" s="69"/>
      <c r="J30" s="34">
        <f t="shared" ca="1" si="5"/>
        <v>42874</v>
      </c>
      <c r="K30" s="66"/>
    </row>
    <row r="31" spans="1:11">
      <c r="A31" s="32" t="s">
        <v>261</v>
      </c>
      <c r="B31" s="33" t="s">
        <v>80</v>
      </c>
      <c r="C31" s="32" t="s">
        <v>62</v>
      </c>
      <c r="D31" s="36">
        <v>42849</v>
      </c>
      <c r="E31" s="36">
        <v>42850</v>
      </c>
      <c r="F31" s="49">
        <f t="shared" si="3"/>
        <v>2</v>
      </c>
      <c r="G31" s="50">
        <f>IF(F31="——","——",NETWORKDAYS(D31,E31,节日假期!$A$2:$A$28)+COUNTIFS(节日假期!B:B,"&gt;="&amp;$D31,节日假期!B:B,"&lt;="&amp;$E31)+I31)</f>
        <v>2</v>
      </c>
      <c r="H31" s="32" t="str">
        <f t="shared" ca="1" si="4"/>
        <v>未开始</v>
      </c>
      <c r="I31" s="69"/>
      <c r="J31" s="34" t="str">
        <f t="shared" ca="1" si="5"/>
        <v>——</v>
      </c>
      <c r="K31" s="66" t="s">
        <v>262</v>
      </c>
    </row>
    <row r="32" spans="1:11">
      <c r="A32" s="32" t="s">
        <v>261</v>
      </c>
      <c r="B32" s="33" t="s">
        <v>81</v>
      </c>
      <c r="C32" s="32" t="s">
        <v>62</v>
      </c>
      <c r="D32" s="36">
        <v>42851</v>
      </c>
      <c r="E32" s="36">
        <v>42852</v>
      </c>
      <c r="F32" s="49">
        <f t="shared" si="3"/>
        <v>2</v>
      </c>
      <c r="G32" s="50">
        <f>IF(F32="——","——",NETWORKDAYS(D32,E32,节日假期!$A$2:$A$28)+COUNTIFS(节日假期!B:B,"&gt;="&amp;$D32,节日假期!B:B,"&lt;="&amp;$E32)+I32)</f>
        <v>2</v>
      </c>
      <c r="H32" s="32" t="str">
        <f t="shared" ca="1" si="4"/>
        <v>未开始</v>
      </c>
      <c r="I32" s="69"/>
      <c r="J32" s="34" t="str">
        <f t="shared" ca="1" si="5"/>
        <v>——</v>
      </c>
      <c r="K32" s="66"/>
    </row>
    <row r="33" spans="1:11">
      <c r="A33" s="32" t="s">
        <v>261</v>
      </c>
      <c r="B33" s="33" t="s">
        <v>82</v>
      </c>
      <c r="C33" s="32" t="s">
        <v>62</v>
      </c>
      <c r="D33" s="36">
        <v>42853</v>
      </c>
      <c r="E33" s="36">
        <v>42854</v>
      </c>
      <c r="F33" s="49">
        <f t="shared" si="3"/>
        <v>2</v>
      </c>
      <c r="G33" s="50">
        <f>IF(F33="——","——",NETWORKDAYS(D33,E33,节日假期!$A$2:$A$28)+COUNTIFS(节日假期!B:B,"&gt;="&amp;$D33,节日假期!B:B,"&lt;="&amp;$E33)+I33)</f>
        <v>1</v>
      </c>
      <c r="H33" s="32" t="str">
        <f t="shared" ca="1" si="4"/>
        <v>未开始</v>
      </c>
      <c r="I33" s="69"/>
      <c r="J33" s="34" t="str">
        <f t="shared" ca="1" si="5"/>
        <v>——</v>
      </c>
      <c r="K33" s="66"/>
    </row>
    <row r="34" spans="1:11">
      <c r="A34" s="32" t="s">
        <v>261</v>
      </c>
      <c r="B34" s="33" t="s">
        <v>84</v>
      </c>
      <c r="C34" s="32" t="s">
        <v>62</v>
      </c>
      <c r="D34" s="36">
        <v>42857</v>
      </c>
      <c r="E34" s="36">
        <v>42858</v>
      </c>
      <c r="F34" s="49">
        <f t="shared" si="3"/>
        <v>2</v>
      </c>
      <c r="G34" s="50">
        <f>IF(F34="——","——",NETWORKDAYS(D34,E34,节日假期!$A$2:$A$28)+COUNTIFS(节日假期!B:B,"&gt;="&amp;$D34,节日假期!B:B,"&lt;="&amp;$E34)+I34)</f>
        <v>2</v>
      </c>
      <c r="H34" s="32" t="str">
        <f t="shared" ca="1" si="4"/>
        <v>未开始</v>
      </c>
      <c r="I34" s="69"/>
      <c r="J34" s="34" t="str">
        <f t="shared" ca="1" si="5"/>
        <v>——</v>
      </c>
      <c r="K34" s="66"/>
    </row>
    <row r="35" spans="1:11">
      <c r="A35" s="32" t="s">
        <v>261</v>
      </c>
      <c r="B35" s="33" t="s">
        <v>85</v>
      </c>
      <c r="C35" s="32" t="s">
        <v>62</v>
      </c>
      <c r="D35" s="36">
        <v>42858</v>
      </c>
      <c r="E35" s="36">
        <v>42859</v>
      </c>
      <c r="F35" s="49">
        <f t="shared" si="3"/>
        <v>2</v>
      </c>
      <c r="G35" s="50">
        <f>IF(F35="——","——",NETWORKDAYS(D35,E35,节日假期!$A$2:$A$28)+COUNTIFS(节日假期!B:B,"&gt;="&amp;$D35,节日假期!B:B,"&lt;="&amp;$E35)+I35)</f>
        <v>2</v>
      </c>
      <c r="H35" s="32" t="str">
        <f t="shared" ca="1" si="4"/>
        <v>未开始</v>
      </c>
      <c r="I35" s="69"/>
      <c r="J35" s="34" t="str">
        <f t="shared" ca="1" si="5"/>
        <v>——</v>
      </c>
      <c r="K35" s="66"/>
    </row>
    <row r="36" spans="1:11">
      <c r="A36" s="32" t="s">
        <v>261</v>
      </c>
      <c r="B36" s="33" t="s">
        <v>86</v>
      </c>
      <c r="C36" s="32" t="s">
        <v>62</v>
      </c>
      <c r="D36" s="36">
        <v>42860</v>
      </c>
      <c r="E36" s="36">
        <v>42860</v>
      </c>
      <c r="F36" s="49">
        <f t="shared" si="3"/>
        <v>1</v>
      </c>
      <c r="G36" s="50">
        <f>IF(F36="——","——",NETWORKDAYS(D36,E36,节日假期!$A$2:$A$28)+COUNTIFS(节日假期!B:B,"&gt;="&amp;$D36,节日假期!B:B,"&lt;="&amp;$E36)+I36)</f>
        <v>1</v>
      </c>
      <c r="H36" s="32" t="str">
        <f t="shared" ca="1" si="4"/>
        <v>未开始</v>
      </c>
      <c r="I36" s="69"/>
      <c r="J36" s="34" t="str">
        <f t="shared" ca="1" si="5"/>
        <v>——</v>
      </c>
      <c r="K36" s="66"/>
    </row>
    <row r="37" spans="1:11">
      <c r="A37" s="32" t="s">
        <v>261</v>
      </c>
      <c r="B37" s="33" t="s">
        <v>211</v>
      </c>
      <c r="C37" s="32" t="s">
        <v>62</v>
      </c>
      <c r="D37" s="36">
        <v>42863</v>
      </c>
      <c r="E37" s="36">
        <v>42863</v>
      </c>
      <c r="F37" s="49">
        <f t="shared" si="3"/>
        <v>1</v>
      </c>
      <c r="G37" s="50">
        <f>IF(F37="——","——",NETWORKDAYS(D37,E37,节日假期!$A$2:$A$28)+COUNTIFS(节日假期!B:B,"&gt;="&amp;$D37,节日假期!B:B,"&lt;="&amp;$E37)+I37)</f>
        <v>1</v>
      </c>
      <c r="H37" s="32" t="str">
        <f t="shared" ca="1" si="4"/>
        <v>未开始</v>
      </c>
      <c r="I37" s="69"/>
      <c r="J37" s="34" t="str">
        <f t="shared" ca="1" si="5"/>
        <v>——</v>
      </c>
      <c r="K37" s="66" t="s">
        <v>263</v>
      </c>
    </row>
    <row r="38" spans="1:11">
      <c r="A38" s="32" t="s">
        <v>264</v>
      </c>
      <c r="B38" s="33" t="s">
        <v>212</v>
      </c>
      <c r="C38" s="32" t="s">
        <v>62</v>
      </c>
      <c r="D38" s="36">
        <v>42864</v>
      </c>
      <c r="E38" s="36">
        <v>42864</v>
      </c>
      <c r="F38" s="49">
        <f t="shared" si="3"/>
        <v>1</v>
      </c>
      <c r="G38" s="50">
        <f>IF(F38="——","——",NETWORKDAYS(D38,E38,节日假期!$A$2:$A$28)+COUNTIFS(节日假期!B:B,"&gt;="&amp;$D38,节日假期!B:B,"&lt;="&amp;$E38)+I38)</f>
        <v>1</v>
      </c>
      <c r="H38" s="32" t="str">
        <f t="shared" ca="1" si="4"/>
        <v>未开始</v>
      </c>
      <c r="I38" s="69"/>
      <c r="J38" s="34" t="str">
        <f t="shared" ca="1" si="5"/>
        <v>——</v>
      </c>
      <c r="K38" s="66" t="s">
        <v>266</v>
      </c>
    </row>
    <row r="39" spans="1:11">
      <c r="A39" s="32" t="s">
        <v>264</v>
      </c>
      <c r="B39" s="33" t="s">
        <v>119</v>
      </c>
      <c r="C39" s="32" t="s">
        <v>62</v>
      </c>
      <c r="D39" s="36">
        <v>42865</v>
      </c>
      <c r="E39" s="36">
        <v>42870</v>
      </c>
      <c r="F39" s="49">
        <f t="shared" si="3"/>
        <v>6</v>
      </c>
      <c r="G39" s="50">
        <f>IF(F39="——","——",NETWORKDAYS(D39,E39,节日假期!$A$2:$A$28)+COUNTIFS(节日假期!B:B,"&gt;="&amp;$D39,节日假期!B:B,"&lt;="&amp;$E39)+I39)</f>
        <v>4</v>
      </c>
      <c r="H39" s="32" t="str">
        <f t="shared" ca="1" si="4"/>
        <v>未开始</v>
      </c>
      <c r="I39" s="69"/>
      <c r="J39" s="34" t="str">
        <f t="shared" ca="1" si="5"/>
        <v>——</v>
      </c>
      <c r="K39" s="66"/>
    </row>
    <row r="40" spans="1:11">
      <c r="A40" s="32" t="s">
        <v>264</v>
      </c>
      <c r="B40" s="33" t="s">
        <v>121</v>
      </c>
      <c r="C40" s="32" t="s">
        <v>62</v>
      </c>
      <c r="D40" s="36">
        <v>42871</v>
      </c>
      <c r="E40" s="36">
        <v>42877</v>
      </c>
      <c r="F40" s="49">
        <f t="shared" si="3"/>
        <v>7</v>
      </c>
      <c r="G40" s="50">
        <f>IF(F40="——","——",NETWORKDAYS(D40,E40,节日假期!$A$2:$A$28)+COUNTIFS(节日假期!B:B,"&gt;="&amp;$D40,节日假期!B:B,"&lt;="&amp;$E40)+I40)</f>
        <v>5</v>
      </c>
      <c r="H40" s="32" t="str">
        <f t="shared" ca="1" si="4"/>
        <v>未开始</v>
      </c>
      <c r="I40" s="69"/>
      <c r="J40" s="34" t="str">
        <f t="shared" ca="1" si="5"/>
        <v>——</v>
      </c>
      <c r="K40" s="66"/>
    </row>
    <row r="41" spans="1:11">
      <c r="A41" s="32" t="s">
        <v>264</v>
      </c>
      <c r="B41" s="33" t="s">
        <v>116</v>
      </c>
      <c r="C41" s="32" t="s">
        <v>62</v>
      </c>
      <c r="D41" s="36">
        <v>42878</v>
      </c>
      <c r="E41" s="36">
        <v>42882</v>
      </c>
      <c r="F41" s="49">
        <f t="shared" si="3"/>
        <v>5</v>
      </c>
      <c r="G41" s="50">
        <f>IF(F41="——","——",NETWORKDAYS(D41,E41,节日假期!$A$2:$A$28)+COUNTIFS(节日假期!B:B,"&gt;="&amp;$D41,节日假期!B:B,"&lt;="&amp;$E41)+I41)</f>
        <v>5</v>
      </c>
      <c r="H41" s="32" t="str">
        <f t="shared" ca="1" si="4"/>
        <v>未开始</v>
      </c>
      <c r="I41" s="69"/>
      <c r="J41" s="34" t="str">
        <f t="shared" ca="1" si="5"/>
        <v>——</v>
      </c>
      <c r="K41" s="66" t="s">
        <v>267</v>
      </c>
    </row>
    <row r="42" spans="1:11">
      <c r="A42" s="32" t="s">
        <v>264</v>
      </c>
      <c r="B42" s="33" t="s">
        <v>103</v>
      </c>
      <c r="C42" s="32" t="s">
        <v>268</v>
      </c>
      <c r="D42" s="36">
        <v>42849</v>
      </c>
      <c r="E42" s="36">
        <v>42851</v>
      </c>
      <c r="F42" s="49">
        <f t="shared" si="3"/>
        <v>3</v>
      </c>
      <c r="G42" s="50">
        <f>IF(F42="——","——",NETWORKDAYS(D42,E42,节日假期!$A$2:$A$28)+COUNTIFS(节日假期!B:B,"&gt;="&amp;$D42,节日假期!B:B,"&lt;="&amp;$E42)+I42)</f>
        <v>3</v>
      </c>
      <c r="H42" s="32" t="str">
        <f t="shared" ca="1" si="4"/>
        <v>未开始</v>
      </c>
      <c r="I42" s="69"/>
      <c r="J42" s="34" t="str">
        <f t="shared" ca="1" si="5"/>
        <v>——</v>
      </c>
      <c r="K42" s="66"/>
    </row>
    <row r="43" spans="1:11">
      <c r="A43" s="32" t="s">
        <v>264</v>
      </c>
      <c r="B43" s="33" t="s">
        <v>269</v>
      </c>
      <c r="C43" s="32" t="s">
        <v>268</v>
      </c>
      <c r="D43" s="36">
        <v>42852</v>
      </c>
      <c r="E43" s="36">
        <v>42859</v>
      </c>
      <c r="F43" s="49">
        <f t="shared" si="3"/>
        <v>8</v>
      </c>
      <c r="G43" s="50">
        <f>IF(F43="——","——",NETWORKDAYS(D43,E43,节日假期!$A$2:$A$28)+COUNTIFS(节日假期!B:B,"&gt;="&amp;$D43,节日假期!B:B,"&lt;="&amp;$E43)+I43)</f>
        <v>5</v>
      </c>
      <c r="H43" s="32" t="str">
        <f t="shared" ca="1" si="4"/>
        <v>未开始</v>
      </c>
      <c r="I43" s="69"/>
      <c r="J43" s="34" t="str">
        <f t="shared" ca="1" si="5"/>
        <v>——</v>
      </c>
      <c r="K43" s="66" t="s">
        <v>270</v>
      </c>
    </row>
    <row r="44" spans="1:11">
      <c r="A44" s="32" t="s">
        <v>264</v>
      </c>
      <c r="B44" s="33" t="s">
        <v>109</v>
      </c>
      <c r="C44" s="32" t="s">
        <v>268</v>
      </c>
      <c r="D44" s="36">
        <v>42860</v>
      </c>
      <c r="E44" s="36">
        <v>42865</v>
      </c>
      <c r="F44" s="49">
        <f t="shared" si="3"/>
        <v>6</v>
      </c>
      <c r="G44" s="50">
        <f>IF(F44="——","——",NETWORKDAYS(D44,E44,节日假期!$A$2:$A$28)+COUNTIFS(节日假期!B:B,"&gt;="&amp;$D44,节日假期!B:B,"&lt;="&amp;$E44)+I44)</f>
        <v>4</v>
      </c>
      <c r="H44" s="32" t="str">
        <f t="shared" ca="1" si="4"/>
        <v>未开始</v>
      </c>
      <c r="I44" s="69"/>
      <c r="J44" s="34" t="str">
        <f t="shared" ca="1" si="5"/>
        <v>——</v>
      </c>
      <c r="K44" s="66"/>
    </row>
    <row r="45" spans="1:11">
      <c r="A45" s="32" t="s">
        <v>264</v>
      </c>
      <c r="B45" s="33" t="s">
        <v>110</v>
      </c>
      <c r="C45" s="32" t="s">
        <v>268</v>
      </c>
      <c r="D45" s="36">
        <v>42866</v>
      </c>
      <c r="E45" s="36">
        <v>42873</v>
      </c>
      <c r="F45" s="49">
        <f t="shared" si="3"/>
        <v>8</v>
      </c>
      <c r="G45" s="50">
        <f>IF(F45="——","——",NETWORKDAYS(D45,E45,节日假期!$A$2:$A$28)+COUNTIFS(节日假期!B:B,"&gt;="&amp;$D45,节日假期!B:B,"&lt;="&amp;$E45)+I45)</f>
        <v>6</v>
      </c>
      <c r="H45" s="32" t="str">
        <f t="shared" ca="1" si="4"/>
        <v>未开始</v>
      </c>
      <c r="I45" s="69"/>
      <c r="J45" s="34" t="str">
        <f t="shared" ca="1" si="5"/>
        <v>——</v>
      </c>
      <c r="K45" s="66" t="s">
        <v>271</v>
      </c>
    </row>
    <row r="46" spans="1:11">
      <c r="A46" s="32" t="s">
        <v>264</v>
      </c>
      <c r="B46" s="33" t="s">
        <v>111</v>
      </c>
      <c r="C46" s="32" t="s">
        <v>268</v>
      </c>
      <c r="D46" s="36">
        <v>42874</v>
      </c>
      <c r="E46" s="36">
        <v>42877</v>
      </c>
      <c r="F46" s="49">
        <f t="shared" si="3"/>
        <v>4</v>
      </c>
      <c r="G46" s="50">
        <f>IF(F46="——","——",NETWORKDAYS(D46,E46,节日假期!$A$2:$A$28)+COUNTIFS(节日假期!B:B,"&gt;="&amp;$D46,节日假期!B:B,"&lt;="&amp;$E46)+I46)</f>
        <v>2</v>
      </c>
      <c r="H46" s="32" t="str">
        <f t="shared" ca="1" si="4"/>
        <v>未开始</v>
      </c>
      <c r="I46" s="69"/>
      <c r="J46" s="34" t="str">
        <f t="shared" ca="1" si="5"/>
        <v>——</v>
      </c>
      <c r="K46" s="66"/>
    </row>
    <row r="47" spans="1:11">
      <c r="A47" s="32" t="s">
        <v>264</v>
      </c>
      <c r="B47" s="33" t="s">
        <v>87</v>
      </c>
      <c r="C47" s="32" t="s">
        <v>268</v>
      </c>
      <c r="D47" s="36">
        <v>42878</v>
      </c>
      <c r="E47" s="36">
        <v>42879</v>
      </c>
      <c r="F47" s="49">
        <f t="shared" si="3"/>
        <v>2</v>
      </c>
      <c r="G47" s="50">
        <f>IF(F47="——","——",NETWORKDAYS(D47,E47,节日假期!$A$2:$A$28)+COUNTIFS(节日假期!B:B,"&gt;="&amp;$D47,节日假期!B:B,"&lt;="&amp;$E47)+I47)</f>
        <v>2</v>
      </c>
      <c r="H47" s="32" t="str">
        <f t="shared" ca="1" si="4"/>
        <v>未开始</v>
      </c>
      <c r="I47" s="69"/>
      <c r="J47" s="34" t="str">
        <f t="shared" ca="1" si="5"/>
        <v>——</v>
      </c>
      <c r="K47" s="66"/>
    </row>
    <row r="48" spans="1:11">
      <c r="A48" s="32" t="s">
        <v>264</v>
      </c>
      <c r="B48" s="33" t="s">
        <v>112</v>
      </c>
      <c r="C48" s="32" t="s">
        <v>268</v>
      </c>
      <c r="D48" s="36">
        <v>42880</v>
      </c>
      <c r="E48" s="36">
        <v>42881</v>
      </c>
      <c r="F48" s="49">
        <f t="shared" si="3"/>
        <v>2</v>
      </c>
      <c r="G48" s="50">
        <f>IF(F48="——","——",NETWORKDAYS(D48,E48,节日假期!$A$2:$A$28)+COUNTIFS(节日假期!B:B,"&gt;="&amp;$D48,节日假期!B:B,"&lt;="&amp;$E48)+I48)</f>
        <v>2</v>
      </c>
      <c r="H48" s="32" t="str">
        <f t="shared" ca="1" si="4"/>
        <v>未开始</v>
      </c>
      <c r="I48" s="69"/>
      <c r="J48" s="34" t="str">
        <f t="shared" ca="1" si="5"/>
        <v>——</v>
      </c>
      <c r="K48" s="66"/>
    </row>
    <row r="49" spans="1:11">
      <c r="A49" s="32" t="s">
        <v>264</v>
      </c>
      <c r="B49" s="33" t="s">
        <v>114</v>
      </c>
      <c r="C49" s="32" t="s">
        <v>268</v>
      </c>
      <c r="D49" s="36">
        <v>42882</v>
      </c>
      <c r="E49" s="36">
        <v>42882</v>
      </c>
      <c r="F49" s="49">
        <f t="shared" si="3"/>
        <v>1</v>
      </c>
      <c r="G49" s="50">
        <f>IF(F49="——","——",NETWORKDAYS(D49,E49,节日假期!$A$2:$A$28)+COUNTIFS(节日假期!B:B,"&gt;="&amp;$D49,节日假期!B:B,"&lt;="&amp;$E49)+I49)</f>
        <v>1</v>
      </c>
      <c r="H49" s="32" t="str">
        <f t="shared" ca="1" si="4"/>
        <v>未开始</v>
      </c>
      <c r="I49" s="69"/>
      <c r="J49" s="34" t="str">
        <f t="shared" ca="1" si="5"/>
        <v>——</v>
      </c>
      <c r="K49" s="66"/>
    </row>
    <row r="50" spans="1:11">
      <c r="A50" s="32" t="s">
        <v>264</v>
      </c>
      <c r="B50" s="33" t="s">
        <v>117</v>
      </c>
      <c r="C50" s="32" t="s">
        <v>268</v>
      </c>
      <c r="D50" s="36">
        <v>42887</v>
      </c>
      <c r="E50" s="36">
        <v>42895</v>
      </c>
      <c r="F50" s="49">
        <f t="shared" si="3"/>
        <v>9</v>
      </c>
      <c r="G50" s="50">
        <f>IF(F50="——","——",NETWORKDAYS(D50,E50,节日假期!$A$2:$A$28)+COUNTIFS(节日假期!B:B,"&gt;="&amp;$D50,节日假期!B:B,"&lt;="&amp;$E50)+I50)</f>
        <v>7</v>
      </c>
      <c r="H50" s="32" t="str">
        <f t="shared" ca="1" si="4"/>
        <v>未开始</v>
      </c>
      <c r="I50" s="69"/>
      <c r="J50" s="34" t="str">
        <f t="shared" ca="1" si="5"/>
        <v>——</v>
      </c>
      <c r="K50" s="66"/>
    </row>
    <row r="51" spans="1:11">
      <c r="A51" s="32" t="s">
        <v>264</v>
      </c>
      <c r="B51" s="33" t="s">
        <v>113</v>
      </c>
      <c r="C51" s="32" t="s">
        <v>268</v>
      </c>
      <c r="D51" s="36">
        <v>42898</v>
      </c>
      <c r="E51" s="36">
        <v>42899</v>
      </c>
      <c r="F51" s="49">
        <f t="shared" si="3"/>
        <v>2</v>
      </c>
      <c r="G51" s="50">
        <f>IF(F51="——","——",NETWORKDAYS(D51,E51,节日假期!$A$2:$A$28)+COUNTIFS(节日假期!B:B,"&gt;="&amp;$D51,节日假期!B:B,"&lt;="&amp;$E51)+I51)</f>
        <v>2</v>
      </c>
      <c r="H51" s="32" t="str">
        <f t="shared" ca="1" si="4"/>
        <v>未开始</v>
      </c>
      <c r="I51" s="69"/>
      <c r="J51" s="34" t="str">
        <f t="shared" ca="1" si="5"/>
        <v>——</v>
      </c>
      <c r="K51" s="66" t="s">
        <v>272</v>
      </c>
    </row>
    <row r="52" spans="1:11">
      <c r="A52" s="32" t="s">
        <v>264</v>
      </c>
      <c r="B52" s="33" t="s">
        <v>101</v>
      </c>
      <c r="C52" s="32" t="s">
        <v>268</v>
      </c>
      <c r="D52" s="36">
        <v>42900</v>
      </c>
      <c r="E52" s="36">
        <v>42900</v>
      </c>
      <c r="F52" s="49">
        <f t="shared" si="3"/>
        <v>1</v>
      </c>
      <c r="G52" s="50">
        <f>IF(F52="——","——",NETWORKDAYS(D52,E52,节日假期!$A$2:$A$28)+COUNTIFS(节日假期!B:B,"&gt;="&amp;$D52,节日假期!B:B,"&lt;="&amp;$E52)+I52)</f>
        <v>1</v>
      </c>
      <c r="H52" s="32" t="str">
        <f t="shared" ca="1" si="4"/>
        <v>未开始</v>
      </c>
      <c r="I52" s="69"/>
      <c r="J52" s="34" t="str">
        <f t="shared" ca="1" si="5"/>
        <v>——</v>
      </c>
      <c r="K52" s="66"/>
    </row>
    <row r="53" spans="1:11">
      <c r="A53" s="32" t="s">
        <v>264</v>
      </c>
      <c r="B53" s="33" t="s">
        <v>99</v>
      </c>
      <c r="C53" s="32" t="s">
        <v>268</v>
      </c>
      <c r="D53" s="36">
        <v>42901</v>
      </c>
      <c r="E53" s="36">
        <v>42901</v>
      </c>
      <c r="F53" s="49">
        <f t="shared" si="3"/>
        <v>1</v>
      </c>
      <c r="G53" s="50">
        <f>IF(F53="——","——",NETWORKDAYS(D53,E53,节日假期!$A$2:$A$28)+COUNTIFS(节日假期!B:B,"&gt;="&amp;$D53,节日假期!B:B,"&lt;="&amp;$E53)+I53)</f>
        <v>1</v>
      </c>
      <c r="H53" s="32" t="str">
        <f t="shared" ca="1" si="4"/>
        <v>未开始</v>
      </c>
      <c r="I53" s="69"/>
      <c r="J53" s="34" t="str">
        <f t="shared" ca="1" si="5"/>
        <v>——</v>
      </c>
      <c r="K53" s="66" t="s">
        <v>273</v>
      </c>
    </row>
    <row r="54" spans="1:11">
      <c r="A54" s="32" t="s">
        <v>264</v>
      </c>
      <c r="B54" s="33" t="s">
        <v>124</v>
      </c>
      <c r="C54" s="32" t="s">
        <v>268</v>
      </c>
      <c r="D54" s="36">
        <v>42902</v>
      </c>
      <c r="E54" s="36">
        <v>42909</v>
      </c>
      <c r="F54" s="49">
        <f t="shared" si="3"/>
        <v>8</v>
      </c>
      <c r="G54" s="50">
        <f>IF(F54="——","——",NETWORKDAYS(D54,E54,节日假期!$A$2:$A$28)+COUNTIFS(节日假期!B:B,"&gt;="&amp;$D54,节日假期!B:B,"&lt;="&amp;$E54)+I54)</f>
        <v>6</v>
      </c>
      <c r="H54" s="32" t="str">
        <f t="shared" ca="1" si="4"/>
        <v>未开始</v>
      </c>
      <c r="I54" s="69"/>
      <c r="J54" s="34" t="str">
        <f t="shared" ca="1" si="5"/>
        <v>——</v>
      </c>
      <c r="K54" s="66"/>
    </row>
    <row r="55" spans="1:11">
      <c r="A55" s="32" t="s">
        <v>264</v>
      </c>
      <c r="B55" s="33" t="s">
        <v>122</v>
      </c>
      <c r="C55" s="32" t="s">
        <v>290</v>
      </c>
      <c r="D55" s="36">
        <v>42887</v>
      </c>
      <c r="E55" s="36">
        <v>42894</v>
      </c>
      <c r="F55" s="49">
        <f t="shared" si="3"/>
        <v>8</v>
      </c>
      <c r="G55" s="50">
        <f>IF(F55="——","——",NETWORKDAYS(D55,E55,节日假期!$A$2:$A$28)+COUNTIFS(节日假期!B:B,"&gt;="&amp;$D55,节日假期!B:B,"&lt;="&amp;$E55)+I55)</f>
        <v>6</v>
      </c>
      <c r="H55" s="32" t="str">
        <f t="shared" ca="1" si="4"/>
        <v>未开始</v>
      </c>
      <c r="I55" s="69"/>
      <c r="J55" s="34" t="str">
        <f t="shared" ca="1" si="5"/>
        <v>——</v>
      </c>
      <c r="K55" s="66" t="s">
        <v>274</v>
      </c>
    </row>
    <row r="56" spans="1:11">
      <c r="A56" s="32" t="s">
        <v>264</v>
      </c>
      <c r="B56" s="33" t="s">
        <v>123</v>
      </c>
      <c r="C56" s="32" t="s">
        <v>291</v>
      </c>
      <c r="D56" s="36">
        <v>42895</v>
      </c>
      <c r="E56" s="36">
        <v>42902</v>
      </c>
      <c r="F56" s="49">
        <f t="shared" si="3"/>
        <v>8</v>
      </c>
      <c r="G56" s="50">
        <f>IF(F56="——","——",NETWORKDAYS(D56,E56,节日假期!$A$2:$A$28)+COUNTIFS(节日假期!B:B,"&gt;="&amp;$D56,节日假期!B:B,"&lt;="&amp;$E56)+I56)</f>
        <v>6</v>
      </c>
      <c r="H56" s="32" t="str">
        <f t="shared" ca="1" si="4"/>
        <v>未开始</v>
      </c>
      <c r="I56" s="69"/>
      <c r="J56" s="34" t="str">
        <f t="shared" ca="1" si="5"/>
        <v>——</v>
      </c>
      <c r="K56" s="66" t="s">
        <v>274</v>
      </c>
    </row>
    <row r="57" spans="1:11">
      <c r="A57" s="32" t="s">
        <v>275</v>
      </c>
      <c r="B57" s="33" t="s">
        <v>58</v>
      </c>
      <c r="C57" s="32" t="s">
        <v>9</v>
      </c>
      <c r="D57" s="36">
        <v>42849</v>
      </c>
      <c r="E57" s="36">
        <v>42853</v>
      </c>
      <c r="F57" s="49">
        <f t="shared" si="3"/>
        <v>5</v>
      </c>
      <c r="G57" s="50">
        <f>IF(F57="——","——",NETWORKDAYS(D57,E57,节日假期!$A$2:$A$28)+COUNTIFS(节日假期!B:B,"&gt;="&amp;$D57,节日假期!B:B,"&lt;="&amp;$E57)+I57)</f>
        <v>5</v>
      </c>
      <c r="H57" s="32" t="str">
        <f t="shared" ca="1" si="4"/>
        <v>未开始</v>
      </c>
      <c r="I57" s="69"/>
      <c r="J57" s="34" t="str">
        <f t="shared" ca="1" si="5"/>
        <v>——</v>
      </c>
      <c r="K57" s="66"/>
    </row>
    <row r="58" spans="1:11">
      <c r="A58" s="32" t="s">
        <v>275</v>
      </c>
      <c r="B58" s="33" t="s">
        <v>59</v>
      </c>
      <c r="C58" s="32" t="s">
        <v>9</v>
      </c>
      <c r="D58" s="36">
        <v>42857</v>
      </c>
      <c r="E58" s="36">
        <v>42863</v>
      </c>
      <c r="F58" s="49">
        <f t="shared" si="3"/>
        <v>7</v>
      </c>
      <c r="G58" s="50">
        <f>IF(F58="——","——",NETWORKDAYS(D58,E58,节日假期!$A$2:$A$28)+COUNTIFS(节日假期!B:B,"&gt;="&amp;$D58,节日假期!B:B,"&lt;="&amp;$E58)+I58)</f>
        <v>5</v>
      </c>
      <c r="H58" s="32" t="str">
        <f t="shared" ca="1" si="4"/>
        <v>未开始</v>
      </c>
      <c r="I58" s="69"/>
      <c r="J58" s="34" t="str">
        <f t="shared" ca="1" si="5"/>
        <v>——</v>
      </c>
      <c r="K58" s="66"/>
    </row>
    <row r="59" spans="1:11">
      <c r="A59" s="32" t="s">
        <v>275</v>
      </c>
      <c r="B59" s="33" t="s">
        <v>60</v>
      </c>
      <c r="C59" s="32" t="s">
        <v>9</v>
      </c>
      <c r="D59" s="36">
        <v>42864</v>
      </c>
      <c r="E59" s="36">
        <v>42870</v>
      </c>
      <c r="F59" s="49">
        <f t="shared" si="3"/>
        <v>7</v>
      </c>
      <c r="G59" s="50">
        <f>IF(F59="——","——",NETWORKDAYS(D59,E59,节日假期!$A$2:$A$28)+COUNTIFS(节日假期!B:B,"&gt;="&amp;$D59,节日假期!B:B,"&lt;="&amp;$E59)+I59)</f>
        <v>5</v>
      </c>
      <c r="H59" s="32" t="str">
        <f t="shared" ca="1" si="4"/>
        <v>未开始</v>
      </c>
      <c r="I59" s="69"/>
      <c r="J59" s="34" t="str">
        <f t="shared" ca="1" si="5"/>
        <v>——</v>
      </c>
      <c r="K59" s="66"/>
    </row>
    <row r="60" spans="1:11">
      <c r="A60" s="32" t="s">
        <v>276</v>
      </c>
      <c r="B60" s="33" t="s">
        <v>277</v>
      </c>
      <c r="C60" s="32" t="s">
        <v>278</v>
      </c>
      <c r="D60" s="36" t="s">
        <v>265</v>
      </c>
      <c r="E60" s="36" t="s">
        <v>265</v>
      </c>
      <c r="F60" s="49" t="str">
        <f t="shared" si="3"/>
        <v>——</v>
      </c>
      <c r="G60" s="50" t="str">
        <f>IF(F60="——","——",NETWORKDAYS(D60,E60,节日假期!$A$2:$A$28)+COUNTIFS(节日假期!B:B,"&gt;="&amp;$D60,节日假期!B:B,"&lt;="&amp;$E60)+I60)</f>
        <v>——</v>
      </c>
      <c r="H60" s="32" t="str">
        <f t="shared" ca="1" si="4"/>
        <v>未开始</v>
      </c>
      <c r="I60" s="69"/>
      <c r="J60" s="34" t="str">
        <f t="shared" ca="1" si="5"/>
        <v>——</v>
      </c>
      <c r="K60" s="66" t="s">
        <v>279</v>
      </c>
    </row>
    <row r="61" spans="1:11">
      <c r="A61" s="32" t="s">
        <v>276</v>
      </c>
      <c r="B61" s="33" t="s">
        <v>280</v>
      </c>
      <c r="C61" s="32" t="s">
        <v>278</v>
      </c>
      <c r="D61" s="36" t="s">
        <v>265</v>
      </c>
      <c r="E61" s="36" t="s">
        <v>265</v>
      </c>
      <c r="F61" s="49" t="str">
        <f t="shared" si="3"/>
        <v>——</v>
      </c>
      <c r="G61" s="50" t="str">
        <f>IF(F61="——","——",NETWORKDAYS(D61,E61,节日假期!$A$2:$A$28)+COUNTIFS(节日假期!B:B,"&gt;="&amp;$D61,节日假期!B:B,"&lt;="&amp;$E61)+I61)</f>
        <v>——</v>
      </c>
      <c r="H61" s="32" t="str">
        <f t="shared" ca="1" si="4"/>
        <v>未开始</v>
      </c>
      <c r="I61" s="69"/>
      <c r="J61" s="34" t="str">
        <f t="shared" ca="1" si="5"/>
        <v>——</v>
      </c>
      <c r="K61" s="66" t="s">
        <v>279</v>
      </c>
    </row>
  </sheetData>
  <autoFilter ref="A2:K2"/>
  <mergeCells count="1">
    <mergeCell ref="A1:K1"/>
  </mergeCells>
  <phoneticPr fontId="4" type="noConversion"/>
  <conditionalFormatting sqref="A3:B3 H8:H10 A4:G10 C12:H12 A17:H61 J17:K61 J12:K12 J8:K10">
    <cfRule type="expression" dxfId="135" priority="149">
      <formula>$H3="未开始"</formula>
    </cfRule>
    <cfRule type="expression" dxfId="134" priority="150" stopIfTrue="1">
      <formula>$H3="已结束"</formula>
    </cfRule>
    <cfRule type="expression" dxfId="133" priority="151" stopIfTrue="1">
      <formula>$H3="进行中"</formula>
    </cfRule>
    <cfRule type="expression" dxfId="132" priority="152">
      <formula>$I3&gt;0</formula>
    </cfRule>
  </conditionalFormatting>
  <conditionalFormatting sqref="J35">
    <cfRule type="expression" dxfId="131" priority="141">
      <formula>$H35="未开始"</formula>
    </cfRule>
    <cfRule type="expression" dxfId="130" priority="142" stopIfTrue="1">
      <formula>$H35="已结束"</formula>
    </cfRule>
    <cfRule type="expression" dxfId="129" priority="143" stopIfTrue="1">
      <formula>$H35="进行中"</formula>
    </cfRule>
    <cfRule type="expression" dxfId="128" priority="144">
      <formula>$I35&gt;0</formula>
    </cfRule>
  </conditionalFormatting>
  <conditionalFormatting sqref="C35 A40:A41 A35:A38">
    <cfRule type="expression" dxfId="127" priority="153">
      <formula>$H35="未开始"</formula>
    </cfRule>
    <cfRule type="expression" dxfId="126" priority="154" stopIfTrue="1">
      <formula>$H35="已结束"</formula>
    </cfRule>
    <cfRule type="expression" dxfId="125" priority="155" stopIfTrue="1">
      <formula>$H35="进行中"</formula>
    </cfRule>
    <cfRule type="expression" dxfId="124" priority="156">
      <formula>#REF!&gt;0</formula>
    </cfRule>
  </conditionalFormatting>
  <conditionalFormatting sqref="A39:C39">
    <cfRule type="expression" dxfId="123" priority="129">
      <formula>$H39="未开始"</formula>
    </cfRule>
    <cfRule type="expression" dxfId="122" priority="130" stopIfTrue="1">
      <formula>$H39="已结束"</formula>
    </cfRule>
    <cfRule type="expression" dxfId="121" priority="131" stopIfTrue="1">
      <formula>$H39="进行中"</formula>
    </cfRule>
    <cfRule type="expression" dxfId="120" priority="132">
      <formula>$I39&gt;0</formula>
    </cfRule>
  </conditionalFormatting>
  <conditionalFormatting sqref="B39">
    <cfRule type="expression" dxfId="119" priority="121">
      <formula>$H39="未开始"</formula>
    </cfRule>
    <cfRule type="expression" dxfId="118" priority="122" stopIfTrue="1">
      <formula>$H39="已结束"</formula>
    </cfRule>
    <cfRule type="expression" dxfId="117" priority="123" stopIfTrue="1">
      <formula>$H39="进行中"</formula>
    </cfRule>
    <cfRule type="expression" dxfId="116" priority="124">
      <formula>$I39&gt;0</formula>
    </cfRule>
  </conditionalFormatting>
  <conditionalFormatting sqref="J39">
    <cfRule type="expression" dxfId="115" priority="117">
      <formula>$H39="未开始"</formula>
    </cfRule>
    <cfRule type="expression" dxfId="114" priority="118" stopIfTrue="1">
      <formula>$H39="已结束"</formula>
    </cfRule>
    <cfRule type="expression" dxfId="113" priority="119" stopIfTrue="1">
      <formula>$H39="进行中"</formula>
    </cfRule>
    <cfRule type="expression" dxfId="112" priority="120">
      <formula>$I39&gt;0</formula>
    </cfRule>
  </conditionalFormatting>
  <conditionalFormatting sqref="A39">
    <cfRule type="expression" dxfId="111" priority="133">
      <formula>$H39="未开始"</formula>
    </cfRule>
    <cfRule type="expression" dxfId="110" priority="134" stopIfTrue="1">
      <formula>$H39="已结束"</formula>
    </cfRule>
    <cfRule type="expression" dxfId="109" priority="135" stopIfTrue="1">
      <formula>$H39="进行中"</formula>
    </cfRule>
    <cfRule type="expression" dxfId="108" priority="136">
      <formula>#REF!&gt;0</formula>
    </cfRule>
  </conditionalFormatting>
  <conditionalFormatting sqref="K43">
    <cfRule type="expression" dxfId="107" priority="157">
      <formula>$H34="未开始"</formula>
    </cfRule>
    <cfRule type="expression" dxfId="106" priority="158" stopIfTrue="1">
      <formula>$H34="已结束"</formula>
    </cfRule>
    <cfRule type="expression" dxfId="105" priority="159" stopIfTrue="1">
      <formula>$H34="进行中"</formula>
    </cfRule>
    <cfRule type="expression" dxfId="104" priority="160">
      <formula>$I34&gt;0</formula>
    </cfRule>
  </conditionalFormatting>
  <conditionalFormatting sqref="K42">
    <cfRule type="expression" dxfId="103" priority="113">
      <formula>$H42="未开始"</formula>
    </cfRule>
    <cfRule type="expression" dxfId="102" priority="114" stopIfTrue="1">
      <formula>$H42="已结束"</formula>
    </cfRule>
    <cfRule type="expression" dxfId="101" priority="115" stopIfTrue="1">
      <formula>$H42="进行中"</formula>
    </cfRule>
    <cfRule type="expression" dxfId="100" priority="116">
      <formula>$I42&gt;0</formula>
    </cfRule>
  </conditionalFormatting>
  <conditionalFormatting sqref="K34">
    <cfRule type="expression" dxfId="99" priority="109">
      <formula>$H34="未开始"</formula>
    </cfRule>
    <cfRule type="expression" dxfId="98" priority="110" stopIfTrue="1">
      <formula>$H34="已结束"</formula>
    </cfRule>
    <cfRule type="expression" dxfId="97" priority="111" stopIfTrue="1">
      <formula>$H34="进行中"</formula>
    </cfRule>
    <cfRule type="expression" dxfId="96" priority="112">
      <formula>$I34&gt;0</formula>
    </cfRule>
  </conditionalFormatting>
  <conditionalFormatting sqref="K44">
    <cfRule type="expression" dxfId="95" priority="105">
      <formula>$H44="未开始"</formula>
    </cfRule>
    <cfRule type="expression" dxfId="94" priority="106" stopIfTrue="1">
      <formula>$H44="已结束"</formula>
    </cfRule>
    <cfRule type="expression" dxfId="93" priority="107" stopIfTrue="1">
      <formula>$H44="进行中"</formula>
    </cfRule>
    <cfRule type="expression" dxfId="92" priority="108">
      <formula>$I44&gt;0</formula>
    </cfRule>
  </conditionalFormatting>
  <conditionalFormatting sqref="H4:H7 J4:K7">
    <cfRule type="expression" dxfId="91" priority="101">
      <formula>$H4="未开始"</formula>
    </cfRule>
    <cfRule type="expression" dxfId="90" priority="102" stopIfTrue="1">
      <formula>$H4="已结束"</formula>
    </cfRule>
    <cfRule type="expression" dxfId="89" priority="103" stopIfTrue="1">
      <formula>$H4="进行中"</formula>
    </cfRule>
    <cfRule type="expression" dxfId="88" priority="104">
      <formula>$I4&gt;0</formula>
    </cfRule>
  </conditionalFormatting>
  <conditionalFormatting sqref="H3:K3">
    <cfRule type="expression" dxfId="87" priority="77">
      <formula>$H3="未开始"</formula>
    </cfRule>
    <cfRule type="expression" dxfId="86" priority="78" stopIfTrue="1">
      <formula>$H3="已结束"</formula>
    </cfRule>
    <cfRule type="expression" dxfId="85" priority="79" stopIfTrue="1">
      <formula>$H3="进行中"</formula>
    </cfRule>
    <cfRule type="expression" dxfId="84" priority="80">
      <formula>$I3&gt;0</formula>
    </cfRule>
  </conditionalFormatting>
  <conditionalFormatting sqref="C3">
    <cfRule type="expression" dxfId="83" priority="81">
      <formula>$H3="未开始"</formula>
    </cfRule>
    <cfRule type="expression" dxfId="82" priority="82" stopIfTrue="1">
      <formula>$H3="已结束"</formula>
    </cfRule>
    <cfRule type="expression" dxfId="81" priority="83" stopIfTrue="1">
      <formula>$H3="进行中"</formula>
    </cfRule>
    <cfRule type="expression" dxfId="80" priority="84">
      <formula>$I3&gt;0</formula>
    </cfRule>
  </conditionalFormatting>
  <conditionalFormatting sqref="D11:H11 J11:K11">
    <cfRule type="expression" dxfId="79" priority="65">
      <formula>$H11="未开始"</formula>
    </cfRule>
    <cfRule type="expression" dxfId="78" priority="66" stopIfTrue="1">
      <formula>$H11="已结束"</formula>
    </cfRule>
    <cfRule type="expression" dxfId="77" priority="67" stopIfTrue="1">
      <formula>$H11="进行中"</formula>
    </cfRule>
    <cfRule type="expression" dxfId="76" priority="68">
      <formula>$I11&gt;0</formula>
    </cfRule>
  </conditionalFormatting>
  <conditionalFormatting sqref="D3:F3">
    <cfRule type="expression" dxfId="75" priority="73">
      <formula>$H3="未开始"</formula>
    </cfRule>
    <cfRule type="expression" dxfId="74" priority="74" stopIfTrue="1">
      <formula>$H3="已结束"</formula>
    </cfRule>
    <cfRule type="expression" dxfId="73" priority="75" stopIfTrue="1">
      <formula>$H3="进行中"</formula>
    </cfRule>
    <cfRule type="expression" dxfId="72" priority="76">
      <formula>$I3&gt;0</formula>
    </cfRule>
  </conditionalFormatting>
  <conditionalFormatting sqref="G3">
    <cfRule type="expression" dxfId="71" priority="69">
      <formula>$H3="未开始"</formula>
    </cfRule>
    <cfRule type="expression" dxfId="70" priority="70" stopIfTrue="1">
      <formula>$H3="已结束"</formula>
    </cfRule>
    <cfRule type="expression" dxfId="69" priority="71" stopIfTrue="1">
      <formula>$H3="进行中"</formula>
    </cfRule>
    <cfRule type="expression" dxfId="68" priority="72">
      <formula>$I3&gt;0</formula>
    </cfRule>
  </conditionalFormatting>
  <conditionalFormatting sqref="A12:B12">
    <cfRule type="expression" dxfId="67" priority="723">
      <formula>#REF!="未开始"</formula>
    </cfRule>
    <cfRule type="expression" dxfId="66" priority="724" stopIfTrue="1">
      <formula>#REF!="已结束"</formula>
    </cfRule>
    <cfRule type="expression" dxfId="65" priority="725" stopIfTrue="1">
      <formula>#REF!="进行中"</formula>
    </cfRule>
    <cfRule type="expression" dxfId="64" priority="726">
      <formula>#REF!&gt;0</formula>
    </cfRule>
  </conditionalFormatting>
  <conditionalFormatting sqref="H14 A14:C14 J14:K14">
    <cfRule type="expression" dxfId="63" priority="61">
      <formula>$H14="未开始"</formula>
    </cfRule>
    <cfRule type="expression" dxfId="62" priority="62" stopIfTrue="1">
      <formula>$H14="已结束"</formula>
    </cfRule>
    <cfRule type="expression" dxfId="61" priority="63" stopIfTrue="1">
      <formula>$H14="进行中"</formula>
    </cfRule>
    <cfRule type="expression" dxfId="60" priority="64">
      <formula>$I14&gt;0</formula>
    </cfRule>
  </conditionalFormatting>
  <conditionalFormatting sqref="D14:F14">
    <cfRule type="expression" dxfId="59" priority="57">
      <formula>$H14="未开始"</formula>
    </cfRule>
    <cfRule type="expression" dxfId="58" priority="58" stopIfTrue="1">
      <formula>$H14="已结束"</formula>
    </cfRule>
    <cfRule type="expression" dxfId="57" priority="59" stopIfTrue="1">
      <formula>$H14="进行中"</formula>
    </cfRule>
    <cfRule type="expression" dxfId="56" priority="60">
      <formula>$I14&gt;0</formula>
    </cfRule>
  </conditionalFormatting>
  <conditionalFormatting sqref="G14">
    <cfRule type="expression" dxfId="55" priority="53">
      <formula>$H14="未开始"</formula>
    </cfRule>
    <cfRule type="expression" dxfId="54" priority="54" stopIfTrue="1">
      <formula>$H14="已结束"</formula>
    </cfRule>
    <cfRule type="expression" dxfId="53" priority="55" stopIfTrue="1">
      <formula>$H14="进行中"</formula>
    </cfRule>
    <cfRule type="expression" dxfId="52" priority="56">
      <formula>$I14&gt;0</formula>
    </cfRule>
  </conditionalFormatting>
  <conditionalFormatting sqref="H15 A15:C15 J15">
    <cfRule type="expression" dxfId="51" priority="49">
      <formula>$H15="未开始"</formula>
    </cfRule>
    <cfRule type="expression" dxfId="50" priority="50" stopIfTrue="1">
      <formula>$H15="已结束"</formula>
    </cfRule>
    <cfRule type="expression" dxfId="49" priority="51" stopIfTrue="1">
      <formula>$H15="进行中"</formula>
    </cfRule>
    <cfRule type="expression" dxfId="48" priority="52">
      <formula>$I15&gt;0</formula>
    </cfRule>
  </conditionalFormatting>
  <conditionalFormatting sqref="F15">
    <cfRule type="expression" dxfId="47" priority="45">
      <formula>$H15="未开始"</formula>
    </cfRule>
    <cfRule type="expression" dxfId="46" priority="46" stopIfTrue="1">
      <formula>$H15="已结束"</formula>
    </cfRule>
    <cfRule type="expression" dxfId="45" priority="47" stopIfTrue="1">
      <formula>$H15="进行中"</formula>
    </cfRule>
    <cfRule type="expression" dxfId="44" priority="48">
      <formula>$I15&gt;0</formula>
    </cfRule>
  </conditionalFormatting>
  <conditionalFormatting sqref="G15">
    <cfRule type="expression" dxfId="43" priority="41">
      <formula>$H15="未开始"</formula>
    </cfRule>
    <cfRule type="expression" dxfId="42" priority="42" stopIfTrue="1">
      <formula>$H15="已结束"</formula>
    </cfRule>
    <cfRule type="expression" dxfId="41" priority="43" stopIfTrue="1">
      <formula>$H15="进行中"</formula>
    </cfRule>
    <cfRule type="expression" dxfId="40" priority="44">
      <formula>$I15&gt;0</formula>
    </cfRule>
  </conditionalFormatting>
  <conditionalFormatting sqref="D15:E15">
    <cfRule type="expression" dxfId="39" priority="37">
      <formula>$H15="未开始"</formula>
    </cfRule>
    <cfRule type="expression" dxfId="38" priority="38" stopIfTrue="1">
      <formula>$H15="已结束"</formula>
    </cfRule>
    <cfRule type="expression" dxfId="37" priority="39" stopIfTrue="1">
      <formula>$H15="进行中"</formula>
    </cfRule>
    <cfRule type="expression" dxfId="36" priority="40">
      <formula>$I15&gt;0</formula>
    </cfRule>
  </conditionalFormatting>
  <conditionalFormatting sqref="A16:F16 H16 J16">
    <cfRule type="expression" dxfId="35" priority="33">
      <formula>$H16="未开始"</formula>
    </cfRule>
    <cfRule type="expression" dxfId="34" priority="34" stopIfTrue="1">
      <formula>$H16="已结束"</formula>
    </cfRule>
    <cfRule type="expression" dxfId="33" priority="35" stopIfTrue="1">
      <formula>$H16="进行中"</formula>
    </cfRule>
    <cfRule type="expression" dxfId="32" priority="36">
      <formula>$I16&gt;0</formula>
    </cfRule>
  </conditionalFormatting>
  <conditionalFormatting sqref="G16">
    <cfRule type="expression" dxfId="31" priority="29">
      <formula>$H16="未开始"</formula>
    </cfRule>
    <cfRule type="expression" dxfId="30" priority="30" stopIfTrue="1">
      <formula>$H16="已结束"</formula>
    </cfRule>
    <cfRule type="expression" dxfId="29" priority="31" stopIfTrue="1">
      <formula>$H16="进行中"</formula>
    </cfRule>
    <cfRule type="expression" dxfId="28" priority="32">
      <formula>$I16&gt;0</formula>
    </cfRule>
  </conditionalFormatting>
  <conditionalFormatting sqref="K15">
    <cfRule type="expression" dxfId="27" priority="25">
      <formula>$H15="未开始"</formula>
    </cfRule>
    <cfRule type="expression" dxfId="26" priority="26" stopIfTrue="1">
      <formula>$H15="已结束"</formula>
    </cfRule>
    <cfRule type="expression" dxfId="25" priority="27" stopIfTrue="1">
      <formula>$H15="进行中"</formula>
    </cfRule>
    <cfRule type="expression" dxfId="24" priority="28">
      <formula>$I15&gt;0</formula>
    </cfRule>
  </conditionalFormatting>
  <conditionalFormatting sqref="K16">
    <cfRule type="expression" dxfId="23" priority="21">
      <formula>$H16="未开始"</formula>
    </cfRule>
    <cfRule type="expression" dxfId="22" priority="22" stopIfTrue="1">
      <formula>$H16="已结束"</formula>
    </cfRule>
    <cfRule type="expression" dxfId="21" priority="23" stopIfTrue="1">
      <formula>$H16="进行中"</formula>
    </cfRule>
    <cfRule type="expression" dxfId="20" priority="24">
      <formula>$I16&gt;0</formula>
    </cfRule>
  </conditionalFormatting>
  <conditionalFormatting sqref="A13:C13 H13 J13:K13">
    <cfRule type="expression" dxfId="19" priority="17">
      <formula>$H13="未开始"</formula>
    </cfRule>
    <cfRule type="expression" dxfId="18" priority="18" stopIfTrue="1">
      <formula>$H13="已结束"</formula>
    </cfRule>
    <cfRule type="expression" dxfId="17" priority="19" stopIfTrue="1">
      <formula>$H13="进行中"</formula>
    </cfRule>
    <cfRule type="expression" dxfId="16" priority="20">
      <formula>$I13&gt;0</formula>
    </cfRule>
  </conditionalFormatting>
  <conditionalFormatting sqref="D13:F13">
    <cfRule type="expression" dxfId="15" priority="13">
      <formula>$H13="未开始"</formula>
    </cfRule>
    <cfRule type="expression" dxfId="14" priority="14" stopIfTrue="1">
      <formula>$H13="已结束"</formula>
    </cfRule>
    <cfRule type="expression" dxfId="13" priority="15" stopIfTrue="1">
      <formula>$H13="进行中"</formula>
    </cfRule>
    <cfRule type="expression" dxfId="12" priority="16">
      <formula>$I13&gt;0</formula>
    </cfRule>
  </conditionalFormatting>
  <conditionalFormatting sqref="G13">
    <cfRule type="expression" dxfId="11" priority="9">
      <formula>$H13="未开始"</formula>
    </cfRule>
    <cfRule type="expression" dxfId="10" priority="10" stopIfTrue="1">
      <formula>$H13="已结束"</formula>
    </cfRule>
    <cfRule type="expression" dxfId="9" priority="11" stopIfTrue="1">
      <formula>$H13="进行中"</formula>
    </cfRule>
    <cfRule type="expression" dxfId="8" priority="12">
      <formula>$I13&gt;0</formula>
    </cfRule>
  </conditionalFormatting>
  <conditionalFormatting sqref="A11:C11">
    <cfRule type="expression" dxfId="7" priority="5">
      <formula>$H11="未开始"</formula>
    </cfRule>
    <cfRule type="expression" dxfId="6" priority="6" stopIfTrue="1">
      <formula>$H11="已结束"</formula>
    </cfRule>
    <cfRule type="expression" dxfId="5" priority="7" stopIfTrue="1">
      <formula>$H11="进行中"</formula>
    </cfRule>
    <cfRule type="expression" dxfId="4" priority="8">
      <formula>$I11&gt;0</formula>
    </cfRule>
  </conditionalFormatting>
  <conditionalFormatting sqref="I4:I61">
    <cfRule type="expression" dxfId="3" priority="1">
      <formula>$H4="未开始"</formula>
    </cfRule>
    <cfRule type="expression" dxfId="2" priority="2" stopIfTrue="1">
      <formula>$H4="已结束"</formula>
    </cfRule>
    <cfRule type="expression" dxfId="1" priority="3" stopIfTrue="1">
      <formula>$H4="进行中"</formula>
    </cfRule>
    <cfRule type="expression" dxfId="0" priority="4">
      <formula>$I4&gt;0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V45"/>
  <sheetViews>
    <sheetView workbookViewId="0">
      <selection activeCell="P24" sqref="P24"/>
    </sheetView>
  </sheetViews>
  <sheetFormatPr defaultColWidth="9" defaultRowHeight="13.5"/>
  <cols>
    <col min="3" max="4" width="11.375" customWidth="1"/>
    <col min="14" max="14" width="13" customWidth="1"/>
    <col min="15" max="15" width="7.125" customWidth="1"/>
    <col min="16" max="17" width="22.5" customWidth="1"/>
    <col min="20" max="20" width="16.625" customWidth="1"/>
    <col min="21" max="21" width="15.625" customWidth="1"/>
  </cols>
  <sheetData>
    <row r="1" spans="2:22">
      <c r="N1" t="s">
        <v>61</v>
      </c>
      <c r="O1" t="s">
        <v>62</v>
      </c>
      <c r="P1" s="21">
        <v>42717</v>
      </c>
      <c r="Q1" s="23">
        <v>42717</v>
      </c>
      <c r="S1" s="72"/>
      <c r="T1" s="72"/>
    </row>
    <row r="2" spans="2:22">
      <c r="B2">
        <v>4</v>
      </c>
      <c r="C2" s="1" t="s">
        <v>61</v>
      </c>
      <c r="D2" s="2" t="s">
        <v>63</v>
      </c>
      <c r="E2" s="2" t="s">
        <v>64</v>
      </c>
      <c r="F2" s="2" t="s">
        <v>65</v>
      </c>
      <c r="J2" s="22">
        <v>1.1200000000000001</v>
      </c>
      <c r="K2" t="s">
        <v>66</v>
      </c>
      <c r="N2" t="s">
        <v>67</v>
      </c>
      <c r="O2" t="s">
        <v>68</v>
      </c>
      <c r="P2" s="21">
        <v>42717</v>
      </c>
      <c r="Q2" s="21">
        <v>42720</v>
      </c>
    </row>
    <row r="3" spans="2:22">
      <c r="B3">
        <v>4</v>
      </c>
      <c r="C3" s="3" t="s">
        <v>69</v>
      </c>
      <c r="D3" s="3" t="s">
        <v>70</v>
      </c>
      <c r="E3" s="4" t="s">
        <v>71</v>
      </c>
      <c r="F3" s="5" t="s">
        <v>72</v>
      </c>
      <c r="G3" s="3" t="s">
        <v>73</v>
      </c>
      <c r="J3" s="22" t="s">
        <v>74</v>
      </c>
      <c r="K3" t="s">
        <v>75</v>
      </c>
      <c r="N3" t="s">
        <v>63</v>
      </c>
      <c r="O3" t="s">
        <v>62</v>
      </c>
      <c r="P3" s="21">
        <v>42718</v>
      </c>
      <c r="Q3" s="23">
        <v>42718</v>
      </c>
    </row>
    <row r="4" spans="2:22">
      <c r="B4">
        <v>4</v>
      </c>
      <c r="C4" s="2" t="s">
        <v>76</v>
      </c>
      <c r="D4" s="2" t="s">
        <v>77</v>
      </c>
      <c r="E4" s="2" t="s">
        <v>78</v>
      </c>
      <c r="F4" s="6" t="s">
        <v>79</v>
      </c>
      <c r="N4" t="s">
        <v>64</v>
      </c>
      <c r="O4" t="s">
        <v>62</v>
      </c>
      <c r="P4" s="21">
        <v>42719</v>
      </c>
      <c r="Q4" s="23">
        <v>42719</v>
      </c>
    </row>
    <row r="5" spans="2:22">
      <c r="B5">
        <v>2</v>
      </c>
      <c r="C5" s="7" t="s">
        <v>80</v>
      </c>
      <c r="D5" s="8" t="s">
        <v>81</v>
      </c>
      <c r="E5" s="9" t="s">
        <v>82</v>
      </c>
      <c r="F5" s="10" t="s">
        <v>83</v>
      </c>
      <c r="N5" t="s">
        <v>65</v>
      </c>
      <c r="O5" t="s">
        <v>62</v>
      </c>
      <c r="P5" s="21">
        <v>42720</v>
      </c>
      <c r="Q5" s="23">
        <v>42720</v>
      </c>
    </row>
    <row r="6" spans="2:22">
      <c r="B6">
        <v>3</v>
      </c>
      <c r="C6" s="11" t="s">
        <v>84</v>
      </c>
      <c r="D6" s="12" t="s">
        <v>85</v>
      </c>
      <c r="E6" s="13" t="s">
        <v>86</v>
      </c>
      <c r="N6" t="s">
        <v>76</v>
      </c>
      <c r="O6" t="s">
        <v>62</v>
      </c>
      <c r="P6" s="21">
        <v>42723</v>
      </c>
      <c r="Q6" s="23">
        <v>42723</v>
      </c>
    </row>
    <row r="7" spans="2:22">
      <c r="B7">
        <v>4</v>
      </c>
      <c r="C7" s="1" t="s">
        <v>87</v>
      </c>
      <c r="D7" s="2" t="s">
        <v>88</v>
      </c>
      <c r="N7" t="s">
        <v>89</v>
      </c>
      <c r="O7" t="s">
        <v>68</v>
      </c>
      <c r="P7" s="21">
        <v>42723</v>
      </c>
      <c r="Q7" s="21">
        <v>42724</v>
      </c>
    </row>
    <row r="8" spans="2:22">
      <c r="B8">
        <v>4</v>
      </c>
      <c r="C8" s="2" t="s">
        <v>90</v>
      </c>
      <c r="D8" s="14" t="s">
        <v>91</v>
      </c>
      <c r="N8" t="s">
        <v>77</v>
      </c>
      <c r="O8" t="s">
        <v>62</v>
      </c>
      <c r="P8" s="21">
        <v>42724</v>
      </c>
      <c r="Q8" s="23">
        <v>42724</v>
      </c>
    </row>
    <row r="9" spans="2:22">
      <c r="B9">
        <v>8</v>
      </c>
      <c r="C9" s="1" t="s">
        <v>92</v>
      </c>
      <c r="D9" s="2" t="s">
        <v>93</v>
      </c>
      <c r="E9" s="2" t="s">
        <v>94</v>
      </c>
      <c r="F9" s="2" t="s">
        <v>95</v>
      </c>
      <c r="G9" s="2" t="s">
        <v>96</v>
      </c>
      <c r="H9" s="2" t="s">
        <v>97</v>
      </c>
      <c r="I9" s="14" t="s">
        <v>98</v>
      </c>
      <c r="N9" t="s">
        <v>78</v>
      </c>
      <c r="O9" t="s">
        <v>62</v>
      </c>
      <c r="P9" s="21">
        <v>42725</v>
      </c>
      <c r="Q9" s="23">
        <v>42725</v>
      </c>
    </row>
    <row r="10" spans="2:22">
      <c r="B10" s="73"/>
      <c r="C10" s="10" t="s">
        <v>99</v>
      </c>
      <c r="D10" s="3" t="s">
        <v>89</v>
      </c>
      <c r="E10" s="3" t="s">
        <v>67</v>
      </c>
      <c r="F10" s="3" t="s">
        <v>100</v>
      </c>
      <c r="G10" s="3" t="s">
        <v>101</v>
      </c>
      <c r="N10" t="s">
        <v>102</v>
      </c>
      <c r="O10" t="s">
        <v>68</v>
      </c>
      <c r="P10" s="21">
        <v>42725</v>
      </c>
      <c r="Q10" s="21">
        <v>42726</v>
      </c>
    </row>
    <row r="11" spans="2:22">
      <c r="B11" s="73"/>
      <c r="C11" s="15" t="s">
        <v>103</v>
      </c>
      <c r="D11" s="16" t="s">
        <v>104</v>
      </c>
      <c r="N11" t="s">
        <v>79</v>
      </c>
      <c r="O11" t="s">
        <v>62</v>
      </c>
      <c r="P11" s="21">
        <v>42726</v>
      </c>
      <c r="Q11" s="23">
        <v>42726</v>
      </c>
    </row>
    <row r="12" spans="2:22">
      <c r="B12" s="73"/>
      <c r="C12" s="10" t="s">
        <v>102</v>
      </c>
      <c r="D12" s="3" t="s">
        <v>105</v>
      </c>
      <c r="E12" s="3" t="s">
        <v>106</v>
      </c>
      <c r="F12" s="3" t="s">
        <v>107</v>
      </c>
      <c r="G12" s="3" t="s">
        <v>108</v>
      </c>
      <c r="H12" s="16" t="s">
        <v>109</v>
      </c>
      <c r="N12" t="s">
        <v>87</v>
      </c>
      <c r="O12" t="s">
        <v>62</v>
      </c>
      <c r="P12" s="21">
        <v>42727</v>
      </c>
      <c r="Q12" s="21">
        <v>42730</v>
      </c>
    </row>
    <row r="13" spans="2:22">
      <c r="B13" s="73"/>
      <c r="C13" s="15" t="s">
        <v>110</v>
      </c>
      <c r="D13" s="16" t="s">
        <v>111</v>
      </c>
      <c r="E13" s="16" t="s">
        <v>112</v>
      </c>
      <c r="N13" t="s">
        <v>105</v>
      </c>
      <c r="O13" t="s">
        <v>68</v>
      </c>
      <c r="P13" s="21">
        <v>42727</v>
      </c>
      <c r="Q13" s="21">
        <v>42730</v>
      </c>
    </row>
    <row r="14" spans="2:22">
      <c r="B14" s="73"/>
      <c r="C14" s="3" t="s">
        <v>113</v>
      </c>
      <c r="D14" s="17" t="s">
        <v>114</v>
      </c>
      <c r="N14" t="s">
        <v>88</v>
      </c>
      <c r="O14" t="s">
        <v>62</v>
      </c>
      <c r="P14" s="21">
        <v>42731</v>
      </c>
      <c r="Q14" s="21">
        <v>42732</v>
      </c>
    </row>
    <row r="15" spans="2:22">
      <c r="B15" t="s">
        <v>115</v>
      </c>
      <c r="C15" s="18" t="s">
        <v>116</v>
      </c>
      <c r="N15" t="s">
        <v>106</v>
      </c>
      <c r="O15" t="s">
        <v>68</v>
      </c>
      <c r="P15" s="21">
        <v>42731</v>
      </c>
      <c r="Q15" s="21">
        <v>42732</v>
      </c>
      <c r="V15" s="21"/>
    </row>
    <row r="16" spans="2:22">
      <c r="B16" t="s">
        <v>115</v>
      </c>
      <c r="C16" s="19" t="s">
        <v>117</v>
      </c>
      <c r="N16" t="s">
        <v>90</v>
      </c>
      <c r="O16" t="s">
        <v>62</v>
      </c>
      <c r="P16" s="21">
        <v>42733</v>
      </c>
      <c r="Q16" s="21">
        <v>42734</v>
      </c>
      <c r="R16" s="24"/>
    </row>
    <row r="17" spans="2:17">
      <c r="B17">
        <v>5</v>
      </c>
      <c r="C17" s="7" t="s">
        <v>118</v>
      </c>
      <c r="D17" s="8" t="s">
        <v>119</v>
      </c>
      <c r="N17" t="s">
        <v>69</v>
      </c>
      <c r="O17" t="s">
        <v>68</v>
      </c>
      <c r="P17" s="21">
        <v>42733</v>
      </c>
      <c r="Q17" s="23">
        <v>42733</v>
      </c>
    </row>
    <row r="18" spans="2:17">
      <c r="B18" s="35" t="s">
        <v>120</v>
      </c>
      <c r="C18" s="9" t="s">
        <v>121</v>
      </c>
      <c r="N18" t="s">
        <v>70</v>
      </c>
      <c r="O18" t="s">
        <v>68</v>
      </c>
      <c r="P18" s="21">
        <v>42734</v>
      </c>
      <c r="Q18" s="23">
        <v>42734</v>
      </c>
    </row>
    <row r="19" spans="2:17">
      <c r="B19">
        <v>10</v>
      </c>
      <c r="C19" s="7" t="s">
        <v>122</v>
      </c>
      <c r="D19" s="9" t="s">
        <v>123</v>
      </c>
      <c r="N19" t="s">
        <v>91</v>
      </c>
      <c r="O19" t="s">
        <v>62</v>
      </c>
      <c r="P19" s="21">
        <v>42738</v>
      </c>
      <c r="Q19" s="21">
        <v>42739</v>
      </c>
    </row>
    <row r="20" spans="2:17">
      <c r="B20">
        <v>3</v>
      </c>
      <c r="C20" s="20" t="s">
        <v>124</v>
      </c>
      <c r="N20" t="s">
        <v>72</v>
      </c>
      <c r="O20" t="s">
        <v>68</v>
      </c>
      <c r="P20" s="21">
        <v>42738</v>
      </c>
      <c r="Q20" s="23">
        <v>42738</v>
      </c>
    </row>
    <row r="21" spans="2:17">
      <c r="N21" t="s">
        <v>73</v>
      </c>
      <c r="O21" t="s">
        <v>68</v>
      </c>
      <c r="P21" s="21">
        <v>42739</v>
      </c>
      <c r="Q21" s="23">
        <v>42739</v>
      </c>
    </row>
    <row r="22" spans="2:17">
      <c r="N22" t="s">
        <v>71</v>
      </c>
      <c r="O22" t="s">
        <v>68</v>
      </c>
      <c r="P22" s="21">
        <v>42739</v>
      </c>
      <c r="Q22" s="23">
        <v>42739</v>
      </c>
    </row>
    <row r="23" spans="2:17">
      <c r="N23" t="s">
        <v>92</v>
      </c>
      <c r="O23" t="s">
        <v>62</v>
      </c>
      <c r="P23" s="21">
        <v>42740</v>
      </c>
      <c r="Q23" s="21">
        <v>42740</v>
      </c>
    </row>
    <row r="24" spans="2:17">
      <c r="N24" t="s">
        <v>107</v>
      </c>
      <c r="O24" t="s">
        <v>68</v>
      </c>
      <c r="P24" s="21">
        <v>42740</v>
      </c>
      <c r="Q24" s="21">
        <v>42741</v>
      </c>
    </row>
    <row r="25" spans="2:17">
      <c r="C25" s="7" t="s">
        <v>80</v>
      </c>
      <c r="N25" t="s">
        <v>93</v>
      </c>
      <c r="O25" t="s">
        <v>62</v>
      </c>
      <c r="P25" s="21">
        <v>42741</v>
      </c>
      <c r="Q25" s="21">
        <v>42741</v>
      </c>
    </row>
    <row r="26" spans="2:17">
      <c r="C26" s="8" t="s">
        <v>81</v>
      </c>
      <c r="N26" t="s">
        <v>94</v>
      </c>
      <c r="O26" t="s">
        <v>62</v>
      </c>
      <c r="P26" s="21">
        <v>42744</v>
      </c>
      <c r="Q26" s="23">
        <v>42744</v>
      </c>
    </row>
    <row r="27" spans="2:17">
      <c r="C27" s="9" t="s">
        <v>82</v>
      </c>
      <c r="N27" t="s">
        <v>108</v>
      </c>
      <c r="O27" t="s">
        <v>68</v>
      </c>
      <c r="P27" s="21">
        <v>42744</v>
      </c>
      <c r="Q27" s="21">
        <v>42745</v>
      </c>
    </row>
    <row r="28" spans="2:17">
      <c r="C28" s="11" t="s">
        <v>84</v>
      </c>
      <c r="N28" t="s">
        <v>95</v>
      </c>
      <c r="O28" t="s">
        <v>62</v>
      </c>
      <c r="P28" s="21">
        <v>42745</v>
      </c>
      <c r="Q28" s="23">
        <v>42745</v>
      </c>
    </row>
    <row r="29" spans="2:17">
      <c r="C29" s="12" t="s">
        <v>85</v>
      </c>
      <c r="N29" t="s">
        <v>96</v>
      </c>
      <c r="O29" t="s">
        <v>62</v>
      </c>
      <c r="P29" s="21">
        <v>42746</v>
      </c>
      <c r="Q29" s="23">
        <v>42746</v>
      </c>
    </row>
    <row r="30" spans="2:17">
      <c r="C30" s="13" t="s">
        <v>86</v>
      </c>
      <c r="N30" t="s">
        <v>100</v>
      </c>
      <c r="O30" t="s">
        <v>68</v>
      </c>
      <c r="P30" s="21">
        <v>42746</v>
      </c>
      <c r="Q30" s="21">
        <v>42747</v>
      </c>
    </row>
    <row r="31" spans="2:17">
      <c r="C31" s="15" t="s">
        <v>103</v>
      </c>
      <c r="N31" t="s">
        <v>97</v>
      </c>
      <c r="O31" t="s">
        <v>62</v>
      </c>
      <c r="P31" s="21">
        <v>42747</v>
      </c>
      <c r="Q31" s="23">
        <v>42747</v>
      </c>
    </row>
    <row r="32" spans="2:17">
      <c r="C32" s="16" t="s">
        <v>104</v>
      </c>
      <c r="N32" t="s">
        <v>98</v>
      </c>
      <c r="O32" t="s">
        <v>62</v>
      </c>
      <c r="P32" s="21">
        <v>42748</v>
      </c>
      <c r="Q32" s="21">
        <v>42751</v>
      </c>
    </row>
    <row r="33" spans="3:17">
      <c r="C33" s="16" t="s">
        <v>109</v>
      </c>
      <c r="N33" t="s">
        <v>99</v>
      </c>
      <c r="O33" t="s">
        <v>68</v>
      </c>
      <c r="P33" s="21">
        <v>42748</v>
      </c>
      <c r="Q33" s="21">
        <v>42751</v>
      </c>
    </row>
    <row r="34" spans="3:17">
      <c r="C34" s="15" t="s">
        <v>110</v>
      </c>
      <c r="N34" t="s">
        <v>125</v>
      </c>
      <c r="O34" t="s">
        <v>62</v>
      </c>
      <c r="P34" s="21">
        <v>42752</v>
      </c>
      <c r="Q34" s="21">
        <v>42755</v>
      </c>
    </row>
    <row r="35" spans="3:17">
      <c r="C35" s="16" t="s">
        <v>111</v>
      </c>
      <c r="N35" t="s">
        <v>101</v>
      </c>
      <c r="O35" t="s">
        <v>68</v>
      </c>
      <c r="P35" s="21">
        <v>42752</v>
      </c>
      <c r="Q35" s="21">
        <v>42753</v>
      </c>
    </row>
    <row r="36" spans="3:17">
      <c r="C36" s="16" t="s">
        <v>112</v>
      </c>
      <c r="N36" t="s">
        <v>113</v>
      </c>
      <c r="O36" t="s">
        <v>68</v>
      </c>
      <c r="P36" s="21">
        <v>42754</v>
      </c>
      <c r="Q36" s="21">
        <v>42755</v>
      </c>
    </row>
    <row r="37" spans="3:17">
      <c r="C37" s="17" t="s">
        <v>114</v>
      </c>
    </row>
    <row r="38" spans="3:17">
      <c r="C38" s="18" t="s">
        <v>116</v>
      </c>
    </row>
    <row r="39" spans="3:17">
      <c r="C39" s="19" t="s">
        <v>117</v>
      </c>
    </row>
    <row r="40" spans="3:17">
      <c r="C40" s="7" t="s">
        <v>118</v>
      </c>
    </row>
    <row r="41" spans="3:17">
      <c r="C41" s="8" t="s">
        <v>119</v>
      </c>
    </row>
    <row r="42" spans="3:17">
      <c r="C42" s="9" t="s">
        <v>121</v>
      </c>
    </row>
    <row r="43" spans="3:17">
      <c r="C43" s="7" t="s">
        <v>122</v>
      </c>
    </row>
    <row r="44" spans="3:17">
      <c r="C44" s="9" t="s">
        <v>123</v>
      </c>
    </row>
    <row r="45" spans="3:17">
      <c r="C45" s="20" t="s">
        <v>124</v>
      </c>
    </row>
  </sheetData>
  <sortState ref="N1:Q36">
    <sortCondition ref="P1"/>
  </sortState>
  <mergeCells count="2">
    <mergeCell ref="S1:T1"/>
    <mergeCell ref="B10:B14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8"/>
  <sheetViews>
    <sheetView workbookViewId="0">
      <selection activeCell="A16" sqref="A16"/>
    </sheetView>
  </sheetViews>
  <sheetFormatPr defaultColWidth="8.875" defaultRowHeight="12"/>
  <cols>
    <col min="1" max="1" width="19.125" style="25" customWidth="1"/>
    <col min="2" max="2" width="15.625" style="25" bestFit="1" customWidth="1"/>
    <col min="3" max="16384" width="8.875" style="25"/>
  </cols>
  <sheetData>
    <row r="1" spans="1:2">
      <c r="A1" s="46" t="s">
        <v>227</v>
      </c>
      <c r="B1" s="46" t="s">
        <v>228</v>
      </c>
    </row>
    <row r="2" spans="1:2">
      <c r="A2" s="45">
        <v>42735</v>
      </c>
      <c r="B2" s="45">
        <v>42757</v>
      </c>
    </row>
    <row r="3" spans="1:2">
      <c r="A3" s="45">
        <v>42736</v>
      </c>
      <c r="B3" s="45">
        <v>42770</v>
      </c>
    </row>
    <row r="4" spans="1:2">
      <c r="A4" s="45">
        <v>42737</v>
      </c>
      <c r="B4" s="45">
        <v>42826</v>
      </c>
    </row>
    <row r="5" spans="1:2">
      <c r="A5" s="45">
        <v>42762</v>
      </c>
      <c r="B5" s="45">
        <v>42882</v>
      </c>
    </row>
    <row r="6" spans="1:2">
      <c r="A6" s="45">
        <v>42763</v>
      </c>
      <c r="B6" s="45">
        <v>43008</v>
      </c>
    </row>
    <row r="7" spans="1:2">
      <c r="A7" s="45">
        <v>42764</v>
      </c>
    </row>
    <row r="8" spans="1:2">
      <c r="A8" s="45">
        <v>42765</v>
      </c>
    </row>
    <row r="9" spans="1:2">
      <c r="A9" s="45">
        <v>42766</v>
      </c>
    </row>
    <row r="10" spans="1:2">
      <c r="A10" s="45">
        <v>42767</v>
      </c>
    </row>
    <row r="11" spans="1:2">
      <c r="A11" s="45">
        <v>42768</v>
      </c>
    </row>
    <row r="12" spans="1:2">
      <c r="A12" s="45">
        <v>42827</v>
      </c>
    </row>
    <row r="13" spans="1:2">
      <c r="A13" s="45">
        <v>42828</v>
      </c>
    </row>
    <row r="14" spans="1:2">
      <c r="A14" s="45">
        <v>42829</v>
      </c>
    </row>
    <row r="15" spans="1:2">
      <c r="A15" s="45">
        <v>42854</v>
      </c>
    </row>
    <row r="16" spans="1:2">
      <c r="A16" s="45">
        <v>42855</v>
      </c>
    </row>
    <row r="17" spans="1:1">
      <c r="A17" s="45">
        <v>42856</v>
      </c>
    </row>
    <row r="18" spans="1:1">
      <c r="A18" s="45">
        <v>42883</v>
      </c>
    </row>
    <row r="19" spans="1:1">
      <c r="A19" s="45">
        <v>42884</v>
      </c>
    </row>
    <row r="20" spans="1:1">
      <c r="A20" s="45">
        <v>42885</v>
      </c>
    </row>
    <row r="21" spans="1:1">
      <c r="A21" s="45">
        <v>43009</v>
      </c>
    </row>
    <row r="22" spans="1:1">
      <c r="A22" s="45">
        <v>43010</v>
      </c>
    </row>
    <row r="23" spans="1:1">
      <c r="A23" s="45">
        <v>43011</v>
      </c>
    </row>
    <row r="24" spans="1:1">
      <c r="A24" s="45">
        <v>43012</v>
      </c>
    </row>
    <row r="25" spans="1:1">
      <c r="A25" s="45">
        <v>43013</v>
      </c>
    </row>
    <row r="26" spans="1:1">
      <c r="A26" s="45">
        <v>43014</v>
      </c>
    </row>
    <row r="27" spans="1:1">
      <c r="A27" s="45">
        <v>43015</v>
      </c>
    </row>
    <row r="28" spans="1:1">
      <c r="A28" s="45">
        <v>43016</v>
      </c>
    </row>
  </sheetData>
  <phoneticPr fontId="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版本说明</vt:lpstr>
      <vt:lpstr>v0.1</vt:lpstr>
      <vt:lpstr>v0.2</vt:lpstr>
      <vt:lpstr>v0.3</vt:lpstr>
      <vt:lpstr>Sheet1</vt:lpstr>
      <vt:lpstr>节日假期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2006-09-16T00:00:00Z</dcterms:created>
  <dcterms:modified xsi:type="dcterms:W3CDTF">2017-04-21T02:37:12Z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2052-10.1.0.6028</vt:lpwstr>
  </property>
</Properties>
</file>