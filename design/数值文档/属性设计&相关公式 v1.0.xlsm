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ctrlProps/ctrlProp2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1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ide\Space_Doc\"/>
    </mc:Choice>
  </mc:AlternateContent>
  <bookViews>
    <workbookView xWindow="240" yWindow="105" windowWidth="14805" windowHeight="8010" tabRatio="804" activeTab="9"/>
  </bookViews>
  <sheets>
    <sheet name="总览" sheetId="5" r:id="rId1"/>
    <sheet name="战斗模拟" sheetId="13" r:id="rId2"/>
    <sheet name="属性价值" sheetId="18" r:id="rId3"/>
    <sheet name="角色属性" sheetId="11" r:id="rId4"/>
    <sheet name="附加属性" sheetId="14" r:id="rId5"/>
    <sheet name="怪物属性" sheetId="12" r:id="rId6"/>
    <sheet name="技能属性" sheetId="19" r:id="rId7"/>
    <sheet name="装备属性" sheetId="10" r:id="rId8"/>
    <sheet name="装备价格" sheetId="21" r:id="rId9"/>
    <sheet name="装备强化" sheetId="7" r:id="rId10"/>
    <sheet name="材料数据" sheetId="17" r:id="rId11"/>
    <sheet name="装备升级" sheetId="6" r:id="rId12"/>
    <sheet name="装备改造" sheetId="9" r:id="rId13"/>
    <sheet name="金钱消耗" sheetId="15" r:id="rId14"/>
    <sheet name="药品数据" sheetId="16" r:id="rId15"/>
    <sheet name="陷阱数据" sheetId="20" r:id="rId16"/>
    <sheet name="掉落配置" sheetId="22" r:id="rId17"/>
  </sheets>
  <functionGroups builtInGroupCount="18"/>
  <calcPr calcId="152511"/>
</workbook>
</file>

<file path=xl/calcChain.xml><?xml version="1.0" encoding="utf-8"?>
<calcChain xmlns="http://schemas.openxmlformats.org/spreadsheetml/2006/main">
  <c r="BB10" i="7" l="1"/>
  <c r="BB11" i="7"/>
  <c r="BB12" i="7"/>
  <c r="BB13" i="7"/>
  <c r="BB14" i="7"/>
  <c r="BB15" i="7"/>
  <c r="BB16" i="7"/>
  <c r="BB17" i="7"/>
  <c r="BB18" i="7"/>
  <c r="BB19" i="7"/>
  <c r="BB20" i="7"/>
  <c r="BB21" i="7"/>
  <c r="BB22" i="7"/>
  <c r="BB23" i="7"/>
  <c r="BB24" i="7"/>
  <c r="BB25" i="7"/>
  <c r="BB26" i="7"/>
  <c r="BB27" i="7"/>
  <c r="BB28" i="7"/>
  <c r="BB29" i="7"/>
  <c r="BB30" i="7"/>
  <c r="BB31" i="7"/>
  <c r="BB32" i="7"/>
  <c r="BB33" i="7"/>
  <c r="BB34" i="7"/>
  <c r="BB35" i="7"/>
  <c r="BB36" i="7"/>
  <c r="BB37" i="7"/>
  <c r="BB38" i="7"/>
  <c r="BB39" i="7"/>
  <c r="BB40" i="7"/>
  <c r="BB41" i="7"/>
  <c r="BB42" i="7"/>
  <c r="BB43" i="7"/>
  <c r="BB44" i="7"/>
  <c r="BB45" i="7"/>
  <c r="BB46" i="7"/>
  <c r="BB47" i="7"/>
  <c r="BB48" i="7"/>
  <c r="BB49" i="7"/>
  <c r="BB50" i="7"/>
  <c r="BB51" i="7"/>
  <c r="BB52" i="7"/>
  <c r="BB53" i="7"/>
  <c r="BB54" i="7"/>
  <c r="BB55" i="7"/>
  <c r="BB56" i="7"/>
  <c r="BB57" i="7"/>
  <c r="BB58" i="7"/>
  <c r="BB9" i="7"/>
  <c r="AS8" i="6"/>
  <c r="AS9" i="6"/>
  <c r="AS10" i="6"/>
  <c r="AS11" i="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38" i="6"/>
  <c r="AS39" i="6"/>
  <c r="AS40" i="6"/>
  <c r="AS41" i="6"/>
  <c r="AS42" i="6"/>
  <c r="AS43" i="6"/>
  <c r="AS44" i="6"/>
  <c r="AS45" i="6"/>
  <c r="AS46" i="6"/>
  <c r="AS47" i="6"/>
  <c r="AS48" i="6"/>
  <c r="AS49" i="6"/>
  <c r="AS50" i="6"/>
  <c r="AS51" i="6"/>
  <c r="AS52" i="6"/>
  <c r="AS53" i="6"/>
  <c r="AS54" i="6"/>
  <c r="AS55" i="6"/>
  <c r="AS56" i="6"/>
  <c r="AS7" i="6"/>
  <c r="C9" i="7" l="1"/>
  <c r="L12" i="7" l="1"/>
  <c r="AD3" i="17" l="1"/>
  <c r="AD4" i="17"/>
  <c r="AD5" i="17"/>
  <c r="AD6" i="17"/>
  <c r="AD7" i="17"/>
  <c r="AD8" i="17"/>
  <c r="AD9" i="17"/>
  <c r="AD10" i="17"/>
  <c r="AD11" i="17"/>
  <c r="AD12" i="17"/>
  <c r="AD13" i="17"/>
  <c r="AD14" i="17"/>
  <c r="AD15" i="17"/>
  <c r="AD16" i="17"/>
  <c r="AD17" i="17"/>
  <c r="AD18" i="17"/>
  <c r="AD19" i="17"/>
  <c r="AD20" i="17"/>
  <c r="AD21" i="17"/>
  <c r="AD22" i="17"/>
  <c r="AD23" i="17"/>
  <c r="AD24" i="17"/>
  <c r="AD25" i="17"/>
  <c r="AD26" i="17"/>
  <c r="AD27" i="17"/>
  <c r="AD28" i="17"/>
  <c r="AD29" i="17"/>
  <c r="AD30" i="17"/>
  <c r="AD31" i="17"/>
  <c r="AD32" i="17"/>
  <c r="AD33" i="17"/>
  <c r="AD34" i="17"/>
  <c r="AD35" i="17"/>
  <c r="AD36" i="17"/>
  <c r="AD37" i="17"/>
  <c r="AD38" i="17"/>
  <c r="AD39" i="17"/>
  <c r="AD40" i="17"/>
  <c r="AD41" i="17"/>
  <c r="AD42" i="17"/>
  <c r="AD43" i="17"/>
  <c r="AD44" i="17"/>
  <c r="AD45" i="17"/>
  <c r="AD46" i="17"/>
  <c r="AD47" i="17"/>
  <c r="AD48" i="17"/>
  <c r="AD49" i="17"/>
  <c r="AD50" i="17"/>
  <c r="AD51" i="17"/>
  <c r="M54" i="17" l="1"/>
  <c r="K6" i="20" l="1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" i="20"/>
  <c r="A3" i="14" l="1"/>
  <c r="B3" i="14"/>
  <c r="A4" i="14"/>
  <c r="B4" i="14"/>
  <c r="A5" i="14"/>
  <c r="B5" i="14"/>
  <c r="A6" i="14"/>
  <c r="B6" i="14"/>
  <c r="A7" i="14"/>
  <c r="B7" i="14"/>
  <c r="A8" i="14"/>
  <c r="B8" i="14"/>
  <c r="A9" i="14"/>
  <c r="B9" i="14"/>
  <c r="A10" i="14"/>
  <c r="B10" i="14"/>
  <c r="A11" i="14"/>
  <c r="B11" i="14"/>
  <c r="A12" i="14"/>
  <c r="B12" i="14"/>
  <c r="A13" i="14"/>
  <c r="B13" i="14"/>
  <c r="A14" i="14"/>
  <c r="B14" i="14"/>
  <c r="A15" i="14"/>
  <c r="B15" i="14"/>
  <c r="A16" i="14"/>
  <c r="B16" i="14"/>
  <c r="A17" i="14"/>
  <c r="B17" i="14"/>
  <c r="A18" i="14"/>
  <c r="B18" i="14"/>
  <c r="A19" i="14"/>
  <c r="B19" i="14"/>
  <c r="A20" i="14"/>
  <c r="B20" i="14"/>
  <c r="A21" i="14"/>
  <c r="B21" i="14"/>
  <c r="A22" i="14"/>
  <c r="B22" i="14"/>
  <c r="A23" i="14"/>
  <c r="B23" i="14"/>
  <c r="A24" i="14"/>
  <c r="B24" i="14"/>
  <c r="A25" i="14"/>
  <c r="B25" i="14"/>
  <c r="A26" i="14"/>
  <c r="B26" i="14"/>
  <c r="A27" i="14"/>
  <c r="B27" i="14"/>
  <c r="A28" i="14"/>
  <c r="B28" i="14"/>
  <c r="A29" i="14"/>
  <c r="B29" i="14"/>
  <c r="A30" i="14"/>
  <c r="B30" i="14"/>
  <c r="A31" i="14"/>
  <c r="B31" i="14"/>
  <c r="A32" i="14"/>
  <c r="B32" i="14"/>
  <c r="A33" i="14"/>
  <c r="B33" i="14"/>
  <c r="A34" i="14"/>
  <c r="B34" i="14"/>
  <c r="A35" i="14"/>
  <c r="B35" i="14"/>
  <c r="A36" i="14"/>
  <c r="B36" i="14"/>
  <c r="A37" i="14"/>
  <c r="B37" i="14"/>
  <c r="A38" i="14"/>
  <c r="B38" i="14"/>
  <c r="A39" i="14"/>
  <c r="B39" i="14"/>
  <c r="A40" i="14"/>
  <c r="B40" i="14"/>
  <c r="A41" i="14"/>
  <c r="B41" i="14"/>
  <c r="A42" i="14"/>
  <c r="B42" i="14"/>
  <c r="A43" i="14"/>
  <c r="B43" i="14"/>
  <c r="A44" i="14"/>
  <c r="B44" i="14"/>
  <c r="A45" i="14"/>
  <c r="B45" i="14"/>
  <c r="A46" i="14"/>
  <c r="B46" i="14"/>
  <c r="A47" i="14"/>
  <c r="B47" i="14"/>
  <c r="A48" i="14"/>
  <c r="B48" i="14"/>
  <c r="A49" i="14"/>
  <c r="B49" i="14"/>
  <c r="A50" i="14"/>
  <c r="B50" i="14"/>
  <c r="A51" i="14"/>
  <c r="B51" i="14"/>
  <c r="A52" i="14"/>
  <c r="B52" i="14"/>
  <c r="E68" i="16" l="1"/>
  <c r="G68" i="16"/>
  <c r="E69" i="16"/>
  <c r="G69" i="16"/>
  <c r="E70" i="16"/>
  <c r="G70" i="16"/>
  <c r="E71" i="16"/>
  <c r="G71" i="16"/>
  <c r="E72" i="16"/>
  <c r="E73" i="16"/>
  <c r="E74" i="16"/>
  <c r="E75" i="16"/>
  <c r="E76" i="16"/>
  <c r="F82" i="16"/>
  <c r="G82" i="16"/>
  <c r="F83" i="16"/>
  <c r="G83" i="16"/>
  <c r="F84" i="16"/>
  <c r="G84" i="16"/>
  <c r="F85" i="16"/>
  <c r="G85" i="16"/>
  <c r="F86" i="16"/>
  <c r="G86" i="16"/>
  <c r="F87" i="16"/>
  <c r="G87" i="16"/>
  <c r="F88" i="16"/>
  <c r="G88" i="16"/>
  <c r="F89" i="16"/>
  <c r="G89" i="16"/>
  <c r="F90" i="16"/>
  <c r="G90" i="16"/>
  <c r="F91" i="16"/>
  <c r="G91" i="16"/>
  <c r="E92" i="16"/>
  <c r="E93" i="16"/>
  <c r="E94" i="16"/>
  <c r="E95" i="16"/>
  <c r="E96" i="16"/>
  <c r="F97" i="16"/>
  <c r="G97" i="16"/>
  <c r="F98" i="16"/>
  <c r="G98" i="16"/>
  <c r="F99" i="16"/>
  <c r="G99" i="16"/>
  <c r="F100" i="16"/>
  <c r="G100" i="16"/>
  <c r="F101" i="16"/>
  <c r="G101" i="16"/>
  <c r="E102" i="16"/>
  <c r="E103" i="16"/>
  <c r="E104" i="16"/>
  <c r="E105" i="16"/>
  <c r="E106" i="16"/>
  <c r="E107" i="16"/>
  <c r="E108" i="16"/>
  <c r="E109" i="16"/>
  <c r="E110" i="16"/>
  <c r="E111" i="16"/>
  <c r="F112" i="16"/>
  <c r="F113" i="16"/>
  <c r="F114" i="16"/>
  <c r="F115" i="16"/>
  <c r="F116" i="16"/>
  <c r="F117" i="16"/>
  <c r="G117" i="16"/>
  <c r="F118" i="16"/>
  <c r="G118" i="16"/>
  <c r="F119" i="16"/>
  <c r="G119" i="16"/>
  <c r="F120" i="16"/>
  <c r="G120" i="16"/>
  <c r="F121" i="16"/>
  <c r="G121" i="16"/>
  <c r="E122" i="16"/>
  <c r="E123" i="16"/>
  <c r="E124" i="16"/>
  <c r="E125" i="16"/>
  <c r="E126" i="16"/>
  <c r="F127" i="16"/>
  <c r="G127" i="16"/>
  <c r="F128" i="16"/>
  <c r="G128" i="16"/>
  <c r="F129" i="16"/>
  <c r="G129" i="16"/>
  <c r="F130" i="16"/>
  <c r="G130" i="16"/>
  <c r="F131" i="16"/>
  <c r="G131" i="16"/>
  <c r="E132" i="16"/>
  <c r="E133" i="16"/>
  <c r="E134" i="16"/>
  <c r="E135" i="16"/>
  <c r="E136" i="16"/>
  <c r="F137" i="16"/>
  <c r="G137" i="16"/>
  <c r="F138" i="16"/>
  <c r="G138" i="16"/>
  <c r="F139" i="16"/>
  <c r="G139" i="16"/>
  <c r="F140" i="16"/>
  <c r="G140" i="16"/>
  <c r="F141" i="16"/>
  <c r="G141" i="16"/>
  <c r="F142" i="16"/>
  <c r="F143" i="16"/>
  <c r="F144" i="16"/>
  <c r="F145" i="16"/>
  <c r="F146" i="16"/>
  <c r="F147" i="16"/>
  <c r="G147" i="16"/>
  <c r="F148" i="16"/>
  <c r="G148" i="16"/>
  <c r="F149" i="16"/>
  <c r="G149" i="16"/>
  <c r="F150" i="16"/>
  <c r="G150" i="16"/>
  <c r="F151" i="16"/>
  <c r="G151" i="16"/>
  <c r="E152" i="16"/>
  <c r="E153" i="16"/>
  <c r="E154" i="16"/>
  <c r="E155" i="16"/>
  <c r="E156" i="16"/>
  <c r="G67" i="16"/>
  <c r="E67" i="16"/>
  <c r="D41" i="16" l="1"/>
  <c r="D42" i="16"/>
  <c r="D43" i="16"/>
  <c r="D44" i="16"/>
  <c r="D36" i="16"/>
  <c r="D37" i="16"/>
  <c r="D38" i="16"/>
  <c r="D39" i="16"/>
  <c r="D26" i="16"/>
  <c r="D27" i="16"/>
  <c r="D28" i="16"/>
  <c r="D29" i="16"/>
  <c r="D16" i="16"/>
  <c r="D17" i="16"/>
  <c r="D18" i="16"/>
  <c r="D19" i="16"/>
  <c r="D23" i="16"/>
  <c r="D46" i="16"/>
  <c r="D47" i="16"/>
  <c r="D48" i="16"/>
  <c r="D49" i="16"/>
  <c r="D51" i="16"/>
  <c r="D52" i="16"/>
  <c r="D53" i="16"/>
  <c r="D54" i="16"/>
  <c r="D56" i="16"/>
  <c r="D57" i="16"/>
  <c r="D58" i="16"/>
  <c r="D59" i="16"/>
  <c r="D61" i="16"/>
  <c r="D62" i="16"/>
  <c r="D22" i="16" s="1"/>
  <c r="D63" i="16"/>
  <c r="D64" i="16"/>
  <c r="D60" i="16"/>
  <c r="D15" i="16"/>
  <c r="D55" i="16"/>
  <c r="D45" i="16"/>
  <c r="D50" i="16"/>
  <c r="D40" i="16"/>
  <c r="D35" i="16"/>
  <c r="D25" i="16"/>
  <c r="J22" i="16" l="1"/>
  <c r="M22" i="16"/>
  <c r="P22" i="16"/>
  <c r="J52" i="16"/>
  <c r="M52" i="16"/>
  <c r="P52" i="16"/>
  <c r="J35" i="16"/>
  <c r="P35" i="16"/>
  <c r="M35" i="16"/>
  <c r="D20" i="16"/>
  <c r="P60" i="16"/>
  <c r="J60" i="16"/>
  <c r="M60" i="16"/>
  <c r="J58" i="16"/>
  <c r="M58" i="16"/>
  <c r="P58" i="16"/>
  <c r="M51" i="16"/>
  <c r="P51" i="16"/>
  <c r="J51" i="16"/>
  <c r="J28" i="16"/>
  <c r="M28" i="16"/>
  <c r="P28" i="16"/>
  <c r="J36" i="16"/>
  <c r="M36" i="16"/>
  <c r="P36" i="16"/>
  <c r="D24" i="16"/>
  <c r="J64" i="16"/>
  <c r="P64" i="16"/>
  <c r="M64" i="16"/>
  <c r="M57" i="16"/>
  <c r="P57" i="16"/>
  <c r="J57" i="16"/>
  <c r="P49" i="16"/>
  <c r="J49" i="16"/>
  <c r="M49" i="16"/>
  <c r="J19" i="16"/>
  <c r="M19" i="16"/>
  <c r="P19" i="16"/>
  <c r="M27" i="16"/>
  <c r="P27" i="16"/>
  <c r="J27" i="16"/>
  <c r="P44" i="16"/>
  <c r="J44" i="16"/>
  <c r="M44" i="16"/>
  <c r="P59" i="16"/>
  <c r="J59" i="16"/>
  <c r="M59" i="16"/>
  <c r="J23" i="16"/>
  <c r="M23" i="16"/>
  <c r="P23" i="16"/>
  <c r="M63" i="16"/>
  <c r="P63" i="16"/>
  <c r="J63" i="16"/>
  <c r="P56" i="16"/>
  <c r="M56" i="16"/>
  <c r="J56" i="16"/>
  <c r="J48" i="16"/>
  <c r="M48" i="16"/>
  <c r="P48" i="16"/>
  <c r="J18" i="16"/>
  <c r="M18" i="16"/>
  <c r="P18" i="16"/>
  <c r="P26" i="16"/>
  <c r="M26" i="16"/>
  <c r="J26" i="16"/>
  <c r="J43" i="16"/>
  <c r="M43" i="16"/>
  <c r="P43" i="16"/>
  <c r="P25" i="16"/>
  <c r="J25" i="16"/>
  <c r="M25" i="16"/>
  <c r="J29" i="16"/>
  <c r="M29" i="16"/>
  <c r="P29" i="16"/>
  <c r="J40" i="16"/>
  <c r="M40" i="16"/>
  <c r="P40" i="16"/>
  <c r="P62" i="16"/>
  <c r="M62" i="16"/>
  <c r="J62" i="16"/>
  <c r="P54" i="16"/>
  <c r="J54" i="16"/>
  <c r="M54" i="16"/>
  <c r="J47" i="16"/>
  <c r="P47" i="16"/>
  <c r="M47" i="16"/>
  <c r="J17" i="16"/>
  <c r="M17" i="16"/>
  <c r="P17" i="16"/>
  <c r="M39" i="16"/>
  <c r="P39" i="16"/>
  <c r="J39" i="16"/>
  <c r="J42" i="16"/>
  <c r="M42" i="16"/>
  <c r="P42" i="16"/>
  <c r="P15" i="16"/>
  <c r="M15" i="16"/>
  <c r="J15" i="16"/>
  <c r="P37" i="16"/>
  <c r="J37" i="16"/>
  <c r="M37" i="16"/>
  <c r="P50" i="16"/>
  <c r="M50" i="16"/>
  <c r="J50" i="16"/>
  <c r="M45" i="16"/>
  <c r="P45" i="16"/>
  <c r="J45" i="16"/>
  <c r="P55" i="16"/>
  <c r="J55" i="16"/>
  <c r="M55" i="16"/>
  <c r="D21" i="16"/>
  <c r="J61" i="16"/>
  <c r="P61" i="16"/>
  <c r="M61" i="16"/>
  <c r="J53" i="16"/>
  <c r="M53" i="16"/>
  <c r="P53" i="16"/>
  <c r="J46" i="16"/>
  <c r="P46" i="16"/>
  <c r="M46" i="16"/>
  <c r="J16" i="16"/>
  <c r="M16" i="16"/>
  <c r="P16" i="16"/>
  <c r="P38" i="16"/>
  <c r="M38" i="16"/>
  <c r="J38" i="16"/>
  <c r="P41" i="16"/>
  <c r="J41" i="16"/>
  <c r="M41" i="16"/>
  <c r="M55" i="17"/>
  <c r="G55" i="17"/>
  <c r="P20" i="16" l="1"/>
  <c r="M20" i="16"/>
  <c r="J20" i="16"/>
  <c r="J24" i="16"/>
  <c r="M24" i="16"/>
  <c r="P24" i="16"/>
  <c r="M21" i="16"/>
  <c r="P21" i="16"/>
  <c r="J21" i="16"/>
  <c r="Y5" i="16"/>
  <c r="Z5" i="16" s="1"/>
  <c r="Y6" i="16"/>
  <c r="Z6" i="16" s="1"/>
  <c r="Y7" i="16"/>
  <c r="Z7" i="16" s="1"/>
  <c r="Y8" i="16"/>
  <c r="Z8" i="16" s="1"/>
  <c r="Y9" i="16"/>
  <c r="Z9" i="16" s="1"/>
  <c r="C5" i="16"/>
  <c r="D5" i="16" s="1"/>
  <c r="C6" i="16"/>
  <c r="D6" i="16" s="1"/>
  <c r="C7" i="16"/>
  <c r="D7" i="16" s="1"/>
  <c r="C8" i="16"/>
  <c r="D8" i="16" s="1"/>
  <c r="C9" i="16"/>
  <c r="D9" i="16" s="1"/>
  <c r="G5" i="16" l="1"/>
  <c r="E15" i="16" s="1"/>
  <c r="W5" i="16"/>
  <c r="E40" i="16" s="1"/>
  <c r="K5" i="16"/>
  <c r="E25" i="16" s="1"/>
  <c r="AA5" i="16"/>
  <c r="E50" i="16" s="1"/>
  <c r="AE5" i="16"/>
  <c r="E45" i="16" s="1"/>
  <c r="AI5" i="16"/>
  <c r="E55" i="16" s="1"/>
  <c r="S5" i="16"/>
  <c r="E35" i="16" s="1"/>
  <c r="AA9" i="16"/>
  <c r="E54" i="16" s="1"/>
  <c r="AI9" i="16"/>
  <c r="E59" i="16" s="1"/>
  <c r="S9" i="16"/>
  <c r="E39" i="16" s="1"/>
  <c r="AE9" i="16"/>
  <c r="G9" i="16"/>
  <c r="E19" i="16" s="1"/>
  <c r="K9" i="16"/>
  <c r="E29" i="16" s="1"/>
  <c r="W9" i="16"/>
  <c r="E44" i="16" s="1"/>
  <c r="AE8" i="16"/>
  <c r="G8" i="16"/>
  <c r="E18" i="16" s="1"/>
  <c r="K8" i="16"/>
  <c r="E28" i="16" s="1"/>
  <c r="W8" i="16"/>
  <c r="E43" i="16" s="1"/>
  <c r="AI8" i="16"/>
  <c r="E58" i="16" s="1"/>
  <c r="S8" i="16"/>
  <c r="E38" i="16" s="1"/>
  <c r="AA8" i="16"/>
  <c r="E53" i="16" s="1"/>
  <c r="K7" i="16"/>
  <c r="E27" i="16" s="1"/>
  <c r="S7" i="16"/>
  <c r="E37" i="16" s="1"/>
  <c r="AI7" i="16"/>
  <c r="E57" i="16" s="1"/>
  <c r="W7" i="16"/>
  <c r="E42" i="16" s="1"/>
  <c r="AA7" i="16"/>
  <c r="E52" i="16" s="1"/>
  <c r="AE7" i="16"/>
  <c r="G7" i="16"/>
  <c r="E17" i="16" s="1"/>
  <c r="AI6" i="16"/>
  <c r="E56" i="16" s="1"/>
  <c r="S6" i="16"/>
  <c r="E36" i="16" s="1"/>
  <c r="W6" i="16"/>
  <c r="E41" i="16" s="1"/>
  <c r="AA6" i="16"/>
  <c r="E51" i="16" s="1"/>
  <c r="K6" i="16"/>
  <c r="E26" i="16" s="1"/>
  <c r="AE6" i="16"/>
  <c r="G6" i="16"/>
  <c r="E16" i="16" s="1"/>
  <c r="AU52" i="16"/>
  <c r="AU51" i="16"/>
  <c r="AU50" i="16"/>
  <c r="AU49" i="16"/>
  <c r="AU48" i="16"/>
  <c r="AU47" i="16"/>
  <c r="D34" i="16" s="1"/>
  <c r="AU46" i="16"/>
  <c r="AU45" i="16"/>
  <c r="AU44" i="16"/>
  <c r="AU43" i="16"/>
  <c r="AU42" i="16"/>
  <c r="AU41" i="16"/>
  <c r="AU40" i="16"/>
  <c r="AU39" i="16"/>
  <c r="AU38" i="16"/>
  <c r="AU37" i="16"/>
  <c r="D33" i="16" s="1"/>
  <c r="AU36" i="16"/>
  <c r="AU35" i="16"/>
  <c r="AU34" i="16"/>
  <c r="AU33" i="16"/>
  <c r="AU32" i="16"/>
  <c r="AU31" i="16"/>
  <c r="AU30" i="16"/>
  <c r="AU29" i="16"/>
  <c r="AU28" i="16"/>
  <c r="AU27" i="16"/>
  <c r="D32" i="16" s="1"/>
  <c r="AU26" i="16"/>
  <c r="AU25" i="16"/>
  <c r="AU24" i="16"/>
  <c r="AU23" i="16"/>
  <c r="AU22" i="16"/>
  <c r="AU21" i="16"/>
  <c r="AU20" i="16"/>
  <c r="AU19" i="16"/>
  <c r="AU18" i="16"/>
  <c r="AU17" i="16"/>
  <c r="D31" i="16" s="1"/>
  <c r="AU16" i="16"/>
  <c r="AU15" i="16"/>
  <c r="AU14" i="16"/>
  <c r="AU13" i="16"/>
  <c r="AU12" i="16"/>
  <c r="AU11" i="16"/>
  <c r="AU10" i="16"/>
  <c r="AU9" i="16"/>
  <c r="AU8" i="16"/>
  <c r="AU7" i="16"/>
  <c r="D30" i="16" s="1"/>
  <c r="AU6" i="16"/>
  <c r="AU5" i="16"/>
  <c r="AU4" i="16"/>
  <c r="AU3" i="16"/>
  <c r="V58" i="21"/>
  <c r="V57" i="21"/>
  <c r="V56" i="21"/>
  <c r="V55" i="21"/>
  <c r="V54" i="21"/>
  <c r="V53" i="21"/>
  <c r="V52" i="21"/>
  <c r="V51" i="21"/>
  <c r="V50" i="21"/>
  <c r="V49" i="21"/>
  <c r="V48" i="21"/>
  <c r="V47" i="21"/>
  <c r="V46" i="21"/>
  <c r="V45" i="21"/>
  <c r="V44" i="21"/>
  <c r="V43" i="21"/>
  <c r="V42" i="21"/>
  <c r="V41" i="21"/>
  <c r="V40" i="21"/>
  <c r="V39" i="21"/>
  <c r="V38" i="21"/>
  <c r="V37" i="21"/>
  <c r="V36" i="21"/>
  <c r="V35" i="21"/>
  <c r="V34" i="21"/>
  <c r="V33" i="21"/>
  <c r="V32" i="21"/>
  <c r="V31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V9" i="21"/>
  <c r="V8" i="21"/>
  <c r="V7" i="21"/>
  <c r="V6" i="21"/>
  <c r="V5" i="21"/>
  <c r="V4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R58" i="21"/>
  <c r="R57" i="21"/>
  <c r="R56" i="21"/>
  <c r="R55" i="21"/>
  <c r="R54" i="21"/>
  <c r="R53" i="21"/>
  <c r="R52" i="21"/>
  <c r="R51" i="21"/>
  <c r="R50" i="21"/>
  <c r="R49" i="21"/>
  <c r="R48" i="21"/>
  <c r="R47" i="21"/>
  <c r="R46" i="21"/>
  <c r="R45" i="21"/>
  <c r="R44" i="21"/>
  <c r="R43" i="2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P58" i="21"/>
  <c r="P57" i="21"/>
  <c r="P56" i="21"/>
  <c r="P55" i="21"/>
  <c r="P54" i="21"/>
  <c r="P53" i="21"/>
  <c r="P52" i="21"/>
  <c r="P51" i="21"/>
  <c r="P50" i="21"/>
  <c r="P49" i="21"/>
  <c r="P48" i="21"/>
  <c r="P47" i="21"/>
  <c r="P46" i="21"/>
  <c r="P45" i="21"/>
  <c r="P44" i="21"/>
  <c r="P43" i="21"/>
  <c r="P42" i="21"/>
  <c r="P41" i="21"/>
  <c r="P40" i="21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P9" i="21"/>
  <c r="P8" i="21"/>
  <c r="P7" i="21"/>
  <c r="P6" i="21"/>
  <c r="P5" i="21"/>
  <c r="P4" i="21"/>
  <c r="N58" i="21"/>
  <c r="N57" i="21"/>
  <c r="N56" i="21"/>
  <c r="N55" i="21"/>
  <c r="N54" i="21"/>
  <c r="N53" i="21"/>
  <c r="N52" i="21"/>
  <c r="N51" i="21"/>
  <c r="N50" i="21"/>
  <c r="N49" i="21"/>
  <c r="N48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N9" i="21"/>
  <c r="N8" i="21"/>
  <c r="N7" i="21"/>
  <c r="N6" i="21"/>
  <c r="N5" i="21"/>
  <c r="N4" i="21"/>
  <c r="L58" i="21"/>
  <c r="L57" i="21"/>
  <c r="L56" i="21"/>
  <c r="L55" i="21"/>
  <c r="L54" i="21"/>
  <c r="L53" i="21"/>
  <c r="L52" i="21"/>
  <c r="L51" i="21"/>
  <c r="L50" i="21"/>
  <c r="L49" i="21"/>
  <c r="L48" i="21"/>
  <c r="L47" i="21"/>
  <c r="L46" i="21"/>
  <c r="L45" i="21"/>
  <c r="L44" i="21"/>
  <c r="L43" i="21"/>
  <c r="L42" i="21"/>
  <c r="L41" i="21"/>
  <c r="L40" i="21"/>
  <c r="L39" i="21"/>
  <c r="L38" i="21"/>
  <c r="L37" i="21"/>
  <c r="L36" i="21"/>
  <c r="L35" i="21"/>
  <c r="L34" i="21"/>
  <c r="L33" i="21"/>
  <c r="L32" i="21"/>
  <c r="L31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L9" i="21"/>
  <c r="L8" i="21"/>
  <c r="L7" i="21"/>
  <c r="L6" i="21"/>
  <c r="L5" i="21"/>
  <c r="L4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4" i="21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G20" i="17"/>
  <c r="G61" i="17" s="1"/>
  <c r="H20" i="17"/>
  <c r="H61" i="17" s="1"/>
  <c r="I20" i="17"/>
  <c r="I61" i="17" s="1"/>
  <c r="J20" i="17"/>
  <c r="J61" i="17" s="1"/>
  <c r="K20" i="17"/>
  <c r="K61" i="17" s="1"/>
  <c r="L20" i="17"/>
  <c r="L61" i="17" s="1"/>
  <c r="M20" i="17"/>
  <c r="M61" i="17" s="1"/>
  <c r="N20" i="17"/>
  <c r="N61" i="17" s="1"/>
  <c r="O20" i="17"/>
  <c r="O61" i="17" s="1"/>
  <c r="P20" i="17"/>
  <c r="P61" i="17" s="1"/>
  <c r="Q20" i="17"/>
  <c r="Q61" i="17" s="1"/>
  <c r="R20" i="17"/>
  <c r="R61" i="17" s="1"/>
  <c r="S20" i="17"/>
  <c r="S61" i="17" s="1"/>
  <c r="T20" i="17"/>
  <c r="T61" i="17" s="1"/>
  <c r="U20" i="17"/>
  <c r="U61" i="17" s="1"/>
  <c r="V20" i="17"/>
  <c r="V61" i="17" s="1"/>
  <c r="W20" i="17"/>
  <c r="W61" i="17" s="1"/>
  <c r="X20" i="17"/>
  <c r="X61" i="17" s="1"/>
  <c r="Y20" i="17"/>
  <c r="Y61" i="17" s="1"/>
  <c r="Z20" i="17"/>
  <c r="Z61" i="17" s="1"/>
  <c r="AA20" i="17"/>
  <c r="AA61" i="17" s="1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G30" i="17"/>
  <c r="G62" i="17" s="1"/>
  <c r="H30" i="17"/>
  <c r="H62" i="17" s="1"/>
  <c r="I30" i="17"/>
  <c r="I62" i="17" s="1"/>
  <c r="J30" i="17"/>
  <c r="J62" i="17" s="1"/>
  <c r="K30" i="17"/>
  <c r="K62" i="17" s="1"/>
  <c r="L30" i="17"/>
  <c r="L62" i="17" s="1"/>
  <c r="M30" i="17"/>
  <c r="M62" i="17" s="1"/>
  <c r="N30" i="17"/>
  <c r="N62" i="17" s="1"/>
  <c r="O30" i="17"/>
  <c r="O62" i="17" s="1"/>
  <c r="P30" i="17"/>
  <c r="P62" i="17" s="1"/>
  <c r="Q30" i="17"/>
  <c r="Q62" i="17" s="1"/>
  <c r="R30" i="17"/>
  <c r="R62" i="17" s="1"/>
  <c r="S30" i="17"/>
  <c r="S62" i="17" s="1"/>
  <c r="T30" i="17"/>
  <c r="T62" i="17" s="1"/>
  <c r="U30" i="17"/>
  <c r="U62" i="17" s="1"/>
  <c r="V30" i="17"/>
  <c r="V62" i="17" s="1"/>
  <c r="W30" i="17"/>
  <c r="W62" i="17" s="1"/>
  <c r="X30" i="17"/>
  <c r="X62" i="17" s="1"/>
  <c r="Y30" i="17"/>
  <c r="Y62" i="17" s="1"/>
  <c r="Z30" i="17"/>
  <c r="Z62" i="17" s="1"/>
  <c r="AA30" i="17"/>
  <c r="AA62" i="17" s="1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G40" i="17"/>
  <c r="G63" i="17" s="1"/>
  <c r="H40" i="17"/>
  <c r="H63" i="17" s="1"/>
  <c r="I40" i="17"/>
  <c r="I63" i="17" s="1"/>
  <c r="J40" i="17"/>
  <c r="J63" i="17" s="1"/>
  <c r="K40" i="17"/>
  <c r="K63" i="17" s="1"/>
  <c r="L40" i="17"/>
  <c r="L63" i="17" s="1"/>
  <c r="M40" i="17"/>
  <c r="M63" i="17" s="1"/>
  <c r="N40" i="17"/>
  <c r="N63" i="17" s="1"/>
  <c r="O40" i="17"/>
  <c r="O63" i="17" s="1"/>
  <c r="P40" i="17"/>
  <c r="P63" i="17" s="1"/>
  <c r="Q40" i="17"/>
  <c r="Q63" i="17" s="1"/>
  <c r="R40" i="17"/>
  <c r="R63" i="17" s="1"/>
  <c r="S40" i="17"/>
  <c r="S63" i="17" s="1"/>
  <c r="T40" i="17"/>
  <c r="T63" i="17" s="1"/>
  <c r="U40" i="17"/>
  <c r="U63" i="17" s="1"/>
  <c r="V40" i="17"/>
  <c r="V63" i="17" s="1"/>
  <c r="W40" i="17"/>
  <c r="W63" i="17" s="1"/>
  <c r="X40" i="17"/>
  <c r="X63" i="17" s="1"/>
  <c r="Y40" i="17"/>
  <c r="Y63" i="17" s="1"/>
  <c r="Z40" i="17"/>
  <c r="Z63" i="17" s="1"/>
  <c r="AA40" i="17"/>
  <c r="AA63" i="17" s="1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G50" i="17"/>
  <c r="G64" i="17" s="1"/>
  <c r="H50" i="17"/>
  <c r="H64" i="17" s="1"/>
  <c r="I50" i="17"/>
  <c r="I64" i="17" s="1"/>
  <c r="J50" i="17"/>
  <c r="J64" i="17" s="1"/>
  <c r="K50" i="17"/>
  <c r="K64" i="17" s="1"/>
  <c r="L50" i="17"/>
  <c r="L64" i="17" s="1"/>
  <c r="M50" i="17"/>
  <c r="M64" i="17" s="1"/>
  <c r="N50" i="17"/>
  <c r="N64" i="17" s="1"/>
  <c r="O50" i="17"/>
  <c r="O64" i="17" s="1"/>
  <c r="P50" i="17"/>
  <c r="P64" i="17" s="1"/>
  <c r="Q50" i="17"/>
  <c r="Q64" i="17" s="1"/>
  <c r="R50" i="17"/>
  <c r="R64" i="17" s="1"/>
  <c r="S50" i="17"/>
  <c r="S64" i="17" s="1"/>
  <c r="T50" i="17"/>
  <c r="T64" i="17" s="1"/>
  <c r="U50" i="17"/>
  <c r="U64" i="17" s="1"/>
  <c r="V50" i="17"/>
  <c r="V64" i="17" s="1"/>
  <c r="W50" i="17"/>
  <c r="W64" i="17" s="1"/>
  <c r="X50" i="17"/>
  <c r="X64" i="17" s="1"/>
  <c r="Y50" i="17"/>
  <c r="Y64" i="17" s="1"/>
  <c r="Z50" i="17"/>
  <c r="Z64" i="17" s="1"/>
  <c r="AA50" i="17"/>
  <c r="AA64" i="17" s="1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G54" i="17"/>
  <c r="H54" i="17"/>
  <c r="I54" i="17"/>
  <c r="J54" i="17"/>
  <c r="K54" i="17"/>
  <c r="L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H55" i="17"/>
  <c r="I55" i="17"/>
  <c r="J55" i="17"/>
  <c r="K55" i="17"/>
  <c r="L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D52" i="17"/>
  <c r="F55" i="17" s="1"/>
  <c r="F53" i="17"/>
  <c r="F52" i="17"/>
  <c r="F51" i="17"/>
  <c r="F49" i="17"/>
  <c r="E48" i="17"/>
  <c r="F47" i="17"/>
  <c r="F46" i="17"/>
  <c r="F45" i="17"/>
  <c r="F44" i="17"/>
  <c r="F43" i="17"/>
  <c r="F41" i="17"/>
  <c r="F39" i="17"/>
  <c r="F38" i="17"/>
  <c r="F37" i="17"/>
  <c r="F35" i="17"/>
  <c r="F34" i="17"/>
  <c r="F33" i="17"/>
  <c r="F32" i="17"/>
  <c r="F31" i="17"/>
  <c r="F29" i="17"/>
  <c r="F28" i="17"/>
  <c r="F27" i="17"/>
  <c r="F26" i="17"/>
  <c r="F25" i="17"/>
  <c r="F23" i="17"/>
  <c r="F22" i="17"/>
  <c r="F21" i="17"/>
  <c r="F19" i="17"/>
  <c r="F17" i="17"/>
  <c r="F16" i="17"/>
  <c r="F20" i="17" l="1"/>
  <c r="F61" i="17" s="1"/>
  <c r="F50" i="17"/>
  <c r="F64" i="17" s="1"/>
  <c r="F40" i="17"/>
  <c r="F63" i="17" s="1"/>
  <c r="Y71" i="17"/>
  <c r="Y77" i="17" s="1"/>
  <c r="S71" i="17"/>
  <c r="T77" i="17" s="1"/>
  <c r="M71" i="17"/>
  <c r="N77" i="17" s="1"/>
  <c r="G71" i="17"/>
  <c r="H77" i="17" s="1"/>
  <c r="Y70" i="17"/>
  <c r="Y76" i="17" s="1"/>
  <c r="S70" i="17"/>
  <c r="T76" i="17" s="1"/>
  <c r="M70" i="17"/>
  <c r="N76" i="17" s="1"/>
  <c r="G70" i="17"/>
  <c r="G76" i="17" s="1"/>
  <c r="Y69" i="17"/>
  <c r="Z75" i="17" s="1"/>
  <c r="S69" i="17"/>
  <c r="T75" i="17" s="1"/>
  <c r="M69" i="17"/>
  <c r="G69" i="17"/>
  <c r="H75" i="17" s="1"/>
  <c r="Y68" i="17"/>
  <c r="Z74" i="17" s="1"/>
  <c r="S68" i="17"/>
  <c r="T74" i="17" s="1"/>
  <c r="M68" i="17"/>
  <c r="N74" i="17" s="1"/>
  <c r="G68" i="17"/>
  <c r="H74" i="17" s="1"/>
  <c r="V71" i="17"/>
  <c r="X77" i="17" s="1"/>
  <c r="P71" i="17"/>
  <c r="P77" i="17" s="1"/>
  <c r="J71" i="17"/>
  <c r="L77" i="17" s="1"/>
  <c r="V70" i="17"/>
  <c r="V76" i="17" s="1"/>
  <c r="P70" i="17"/>
  <c r="P76" i="17" s="1"/>
  <c r="J70" i="17"/>
  <c r="J76" i="17" s="1"/>
  <c r="V69" i="17"/>
  <c r="P69" i="17"/>
  <c r="P75" i="17" s="1"/>
  <c r="J69" i="17"/>
  <c r="J75" i="17" s="1"/>
  <c r="V68" i="17"/>
  <c r="V74" i="17" s="1"/>
  <c r="P68" i="17"/>
  <c r="P74" i="17" s="1"/>
  <c r="J68" i="17"/>
  <c r="J74" i="17" s="1"/>
  <c r="P31" i="16"/>
  <c r="J31" i="16"/>
  <c r="M31" i="16"/>
  <c r="J34" i="16"/>
  <c r="M34" i="16"/>
  <c r="P34" i="16"/>
  <c r="J30" i="16"/>
  <c r="M30" i="16"/>
  <c r="P30" i="16"/>
  <c r="M33" i="16"/>
  <c r="J33" i="16"/>
  <c r="P33" i="16"/>
  <c r="P32" i="16"/>
  <c r="M32" i="16"/>
  <c r="J32" i="16"/>
  <c r="G56" i="16"/>
  <c r="I56" i="16"/>
  <c r="E78" i="16" s="1"/>
  <c r="L56" i="16"/>
  <c r="F103" i="16" s="1"/>
  <c r="O56" i="16"/>
  <c r="G143" i="16" s="1"/>
  <c r="G36" i="16"/>
  <c r="I36" i="16"/>
  <c r="E88" i="16" s="1"/>
  <c r="H88" i="16" s="1"/>
  <c r="L36" i="16"/>
  <c r="F78" i="16" s="1"/>
  <c r="O36" i="16"/>
  <c r="G108" i="16" s="1"/>
  <c r="G57" i="16"/>
  <c r="I57" i="16"/>
  <c r="E79" i="16" s="1"/>
  <c r="L57" i="16"/>
  <c r="F104" i="16" s="1"/>
  <c r="O57" i="16"/>
  <c r="G144" i="16" s="1"/>
  <c r="G43" i="16"/>
  <c r="I43" i="16"/>
  <c r="E85" i="16" s="1"/>
  <c r="H85" i="16" s="1"/>
  <c r="L43" i="16"/>
  <c r="O43" i="16"/>
  <c r="G75" i="16" s="1"/>
  <c r="I19" i="16"/>
  <c r="E101" i="16" s="1"/>
  <c r="H101" i="16" s="1"/>
  <c r="L19" i="16"/>
  <c r="F71" i="16" s="1"/>
  <c r="H71" i="16" s="1"/>
  <c r="O19" i="16"/>
  <c r="G136" i="16" s="1"/>
  <c r="G19" i="16"/>
  <c r="G55" i="16"/>
  <c r="I55" i="16"/>
  <c r="E77" i="16" s="1"/>
  <c r="L55" i="16"/>
  <c r="F102" i="16" s="1"/>
  <c r="O55" i="16"/>
  <c r="G142" i="16" s="1"/>
  <c r="G28" i="16"/>
  <c r="O28" i="16"/>
  <c r="G125" i="16" s="1"/>
  <c r="I28" i="16"/>
  <c r="E130" i="16" s="1"/>
  <c r="H130" i="16" s="1"/>
  <c r="L28" i="16"/>
  <c r="F155" i="16" s="1"/>
  <c r="G17" i="16"/>
  <c r="L17" i="16"/>
  <c r="F69" i="16" s="1"/>
  <c r="H69" i="16" s="1"/>
  <c r="O17" i="16"/>
  <c r="G134" i="16" s="1"/>
  <c r="I17" i="16"/>
  <c r="E99" i="16" s="1"/>
  <c r="H99" i="16" s="1"/>
  <c r="G27" i="16"/>
  <c r="L27" i="16"/>
  <c r="F154" i="16" s="1"/>
  <c r="I27" i="16"/>
  <c r="E129" i="16" s="1"/>
  <c r="H129" i="16" s="1"/>
  <c r="O27" i="16"/>
  <c r="G124" i="16" s="1"/>
  <c r="G18" i="16"/>
  <c r="I18" i="16"/>
  <c r="E100" i="16" s="1"/>
  <c r="H100" i="16" s="1"/>
  <c r="L18" i="16"/>
  <c r="F70" i="16" s="1"/>
  <c r="H70" i="16" s="1"/>
  <c r="O18" i="16"/>
  <c r="G135" i="16" s="1"/>
  <c r="G39" i="16"/>
  <c r="I39" i="16"/>
  <c r="E91" i="16" s="1"/>
  <c r="H91" i="16" s="1"/>
  <c r="O39" i="16"/>
  <c r="G111" i="16" s="1"/>
  <c r="L39" i="16"/>
  <c r="F81" i="16" s="1"/>
  <c r="G50" i="16"/>
  <c r="I50" i="16"/>
  <c r="E117" i="16" s="1"/>
  <c r="H117" i="16" s="1"/>
  <c r="O50" i="16"/>
  <c r="G102" i="16" s="1"/>
  <c r="L50" i="16"/>
  <c r="F92" i="16" s="1"/>
  <c r="G26" i="16"/>
  <c r="O26" i="16"/>
  <c r="G123" i="16" s="1"/>
  <c r="I26" i="16"/>
  <c r="E128" i="16" s="1"/>
  <c r="H128" i="16" s="1"/>
  <c r="L26" i="16"/>
  <c r="F153" i="16" s="1"/>
  <c r="G53" i="16"/>
  <c r="L53" i="16"/>
  <c r="F95" i="16" s="1"/>
  <c r="O53" i="16"/>
  <c r="G105" i="16" s="1"/>
  <c r="I53" i="16"/>
  <c r="E120" i="16" s="1"/>
  <c r="H120" i="16" s="1"/>
  <c r="G59" i="16"/>
  <c r="L59" i="16"/>
  <c r="F106" i="16" s="1"/>
  <c r="O59" i="16"/>
  <c r="G146" i="16" s="1"/>
  <c r="I59" i="16"/>
  <c r="E81" i="16" s="1"/>
  <c r="G25" i="16"/>
  <c r="I25" i="16"/>
  <c r="E127" i="16" s="1"/>
  <c r="H127" i="16" s="1"/>
  <c r="L25" i="16"/>
  <c r="F152" i="16" s="1"/>
  <c r="O25" i="16"/>
  <c r="G122" i="16" s="1"/>
  <c r="G37" i="16"/>
  <c r="I37" i="16"/>
  <c r="E89" i="16" s="1"/>
  <c r="H89" i="16" s="1"/>
  <c r="L37" i="16"/>
  <c r="F79" i="16" s="1"/>
  <c r="O37" i="16"/>
  <c r="G109" i="16" s="1"/>
  <c r="G51" i="16"/>
  <c r="I51" i="16"/>
  <c r="E118" i="16" s="1"/>
  <c r="H118" i="16" s="1"/>
  <c r="O51" i="16"/>
  <c r="G103" i="16" s="1"/>
  <c r="L51" i="16"/>
  <c r="F93" i="16" s="1"/>
  <c r="G52" i="16"/>
  <c r="O52" i="16"/>
  <c r="G104" i="16" s="1"/>
  <c r="I52" i="16"/>
  <c r="E119" i="16" s="1"/>
  <c r="H119" i="16" s="1"/>
  <c r="L52" i="16"/>
  <c r="F94" i="16" s="1"/>
  <c r="G38" i="16"/>
  <c r="O38" i="16"/>
  <c r="G110" i="16" s="1"/>
  <c r="I38" i="16"/>
  <c r="E90" i="16" s="1"/>
  <c r="H90" i="16" s="1"/>
  <c r="L38" i="16"/>
  <c r="F80" i="16" s="1"/>
  <c r="G44" i="16"/>
  <c r="I44" i="16"/>
  <c r="E86" i="16" s="1"/>
  <c r="H86" i="16" s="1"/>
  <c r="L44" i="16"/>
  <c r="O44" i="16"/>
  <c r="G76" i="16" s="1"/>
  <c r="G54" i="16"/>
  <c r="I54" i="16"/>
  <c r="E121" i="16" s="1"/>
  <c r="H121" i="16" s="1"/>
  <c r="L54" i="16"/>
  <c r="F96" i="16" s="1"/>
  <c r="O54" i="16"/>
  <c r="G106" i="16" s="1"/>
  <c r="G40" i="16"/>
  <c r="O40" i="16"/>
  <c r="G72" i="16" s="1"/>
  <c r="I40" i="16"/>
  <c r="E82" i="16" s="1"/>
  <c r="H82" i="16" s="1"/>
  <c r="L40" i="16"/>
  <c r="G16" i="16"/>
  <c r="O16" i="16"/>
  <c r="G133" i="16" s="1"/>
  <c r="I16" i="16"/>
  <c r="E98" i="16" s="1"/>
  <c r="H98" i="16" s="1"/>
  <c r="L16" i="16"/>
  <c r="F68" i="16" s="1"/>
  <c r="H68" i="16" s="1"/>
  <c r="G45" i="16"/>
  <c r="I45" i="16"/>
  <c r="E112" i="16" s="1"/>
  <c r="L45" i="16"/>
  <c r="F72" i="16" s="1"/>
  <c r="O45" i="16"/>
  <c r="G92" i="16" s="1"/>
  <c r="G41" i="16"/>
  <c r="L41" i="16"/>
  <c r="O41" i="16"/>
  <c r="G73" i="16" s="1"/>
  <c r="I41" i="16"/>
  <c r="E83" i="16" s="1"/>
  <c r="H83" i="16" s="1"/>
  <c r="G42" i="16"/>
  <c r="I42" i="16"/>
  <c r="E84" i="16" s="1"/>
  <c r="H84" i="16" s="1"/>
  <c r="L42" i="16"/>
  <c r="O42" i="16"/>
  <c r="G74" i="16" s="1"/>
  <c r="G58" i="16"/>
  <c r="O58" i="16"/>
  <c r="G145" i="16" s="1"/>
  <c r="I58" i="16"/>
  <c r="E80" i="16" s="1"/>
  <c r="L58" i="16"/>
  <c r="F105" i="16" s="1"/>
  <c r="H105" i="16" s="1"/>
  <c r="G29" i="16"/>
  <c r="L29" i="16"/>
  <c r="F156" i="16" s="1"/>
  <c r="O29" i="16"/>
  <c r="G126" i="16" s="1"/>
  <c r="I29" i="16"/>
  <c r="E131" i="16" s="1"/>
  <c r="H131" i="16" s="1"/>
  <c r="G35" i="16"/>
  <c r="L35" i="16"/>
  <c r="F77" i="16" s="1"/>
  <c r="O35" i="16"/>
  <c r="G107" i="16" s="1"/>
  <c r="I35" i="16"/>
  <c r="E87" i="16" s="1"/>
  <c r="H87" i="16" s="1"/>
  <c r="G15" i="16"/>
  <c r="O15" i="16"/>
  <c r="G132" i="16" s="1"/>
  <c r="L15" i="16"/>
  <c r="F67" i="16" s="1"/>
  <c r="H67" i="16" s="1"/>
  <c r="I15" i="16"/>
  <c r="E97" i="16" s="1"/>
  <c r="H97" i="16" s="1"/>
  <c r="AF8" i="16"/>
  <c r="X6" i="16"/>
  <c r="AB7" i="16"/>
  <c r="AB8" i="16"/>
  <c r="H8" i="16"/>
  <c r="AF9" i="16"/>
  <c r="O5" i="16"/>
  <c r="E30" i="16" s="1"/>
  <c r="X7" i="16"/>
  <c r="T6" i="16"/>
  <c r="H6" i="16"/>
  <c r="AJ6" i="16"/>
  <c r="AJ7" i="16"/>
  <c r="AJ8" i="16"/>
  <c r="X9" i="16"/>
  <c r="AJ9" i="16"/>
  <c r="AB5" i="16"/>
  <c r="T9" i="16"/>
  <c r="AF6" i="16"/>
  <c r="O6" i="16"/>
  <c r="E31" i="16" s="1"/>
  <c r="T7" i="16"/>
  <c r="X8" i="16"/>
  <c r="O9" i="16"/>
  <c r="E34" i="16" s="1"/>
  <c r="AB9" i="16"/>
  <c r="L5" i="16"/>
  <c r="T8" i="16"/>
  <c r="L6" i="16"/>
  <c r="H7" i="16"/>
  <c r="O7" i="16"/>
  <c r="E32" i="16" s="1"/>
  <c r="O8" i="16"/>
  <c r="E33" i="16" s="1"/>
  <c r="L9" i="16"/>
  <c r="T5" i="16"/>
  <c r="X5" i="16"/>
  <c r="AF5" i="16"/>
  <c r="AB6" i="16"/>
  <c r="AF7" i="16"/>
  <c r="L7" i="16"/>
  <c r="L8" i="16"/>
  <c r="H9" i="16"/>
  <c r="AJ5" i="16"/>
  <c r="H5" i="16"/>
  <c r="E45" i="17"/>
  <c r="E29" i="17"/>
  <c r="E40" i="17"/>
  <c r="E63" i="17" s="1"/>
  <c r="E23" i="17"/>
  <c r="E51" i="17"/>
  <c r="E34" i="17"/>
  <c r="E26" i="17"/>
  <c r="E46" i="17"/>
  <c r="E43" i="17"/>
  <c r="E35" i="17"/>
  <c r="E32" i="17"/>
  <c r="E21" i="17"/>
  <c r="E37" i="17"/>
  <c r="E52" i="17"/>
  <c r="E49" i="17"/>
  <c r="E41" i="17"/>
  <c r="E38" i="17"/>
  <c r="E27" i="17"/>
  <c r="E19" i="17"/>
  <c r="E31" i="17"/>
  <c r="E55" i="17"/>
  <c r="E47" i="17"/>
  <c r="E44" i="17"/>
  <c r="E33" i="17"/>
  <c r="E22" i="17"/>
  <c r="E17" i="17"/>
  <c r="E53" i="17"/>
  <c r="E50" i="17"/>
  <c r="E64" i="17" s="1"/>
  <c r="E39" i="17"/>
  <c r="E28" i="17"/>
  <c r="E25" i="17"/>
  <c r="F18" i="17"/>
  <c r="D18" i="17"/>
  <c r="E18" i="17"/>
  <c r="F30" i="17"/>
  <c r="F62" i="17" s="1"/>
  <c r="E30" i="17"/>
  <c r="E62" i="17" s="1"/>
  <c r="D30" i="17"/>
  <c r="F36" i="17"/>
  <c r="E36" i="17"/>
  <c r="D36" i="17"/>
  <c r="F42" i="17"/>
  <c r="E42" i="17"/>
  <c r="D42" i="17"/>
  <c r="F54" i="17"/>
  <c r="D54" i="17"/>
  <c r="E54" i="17"/>
  <c r="F24" i="17"/>
  <c r="D24" i="17"/>
  <c r="E24" i="17"/>
  <c r="F48" i="17"/>
  <c r="D48" i="17"/>
  <c r="E16" i="17"/>
  <c r="E20" i="17"/>
  <c r="E61" i="17" s="1"/>
  <c r="D55" i="17"/>
  <c r="D53" i="17"/>
  <c r="D52" i="17"/>
  <c r="D51" i="17"/>
  <c r="D50" i="17"/>
  <c r="D49" i="17"/>
  <c r="D47" i="17"/>
  <c r="D46" i="17"/>
  <c r="D45" i="17"/>
  <c r="D44" i="17"/>
  <c r="D43" i="17"/>
  <c r="D41" i="17"/>
  <c r="D40" i="17"/>
  <c r="D39" i="17"/>
  <c r="D38" i="17"/>
  <c r="D37" i="17"/>
  <c r="D35" i="17"/>
  <c r="D34" i="17"/>
  <c r="D33" i="17"/>
  <c r="D32" i="17"/>
  <c r="D31" i="17"/>
  <c r="D29" i="17"/>
  <c r="D28" i="17"/>
  <c r="D27" i="17"/>
  <c r="D26" i="17"/>
  <c r="D25" i="17"/>
  <c r="D23" i="17"/>
  <c r="D22" i="17"/>
  <c r="D21" i="17"/>
  <c r="D20" i="17"/>
  <c r="D19" i="17"/>
  <c r="D17" i="17"/>
  <c r="D16" i="17"/>
  <c r="AQ9" i="16"/>
  <c r="E64" i="16" s="1"/>
  <c r="AQ6" i="16"/>
  <c r="E61" i="16" s="1"/>
  <c r="AQ5" i="16"/>
  <c r="E60" i="16" s="1"/>
  <c r="AQ8" i="16"/>
  <c r="E63" i="16" s="1"/>
  <c r="AQ7" i="16"/>
  <c r="E62" i="16" s="1"/>
  <c r="Z4" i="21"/>
  <c r="Z5" i="21"/>
  <c r="Z6" i="21"/>
  <c r="Z7" i="21"/>
  <c r="Z8" i="21"/>
  <c r="Z9" i="21"/>
  <c r="Z10" i="21"/>
  <c r="Z11" i="21"/>
  <c r="Z12" i="21"/>
  <c r="Z13" i="21"/>
  <c r="Z14" i="21"/>
  <c r="Z15" i="21"/>
  <c r="Z16" i="21"/>
  <c r="Z17" i="21"/>
  <c r="Z18" i="21"/>
  <c r="Z19" i="21"/>
  <c r="Z20" i="21"/>
  <c r="Z21" i="21"/>
  <c r="Z22" i="21"/>
  <c r="Z23" i="21"/>
  <c r="Z24" i="21"/>
  <c r="Z25" i="21"/>
  <c r="Z26" i="21"/>
  <c r="Z27" i="21"/>
  <c r="Z28" i="21"/>
  <c r="Z29" i="21"/>
  <c r="Z30" i="21"/>
  <c r="Z31" i="21"/>
  <c r="Z32" i="21"/>
  <c r="Z33" i="21"/>
  <c r="Z34" i="21"/>
  <c r="Z35" i="21"/>
  <c r="Z36" i="21"/>
  <c r="Z37" i="21"/>
  <c r="Z38" i="21"/>
  <c r="Z39" i="21"/>
  <c r="Z40" i="21"/>
  <c r="Z41" i="21"/>
  <c r="Z42" i="21"/>
  <c r="Z43" i="21"/>
  <c r="Z44" i="21"/>
  <c r="Z45" i="21"/>
  <c r="Z46" i="21"/>
  <c r="Z47" i="21"/>
  <c r="Z48" i="21"/>
  <c r="Z49" i="21"/>
  <c r="Z50" i="21"/>
  <c r="Z51" i="21"/>
  <c r="Z52" i="21"/>
  <c r="Z3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4" i="21"/>
  <c r="AN7" i="6"/>
  <c r="L74" i="17" l="1"/>
  <c r="L76" i="17"/>
  <c r="Q76" i="17"/>
  <c r="Q83" i="17" s="1"/>
  <c r="Q77" i="17"/>
  <c r="S77" i="17"/>
  <c r="S84" i="17" s="1"/>
  <c r="L75" i="17"/>
  <c r="L82" i="17" s="1"/>
  <c r="I76" i="17"/>
  <c r="I83" i="17" s="1"/>
  <c r="Q74" i="17"/>
  <c r="Q81" i="17" s="1"/>
  <c r="M74" i="17"/>
  <c r="M81" i="17" s="1"/>
  <c r="J77" i="17"/>
  <c r="J84" i="17" s="1"/>
  <c r="Q75" i="17"/>
  <c r="Q82" i="17" s="1"/>
  <c r="U74" i="17"/>
  <c r="U81" i="17" s="1"/>
  <c r="J81" i="17"/>
  <c r="L83" i="17"/>
  <c r="X74" i="17"/>
  <c r="X81" i="17" s="1"/>
  <c r="Y75" i="17"/>
  <c r="W75" i="17"/>
  <c r="W82" i="17" s="1"/>
  <c r="W77" i="17"/>
  <c r="W84" i="17" s="1"/>
  <c r="X75" i="17"/>
  <c r="M77" i="17"/>
  <c r="M84" i="17" s="1"/>
  <c r="S74" i="17"/>
  <c r="S81" i="17" s="1"/>
  <c r="O76" i="17"/>
  <c r="O83" i="17" s="1"/>
  <c r="AA74" i="17"/>
  <c r="AA81" i="17" s="1"/>
  <c r="G75" i="17"/>
  <c r="G82" i="17" s="1"/>
  <c r="H81" i="17"/>
  <c r="R75" i="17"/>
  <c r="R82" i="17" s="1"/>
  <c r="M76" i="17"/>
  <c r="M83" i="17" s="1"/>
  <c r="K74" i="17"/>
  <c r="K81" i="17" s="1"/>
  <c r="K76" i="17"/>
  <c r="K83" i="17" s="1"/>
  <c r="R76" i="17"/>
  <c r="R83" i="17" s="1"/>
  <c r="Y74" i="17"/>
  <c r="Y81" i="17" s="1"/>
  <c r="H76" i="17"/>
  <c r="U76" i="17"/>
  <c r="U83" i="17" s="1"/>
  <c r="I75" i="17"/>
  <c r="I82" i="17" s="1"/>
  <c r="S75" i="17"/>
  <c r="S82" i="17" s="1"/>
  <c r="Z77" i="17"/>
  <c r="Z84" i="17" s="1"/>
  <c r="AA76" i="17"/>
  <c r="AA75" i="17"/>
  <c r="AA82" i="17" s="1"/>
  <c r="L84" i="17"/>
  <c r="X76" i="17"/>
  <c r="X83" i="17" s="1"/>
  <c r="W74" i="17"/>
  <c r="W81" i="17" s="1"/>
  <c r="W76" i="17"/>
  <c r="W83" i="17" s="1"/>
  <c r="S76" i="17"/>
  <c r="S83" i="17" s="1"/>
  <c r="O75" i="17"/>
  <c r="O82" i="17" s="1"/>
  <c r="O77" i="17"/>
  <c r="O84" i="17" s="1"/>
  <c r="I74" i="17"/>
  <c r="I81" i="17" s="1"/>
  <c r="I77" i="17"/>
  <c r="I84" i="17" s="1"/>
  <c r="Q84" i="17"/>
  <c r="V75" i="17"/>
  <c r="V82" i="17" s="1"/>
  <c r="V77" i="17"/>
  <c r="V84" i="17" s="1"/>
  <c r="R77" i="17"/>
  <c r="R84" i="17" s="1"/>
  <c r="K75" i="17"/>
  <c r="K82" i="17" s="1"/>
  <c r="K77" i="17"/>
  <c r="K84" i="17" s="1"/>
  <c r="R74" i="17"/>
  <c r="R81" i="17" s="1"/>
  <c r="M75" i="17"/>
  <c r="M82" i="17" s="1"/>
  <c r="G74" i="17"/>
  <c r="G81" i="17" s="1"/>
  <c r="G77" i="17"/>
  <c r="G84" i="17" s="1"/>
  <c r="N75" i="17"/>
  <c r="N82" i="17" s="1"/>
  <c r="Z76" i="17"/>
  <c r="Z83" i="17" s="1"/>
  <c r="U75" i="17"/>
  <c r="U82" i="17" s="1"/>
  <c r="U77" i="17"/>
  <c r="U84" i="17" s="1"/>
  <c r="O74" i="17"/>
  <c r="O81" i="17" s="1"/>
  <c r="AA77" i="17"/>
  <c r="AA84" i="17" s="1"/>
  <c r="Z82" i="17"/>
  <c r="T83" i="17"/>
  <c r="Y84" i="17"/>
  <c r="Z81" i="17"/>
  <c r="X82" i="17"/>
  <c r="N81" i="17"/>
  <c r="Y82" i="17"/>
  <c r="H82" i="17"/>
  <c r="N84" i="17"/>
  <c r="J83" i="17"/>
  <c r="H83" i="17"/>
  <c r="X84" i="17"/>
  <c r="P82" i="17"/>
  <c r="P83" i="17"/>
  <c r="AA83" i="17"/>
  <c r="V83" i="17"/>
  <c r="T82" i="17"/>
  <c r="G83" i="17"/>
  <c r="Y83" i="17"/>
  <c r="P81" i="17"/>
  <c r="P84" i="17"/>
  <c r="H84" i="17"/>
  <c r="V81" i="17"/>
  <c r="L81" i="17"/>
  <c r="J82" i="17"/>
  <c r="N83" i="17"/>
  <c r="T81" i="17"/>
  <c r="T84" i="17"/>
  <c r="D63" i="17"/>
  <c r="D61" i="17"/>
  <c r="D64" i="17"/>
  <c r="D62" i="17"/>
  <c r="H104" i="16"/>
  <c r="H92" i="16"/>
  <c r="H106" i="16"/>
  <c r="F109" i="16"/>
  <c r="H109" i="16" s="1"/>
  <c r="H102" i="16"/>
  <c r="G62" i="16"/>
  <c r="O62" i="16"/>
  <c r="G114" i="16" s="1"/>
  <c r="I62" i="16"/>
  <c r="E144" i="16" s="1"/>
  <c r="H144" i="16" s="1"/>
  <c r="L62" i="16"/>
  <c r="G33" i="16"/>
  <c r="L33" i="16"/>
  <c r="F125" i="16" s="1"/>
  <c r="H125" i="16" s="1"/>
  <c r="I33" i="16"/>
  <c r="E140" i="16" s="1"/>
  <c r="H140" i="16" s="1"/>
  <c r="O33" i="16"/>
  <c r="G80" i="16" s="1"/>
  <c r="H80" i="16" s="1"/>
  <c r="H72" i="16"/>
  <c r="H103" i="16"/>
  <c r="G63" i="16"/>
  <c r="L63" i="16"/>
  <c r="F110" i="16" s="1"/>
  <c r="H110" i="16" s="1"/>
  <c r="I63" i="16"/>
  <c r="E145" i="16" s="1"/>
  <c r="H145" i="16" s="1"/>
  <c r="O63" i="16"/>
  <c r="G115" i="16" s="1"/>
  <c r="G32" i="16"/>
  <c r="I32" i="16"/>
  <c r="E139" i="16" s="1"/>
  <c r="H139" i="16" s="1"/>
  <c r="L32" i="16"/>
  <c r="F124" i="16" s="1"/>
  <c r="H124" i="16" s="1"/>
  <c r="O32" i="16"/>
  <c r="G79" i="16" s="1"/>
  <c r="H79" i="16" s="1"/>
  <c r="G34" i="16"/>
  <c r="O34" i="16"/>
  <c r="G81" i="16" s="1"/>
  <c r="H81" i="16" s="1"/>
  <c r="I34" i="16"/>
  <c r="E141" i="16" s="1"/>
  <c r="H141" i="16" s="1"/>
  <c r="L34" i="16"/>
  <c r="F126" i="16" s="1"/>
  <c r="H126" i="16" s="1"/>
  <c r="G61" i="16"/>
  <c r="I61" i="16"/>
  <c r="E143" i="16" s="1"/>
  <c r="H143" i="16" s="1"/>
  <c r="L61" i="16"/>
  <c r="F108" i="16" s="1"/>
  <c r="H108" i="16" s="1"/>
  <c r="O61" i="16"/>
  <c r="G113" i="16" s="1"/>
  <c r="G64" i="16"/>
  <c r="O64" i="16"/>
  <c r="G116" i="16" s="1"/>
  <c r="I64" i="16"/>
  <c r="E146" i="16" s="1"/>
  <c r="H146" i="16" s="1"/>
  <c r="L64" i="16"/>
  <c r="F111" i="16" s="1"/>
  <c r="H111" i="16" s="1"/>
  <c r="G31" i="16"/>
  <c r="I31" i="16"/>
  <c r="E138" i="16" s="1"/>
  <c r="H138" i="16" s="1"/>
  <c r="L31" i="16"/>
  <c r="F123" i="16" s="1"/>
  <c r="H123" i="16" s="1"/>
  <c r="O31" i="16"/>
  <c r="G78" i="16" s="1"/>
  <c r="H78" i="16" s="1"/>
  <c r="G30" i="16"/>
  <c r="I30" i="16"/>
  <c r="E137" i="16" s="1"/>
  <c r="H137" i="16" s="1"/>
  <c r="L30" i="16"/>
  <c r="F122" i="16" s="1"/>
  <c r="H122" i="16" s="1"/>
  <c r="O30" i="16"/>
  <c r="G77" i="16" s="1"/>
  <c r="H77" i="16" s="1"/>
  <c r="G60" i="16"/>
  <c r="I60" i="16"/>
  <c r="E142" i="16" s="1"/>
  <c r="H142" i="16" s="1"/>
  <c r="L60" i="16"/>
  <c r="F107" i="16" s="1"/>
  <c r="H107" i="16" s="1"/>
  <c r="O60" i="16"/>
  <c r="G112" i="16" s="1"/>
  <c r="H112" i="16" s="1"/>
  <c r="AR9" i="16"/>
  <c r="AM9" i="16"/>
  <c r="E24" i="16" s="1"/>
  <c r="P6" i="16"/>
  <c r="P8" i="16"/>
  <c r="P9" i="16"/>
  <c r="AM7" i="16"/>
  <c r="E22" i="16" s="1"/>
  <c r="AR7" i="16"/>
  <c r="P7" i="16"/>
  <c r="AM8" i="16"/>
  <c r="E23" i="16" s="1"/>
  <c r="AR8" i="16"/>
  <c r="AM5" i="16"/>
  <c r="E20" i="16" s="1"/>
  <c r="AR5" i="16"/>
  <c r="AM6" i="16"/>
  <c r="E21" i="16" s="1"/>
  <c r="AR6" i="16"/>
  <c r="P5" i="16"/>
  <c r="M31" i="21"/>
  <c r="O31" i="21"/>
  <c r="Q31" i="21"/>
  <c r="K31" i="21"/>
  <c r="S31" i="21"/>
  <c r="I31" i="21"/>
  <c r="U31" i="21"/>
  <c r="G31" i="21"/>
  <c r="O54" i="21"/>
  <c r="S54" i="21"/>
  <c r="Q54" i="21"/>
  <c r="K54" i="21"/>
  <c r="U54" i="21"/>
  <c r="G54" i="21"/>
  <c r="I54" i="21"/>
  <c r="M54" i="21"/>
  <c r="M4" i="21"/>
  <c r="I4" i="21"/>
  <c r="K4" i="21"/>
  <c r="S4" i="21"/>
  <c r="O4" i="21"/>
  <c r="G4" i="21"/>
  <c r="U4" i="21"/>
  <c r="Q4" i="21"/>
  <c r="Q41" i="21"/>
  <c r="K41" i="21"/>
  <c r="S41" i="21"/>
  <c r="G41" i="21"/>
  <c r="U41" i="21"/>
  <c r="I41" i="21"/>
  <c r="O41" i="21"/>
  <c r="M41" i="21"/>
  <c r="K52" i="21"/>
  <c r="S52" i="21"/>
  <c r="U52" i="21"/>
  <c r="I52" i="21"/>
  <c r="G52" i="21"/>
  <c r="M52" i="21"/>
  <c r="O52" i="21"/>
  <c r="Q52" i="21"/>
  <c r="I56" i="21"/>
  <c r="M56" i="21"/>
  <c r="Q56" i="21"/>
  <c r="K56" i="21"/>
  <c r="U56" i="21"/>
  <c r="G56" i="21"/>
  <c r="O56" i="21"/>
  <c r="S56" i="21"/>
  <c r="I50" i="21"/>
  <c r="M50" i="21"/>
  <c r="O50" i="21"/>
  <c r="Q50" i="21"/>
  <c r="G50" i="21"/>
  <c r="S50" i="21"/>
  <c r="U50" i="21"/>
  <c r="K50" i="21"/>
  <c r="I44" i="21"/>
  <c r="M44" i="21"/>
  <c r="O44" i="21"/>
  <c r="Q44" i="21"/>
  <c r="G44" i="21"/>
  <c r="U44" i="21"/>
  <c r="K44" i="21"/>
  <c r="S44" i="21"/>
  <c r="I38" i="21"/>
  <c r="M38" i="21"/>
  <c r="O38" i="21"/>
  <c r="Q38" i="21"/>
  <c r="G38" i="21"/>
  <c r="U38" i="21"/>
  <c r="K38" i="21"/>
  <c r="S38" i="21"/>
  <c r="I32" i="21"/>
  <c r="M32" i="21"/>
  <c r="O32" i="21"/>
  <c r="Q32" i="21"/>
  <c r="G32" i="21"/>
  <c r="U32" i="21"/>
  <c r="S32" i="21"/>
  <c r="K32" i="21"/>
  <c r="I26" i="21"/>
  <c r="M26" i="21"/>
  <c r="O26" i="21"/>
  <c r="Q26" i="21"/>
  <c r="G26" i="21"/>
  <c r="U26" i="21"/>
  <c r="S26" i="21"/>
  <c r="K26" i="21"/>
  <c r="I20" i="21"/>
  <c r="M20" i="21"/>
  <c r="O20" i="21"/>
  <c r="Q20" i="21"/>
  <c r="G20" i="21"/>
  <c r="U20" i="21"/>
  <c r="K20" i="21"/>
  <c r="S20" i="21"/>
  <c r="I14" i="21"/>
  <c r="M14" i="21"/>
  <c r="O14" i="21"/>
  <c r="Q14" i="21"/>
  <c r="G14" i="21"/>
  <c r="U14" i="21"/>
  <c r="K14" i="21"/>
  <c r="S14" i="21"/>
  <c r="I8" i="21"/>
  <c r="M8" i="21"/>
  <c r="O8" i="21"/>
  <c r="Q8" i="21"/>
  <c r="G8" i="21"/>
  <c r="U8" i="21"/>
  <c r="K8" i="21"/>
  <c r="S8" i="21"/>
  <c r="M37" i="21"/>
  <c r="O37" i="21"/>
  <c r="Q37" i="21"/>
  <c r="K37" i="21"/>
  <c r="S37" i="21"/>
  <c r="I37" i="21"/>
  <c r="U37" i="21"/>
  <c r="G37" i="21"/>
  <c r="M7" i="21"/>
  <c r="O7" i="21"/>
  <c r="Q7" i="21"/>
  <c r="K7" i="21"/>
  <c r="S7" i="21"/>
  <c r="I7" i="21"/>
  <c r="G7" i="21"/>
  <c r="U7" i="21"/>
  <c r="O36" i="21"/>
  <c r="Q36" i="21"/>
  <c r="K36" i="21"/>
  <c r="S36" i="21"/>
  <c r="G36" i="21"/>
  <c r="U36" i="21"/>
  <c r="M36" i="21"/>
  <c r="I36" i="21"/>
  <c r="O30" i="21"/>
  <c r="Q30" i="21"/>
  <c r="K30" i="21"/>
  <c r="S30" i="21"/>
  <c r="G30" i="21"/>
  <c r="U30" i="21"/>
  <c r="M30" i="21"/>
  <c r="I30" i="21"/>
  <c r="O24" i="21"/>
  <c r="Q24" i="21"/>
  <c r="K24" i="21"/>
  <c r="S24" i="21"/>
  <c r="G24" i="21"/>
  <c r="U24" i="21"/>
  <c r="M24" i="21"/>
  <c r="I24" i="21"/>
  <c r="O18" i="21"/>
  <c r="Q18" i="21"/>
  <c r="K18" i="21"/>
  <c r="S18" i="21"/>
  <c r="G18" i="21"/>
  <c r="U18" i="21"/>
  <c r="M18" i="21"/>
  <c r="I18" i="21"/>
  <c r="O12" i="21"/>
  <c r="Q12" i="21"/>
  <c r="K12" i="21"/>
  <c r="S12" i="21"/>
  <c r="G12" i="21"/>
  <c r="U12" i="21"/>
  <c r="M12" i="21"/>
  <c r="I12" i="21"/>
  <c r="O6" i="21"/>
  <c r="Q6" i="21"/>
  <c r="K6" i="21"/>
  <c r="S6" i="21"/>
  <c r="G6" i="21"/>
  <c r="U6" i="21"/>
  <c r="M6" i="21"/>
  <c r="I6" i="21"/>
  <c r="M43" i="21"/>
  <c r="O43" i="21"/>
  <c r="Q43" i="21"/>
  <c r="K43" i="21"/>
  <c r="S43" i="21"/>
  <c r="I43" i="21"/>
  <c r="G43" i="21"/>
  <c r="U43" i="21"/>
  <c r="M19" i="21"/>
  <c r="O19" i="21"/>
  <c r="Q19" i="21"/>
  <c r="K19" i="21"/>
  <c r="S19" i="21"/>
  <c r="I19" i="21"/>
  <c r="G19" i="21"/>
  <c r="U19" i="21"/>
  <c r="Q47" i="21"/>
  <c r="K47" i="21"/>
  <c r="S47" i="21"/>
  <c r="G47" i="21"/>
  <c r="U47" i="21"/>
  <c r="I47" i="21"/>
  <c r="O47" i="21"/>
  <c r="M47" i="21"/>
  <c r="Q29" i="21"/>
  <c r="K29" i="21"/>
  <c r="S29" i="21"/>
  <c r="G29" i="21"/>
  <c r="U29" i="21"/>
  <c r="I29" i="21"/>
  <c r="O29" i="21"/>
  <c r="M29" i="21"/>
  <c r="Q23" i="21"/>
  <c r="K23" i="21"/>
  <c r="S23" i="21"/>
  <c r="G23" i="21"/>
  <c r="U23" i="21"/>
  <c r="I23" i="21"/>
  <c r="O23" i="21"/>
  <c r="M23" i="21"/>
  <c r="Q17" i="21"/>
  <c r="K17" i="21"/>
  <c r="S17" i="21"/>
  <c r="G17" i="21"/>
  <c r="U17" i="21"/>
  <c r="I17" i="21"/>
  <c r="O17" i="21"/>
  <c r="M17" i="21"/>
  <c r="Q11" i="21"/>
  <c r="K11" i="21"/>
  <c r="S11" i="21"/>
  <c r="G11" i="21"/>
  <c r="U11" i="21"/>
  <c r="I11" i="21"/>
  <c r="O11" i="21"/>
  <c r="M11" i="21"/>
  <c r="Q5" i="21"/>
  <c r="K5" i="21"/>
  <c r="S5" i="21"/>
  <c r="G5" i="21"/>
  <c r="U5" i="21"/>
  <c r="I5" i="21"/>
  <c r="O5" i="21"/>
  <c r="M5" i="21"/>
  <c r="M49" i="21"/>
  <c r="O49" i="21"/>
  <c r="Q49" i="21"/>
  <c r="K49" i="21"/>
  <c r="S49" i="21"/>
  <c r="I49" i="21"/>
  <c r="U49" i="21"/>
  <c r="G49" i="21"/>
  <c r="M13" i="21"/>
  <c r="O13" i="21"/>
  <c r="Q13" i="21"/>
  <c r="K13" i="21"/>
  <c r="S13" i="21"/>
  <c r="I13" i="21"/>
  <c r="G13" i="21"/>
  <c r="U13" i="21"/>
  <c r="O48" i="21"/>
  <c r="Q48" i="21"/>
  <c r="K48" i="21"/>
  <c r="S48" i="21"/>
  <c r="G48" i="21"/>
  <c r="U48" i="21"/>
  <c r="M48" i="21"/>
  <c r="I48" i="21"/>
  <c r="K58" i="21"/>
  <c r="S58" i="21"/>
  <c r="U58" i="21"/>
  <c r="G58" i="21"/>
  <c r="I58" i="21"/>
  <c r="M58" i="21"/>
  <c r="O58" i="21"/>
  <c r="Q58" i="21"/>
  <c r="K34" i="21"/>
  <c r="S34" i="21"/>
  <c r="G34" i="21"/>
  <c r="U34" i="21"/>
  <c r="I34" i="21"/>
  <c r="M34" i="21"/>
  <c r="Q34" i="21"/>
  <c r="O34" i="21"/>
  <c r="K22" i="21"/>
  <c r="S22" i="21"/>
  <c r="G22" i="21"/>
  <c r="U22" i="21"/>
  <c r="I22" i="21"/>
  <c r="M22" i="21"/>
  <c r="Q22" i="21"/>
  <c r="O22" i="21"/>
  <c r="K16" i="21"/>
  <c r="S16" i="21"/>
  <c r="G16" i="21"/>
  <c r="U16" i="21"/>
  <c r="I16" i="21"/>
  <c r="M16" i="21"/>
  <c r="Q16" i="21"/>
  <c r="O16" i="21"/>
  <c r="K10" i="21"/>
  <c r="S10" i="21"/>
  <c r="G10" i="21"/>
  <c r="U10" i="21"/>
  <c r="I10" i="21"/>
  <c r="M10" i="21"/>
  <c r="Q10" i="21"/>
  <c r="O10" i="21"/>
  <c r="M55" i="21"/>
  <c r="O55" i="21"/>
  <c r="Q55" i="21"/>
  <c r="K55" i="21"/>
  <c r="U55" i="21"/>
  <c r="G55" i="21"/>
  <c r="I55" i="21"/>
  <c r="S55" i="21"/>
  <c r="M25" i="21"/>
  <c r="O25" i="21"/>
  <c r="Q25" i="21"/>
  <c r="K25" i="21"/>
  <c r="S25" i="21"/>
  <c r="I25" i="21"/>
  <c r="U25" i="21"/>
  <c r="G25" i="21"/>
  <c r="O42" i="21"/>
  <c r="Q42" i="21"/>
  <c r="K42" i="21"/>
  <c r="S42" i="21"/>
  <c r="G42" i="21"/>
  <c r="U42" i="21"/>
  <c r="M42" i="21"/>
  <c r="I42" i="21"/>
  <c r="Q53" i="21"/>
  <c r="S53" i="21"/>
  <c r="U53" i="21"/>
  <c r="K53" i="21"/>
  <c r="G53" i="21"/>
  <c r="I53" i="21"/>
  <c r="M53" i="21"/>
  <c r="O53" i="21"/>
  <c r="Q35" i="21"/>
  <c r="K35" i="21"/>
  <c r="S35" i="21"/>
  <c r="G35" i="21"/>
  <c r="U35" i="21"/>
  <c r="I35" i="21"/>
  <c r="O35" i="21"/>
  <c r="M35" i="21"/>
  <c r="K46" i="21"/>
  <c r="S46" i="21"/>
  <c r="G46" i="21"/>
  <c r="U46" i="21"/>
  <c r="I46" i="21"/>
  <c r="M46" i="21"/>
  <c r="Q46" i="21"/>
  <c r="O46" i="21"/>
  <c r="K40" i="21"/>
  <c r="S40" i="21"/>
  <c r="G40" i="21"/>
  <c r="U40" i="21"/>
  <c r="I40" i="21"/>
  <c r="M40" i="21"/>
  <c r="Q40" i="21"/>
  <c r="O40" i="21"/>
  <c r="K28" i="21"/>
  <c r="S28" i="21"/>
  <c r="G28" i="21"/>
  <c r="U28" i="21"/>
  <c r="I28" i="21"/>
  <c r="M28" i="21"/>
  <c r="Q28" i="21"/>
  <c r="O28" i="21"/>
  <c r="G57" i="21"/>
  <c r="U57" i="21"/>
  <c r="I57" i="21"/>
  <c r="K57" i="21"/>
  <c r="O57" i="21"/>
  <c r="Q57" i="21"/>
  <c r="M57" i="21"/>
  <c r="S57" i="21"/>
  <c r="G51" i="21"/>
  <c r="U51" i="21"/>
  <c r="I51" i="21"/>
  <c r="M51" i="21"/>
  <c r="O51" i="21"/>
  <c r="K51" i="21"/>
  <c r="Q51" i="21"/>
  <c r="S51" i="21"/>
  <c r="G45" i="21"/>
  <c r="U45" i="21"/>
  <c r="I45" i="21"/>
  <c r="M45" i="21"/>
  <c r="O45" i="21"/>
  <c r="K45" i="21"/>
  <c r="S45" i="21"/>
  <c r="Q45" i="21"/>
  <c r="G39" i="21"/>
  <c r="U39" i="21"/>
  <c r="I39" i="21"/>
  <c r="M39" i="21"/>
  <c r="O39" i="21"/>
  <c r="K39" i="21"/>
  <c r="S39" i="21"/>
  <c r="Q39" i="21"/>
  <c r="G33" i="21"/>
  <c r="U33" i="21"/>
  <c r="I33" i="21"/>
  <c r="M33" i="21"/>
  <c r="O33" i="21"/>
  <c r="K33" i="21"/>
  <c r="S33" i="21"/>
  <c r="Q33" i="21"/>
  <c r="G27" i="21"/>
  <c r="U27" i="21"/>
  <c r="I27" i="21"/>
  <c r="M27" i="21"/>
  <c r="O27" i="21"/>
  <c r="K27" i="21"/>
  <c r="S27" i="21"/>
  <c r="Q27" i="21"/>
  <c r="G21" i="21"/>
  <c r="U21" i="21"/>
  <c r="I21" i="21"/>
  <c r="M21" i="21"/>
  <c r="O21" i="21"/>
  <c r="K21" i="21"/>
  <c r="S21" i="21"/>
  <c r="Q21" i="21"/>
  <c r="G15" i="21"/>
  <c r="U15" i="21"/>
  <c r="I15" i="21"/>
  <c r="M15" i="21"/>
  <c r="O15" i="21"/>
  <c r="K15" i="21"/>
  <c r="S15" i="21"/>
  <c r="Q15" i="21"/>
  <c r="G9" i="21"/>
  <c r="U9" i="21"/>
  <c r="I9" i="21"/>
  <c r="M9" i="21"/>
  <c r="O9" i="21"/>
  <c r="K9" i="21"/>
  <c r="S9" i="21"/>
  <c r="Q9" i="21"/>
  <c r="D71" i="17" l="1"/>
  <c r="D69" i="17"/>
  <c r="D75" i="17" s="1"/>
  <c r="C75" i="17" s="1"/>
  <c r="D68" i="17"/>
  <c r="D70" i="17"/>
  <c r="G21" i="16"/>
  <c r="I21" i="16"/>
  <c r="E148" i="16" s="1"/>
  <c r="H148" i="16" s="1"/>
  <c r="O21" i="16"/>
  <c r="G153" i="16" s="1"/>
  <c r="H153" i="16" s="1"/>
  <c r="L21" i="16"/>
  <c r="F133" i="16" s="1"/>
  <c r="H133" i="16" s="1"/>
  <c r="G20" i="16"/>
  <c r="I20" i="16"/>
  <c r="E147" i="16" s="1"/>
  <c r="H147" i="16" s="1"/>
  <c r="L20" i="16"/>
  <c r="F132" i="16" s="1"/>
  <c r="H132" i="16" s="1"/>
  <c r="O20" i="16"/>
  <c r="G152" i="16" s="1"/>
  <c r="H152" i="16" s="1"/>
  <c r="G22" i="16"/>
  <c r="O22" i="16"/>
  <c r="G154" i="16" s="1"/>
  <c r="H154" i="16" s="1"/>
  <c r="I22" i="16"/>
  <c r="E149" i="16" s="1"/>
  <c r="H149" i="16" s="1"/>
  <c r="L22" i="16"/>
  <c r="F134" i="16" s="1"/>
  <c r="H134" i="16" s="1"/>
  <c r="G23" i="16"/>
  <c r="L23" i="16"/>
  <c r="F135" i="16" s="1"/>
  <c r="H135" i="16" s="1"/>
  <c r="O23" i="16"/>
  <c r="G155" i="16" s="1"/>
  <c r="H155" i="16" s="1"/>
  <c r="I23" i="16"/>
  <c r="E150" i="16" s="1"/>
  <c r="H150" i="16" s="1"/>
  <c r="G24" i="16"/>
  <c r="I24" i="16"/>
  <c r="E151" i="16" s="1"/>
  <c r="H151" i="16" s="1"/>
  <c r="L24" i="16"/>
  <c r="F136" i="16" s="1"/>
  <c r="H136" i="16" s="1"/>
  <c r="O24" i="16"/>
  <c r="G156" i="16" s="1"/>
  <c r="H156" i="16" s="1"/>
  <c r="AN5" i="16"/>
  <c r="AN6" i="16"/>
  <c r="AN9" i="16"/>
  <c r="AN7" i="16"/>
  <c r="AN8" i="16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11" i="12"/>
  <c r="F77" i="17" l="1"/>
  <c r="E77" i="17"/>
  <c r="D77" i="17"/>
  <c r="C77" i="17" s="1"/>
  <c r="C84" i="17" s="1"/>
  <c r="G92" i="17" s="1"/>
  <c r="G100" i="17" s="1"/>
  <c r="E76" i="17"/>
  <c r="E83" i="17" s="1"/>
  <c r="F76" i="17"/>
  <c r="F83" i="17" s="1"/>
  <c r="E74" i="17"/>
  <c r="E81" i="17" s="1"/>
  <c r="F74" i="17"/>
  <c r="D74" i="17"/>
  <c r="C74" i="17" s="1"/>
  <c r="C81" i="17" s="1"/>
  <c r="E75" i="17"/>
  <c r="E82" i="17" s="1"/>
  <c r="F75" i="17"/>
  <c r="F82" i="17" s="1"/>
  <c r="D76" i="17"/>
  <c r="C76" i="17" s="1"/>
  <c r="F81" i="17"/>
  <c r="F84" i="17"/>
  <c r="E84" i="17"/>
  <c r="AK5" i="16"/>
  <c r="AL5" i="16" s="1"/>
  <c r="AK6" i="16"/>
  <c r="AL6" i="16" s="1"/>
  <c r="AK7" i="16"/>
  <c r="AL7" i="16" s="1"/>
  <c r="AK8" i="16"/>
  <c r="AL8" i="16" s="1"/>
  <c r="AK9" i="16"/>
  <c r="AL9" i="16" s="1"/>
  <c r="D81" i="17" l="1"/>
  <c r="Y92" i="17"/>
  <c r="Y100" i="17" s="1"/>
  <c r="D84" i="17"/>
  <c r="J92" i="17"/>
  <c r="J100" i="17" s="1"/>
  <c r="M92" i="17"/>
  <c r="M100" i="17" s="1"/>
  <c r="S92" i="17"/>
  <c r="S100" i="17" s="1"/>
  <c r="P92" i="17"/>
  <c r="P100" i="17" s="1"/>
  <c r="V92" i="17"/>
  <c r="V100" i="17" s="1"/>
  <c r="D92" i="17"/>
  <c r="D100" i="17" s="1"/>
  <c r="P89" i="17"/>
  <c r="P97" i="17" s="1"/>
  <c r="M89" i="17"/>
  <c r="M97" i="17" s="1"/>
  <c r="G89" i="17"/>
  <c r="G97" i="17" s="1"/>
  <c r="V89" i="17"/>
  <c r="V97" i="17" s="1"/>
  <c r="J89" i="17"/>
  <c r="J97" i="17" s="1"/>
  <c r="Y89" i="17"/>
  <c r="Y97" i="17" s="1"/>
  <c r="D89" i="17"/>
  <c r="D97" i="17" s="1"/>
  <c r="S89" i="17"/>
  <c r="S97" i="17" s="1"/>
  <c r="C83" i="17"/>
  <c r="D83" i="17"/>
  <c r="C82" i="17"/>
  <c r="D82" i="17"/>
  <c r="AC5" i="16"/>
  <c r="AD5" i="16" s="1"/>
  <c r="AG5" i="16"/>
  <c r="AH5" i="16" s="1"/>
  <c r="AC6" i="16"/>
  <c r="AG6" i="16"/>
  <c r="AH6" i="16" s="1"/>
  <c r="AC7" i="16"/>
  <c r="AG7" i="16"/>
  <c r="AH7" i="16" s="1"/>
  <c r="AC8" i="16"/>
  <c r="AG8" i="16"/>
  <c r="AH8" i="16" s="1"/>
  <c r="AC9" i="16"/>
  <c r="AG9" i="16"/>
  <c r="AH9" i="16" s="1"/>
  <c r="U5" i="16"/>
  <c r="V5" i="16" s="1"/>
  <c r="U6" i="16"/>
  <c r="V6" i="16" s="1"/>
  <c r="U7" i="16"/>
  <c r="V7" i="16" s="1"/>
  <c r="U8" i="16"/>
  <c r="V8" i="16" s="1"/>
  <c r="U9" i="16"/>
  <c r="V9" i="16" s="1"/>
  <c r="Q5" i="16"/>
  <c r="R5" i="16" s="1"/>
  <c r="Q6" i="16"/>
  <c r="R6" i="16" s="1"/>
  <c r="Q7" i="16"/>
  <c r="R7" i="16" s="1"/>
  <c r="Q8" i="16"/>
  <c r="R8" i="16" s="1"/>
  <c r="Q9" i="16"/>
  <c r="R9" i="16" s="1"/>
  <c r="M90" i="17" l="1"/>
  <c r="M98" i="17" s="1"/>
  <c r="D90" i="17"/>
  <c r="D98" i="17" s="1"/>
  <c r="J90" i="17"/>
  <c r="J98" i="17" s="1"/>
  <c r="V90" i="17"/>
  <c r="V98" i="17" s="1"/>
  <c r="S90" i="17"/>
  <c r="S98" i="17" s="1"/>
  <c r="Y90" i="17"/>
  <c r="Y98" i="17" s="1"/>
  <c r="G90" i="17"/>
  <c r="G98" i="17" s="1"/>
  <c r="P90" i="17"/>
  <c r="P98" i="17" s="1"/>
  <c r="J91" i="17"/>
  <c r="J99" i="17" s="1"/>
  <c r="Y91" i="17"/>
  <c r="Y99" i="17" s="1"/>
  <c r="G91" i="17"/>
  <c r="G99" i="17" s="1"/>
  <c r="D91" i="17"/>
  <c r="D99" i="17" s="1"/>
  <c r="V91" i="17"/>
  <c r="V99" i="17" s="1"/>
  <c r="S91" i="17"/>
  <c r="S99" i="17" s="1"/>
  <c r="P91" i="17"/>
  <c r="P99" i="17" s="1"/>
  <c r="M91" i="17"/>
  <c r="M99" i="17" s="1"/>
  <c r="AD7" i="16"/>
  <c r="E47" i="16"/>
  <c r="AD8" i="16"/>
  <c r="E48" i="16"/>
  <c r="AD6" i="16"/>
  <c r="E46" i="16"/>
  <c r="AD9" i="16"/>
  <c r="E49" i="16"/>
  <c r="M5" i="16"/>
  <c r="N5" i="16" s="1"/>
  <c r="M6" i="16"/>
  <c r="N6" i="16" s="1"/>
  <c r="M7" i="16"/>
  <c r="N7" i="16" s="1"/>
  <c r="M8" i="16"/>
  <c r="N8" i="16" s="1"/>
  <c r="M9" i="16"/>
  <c r="N9" i="16" s="1"/>
  <c r="G46" i="16" l="1"/>
  <c r="O46" i="16"/>
  <c r="G93" i="16" s="1"/>
  <c r="H93" i="16" s="1"/>
  <c r="L46" i="16"/>
  <c r="F73" i="16" s="1"/>
  <c r="H73" i="16" s="1"/>
  <c r="I46" i="16"/>
  <c r="E113" i="16" s="1"/>
  <c r="H113" i="16" s="1"/>
  <c r="G49" i="16"/>
  <c r="I49" i="16"/>
  <c r="E116" i="16" s="1"/>
  <c r="H116" i="16" s="1"/>
  <c r="L49" i="16"/>
  <c r="F76" i="16" s="1"/>
  <c r="H76" i="16" s="1"/>
  <c r="O49" i="16"/>
  <c r="G96" i="16" s="1"/>
  <c r="H96" i="16" s="1"/>
  <c r="G47" i="16"/>
  <c r="L47" i="16"/>
  <c r="F74" i="16" s="1"/>
  <c r="H74" i="16" s="1"/>
  <c r="O47" i="16"/>
  <c r="G94" i="16" s="1"/>
  <c r="H94" i="16" s="1"/>
  <c r="I47" i="16"/>
  <c r="E114" i="16" s="1"/>
  <c r="H114" i="16" s="1"/>
  <c r="G48" i="16"/>
  <c r="I48" i="16"/>
  <c r="E115" i="16" s="1"/>
  <c r="H115" i="16" s="1"/>
  <c r="L48" i="16"/>
  <c r="F75" i="16" s="1"/>
  <c r="H75" i="16" s="1"/>
  <c r="O48" i="16"/>
  <c r="G95" i="16" s="1"/>
  <c r="H95" i="16" s="1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3" i="14"/>
  <c r="S26" i="13"/>
  <c r="S24" i="13"/>
  <c r="C8" i="17" l="1"/>
  <c r="C9" i="17"/>
  <c r="C10" i="17"/>
  <c r="C11" i="17"/>
  <c r="C12" i="17"/>
  <c r="C13" i="17"/>
  <c r="C14" i="17"/>
  <c r="C15" i="17"/>
  <c r="C6" i="17"/>
  <c r="C7" i="17"/>
  <c r="F15" i="17" l="1"/>
  <c r="L15" i="17"/>
  <c r="R15" i="17"/>
  <c r="X15" i="17"/>
  <c r="G15" i="17"/>
  <c r="M15" i="17"/>
  <c r="S15" i="17"/>
  <c r="Y15" i="17"/>
  <c r="H15" i="17"/>
  <c r="N15" i="17"/>
  <c r="T15" i="17"/>
  <c r="Z15" i="17"/>
  <c r="I15" i="17"/>
  <c r="O15" i="17"/>
  <c r="U15" i="17"/>
  <c r="AA15" i="17"/>
  <c r="D15" i="17"/>
  <c r="J15" i="17"/>
  <c r="P15" i="17"/>
  <c r="V15" i="17"/>
  <c r="E15" i="17"/>
  <c r="K15" i="17"/>
  <c r="Q15" i="17"/>
  <c r="W15" i="17"/>
  <c r="F9" i="17"/>
  <c r="L9" i="17"/>
  <c r="R9" i="17"/>
  <c r="X9" i="17"/>
  <c r="G9" i="17"/>
  <c r="M9" i="17"/>
  <c r="S9" i="17"/>
  <c r="Y9" i="17"/>
  <c r="H9" i="17"/>
  <c r="N9" i="17"/>
  <c r="T9" i="17"/>
  <c r="Z9" i="17"/>
  <c r="I9" i="17"/>
  <c r="O9" i="17"/>
  <c r="U9" i="17"/>
  <c r="AA9" i="17"/>
  <c r="D9" i="17"/>
  <c r="J9" i="17"/>
  <c r="P9" i="17"/>
  <c r="V9" i="17"/>
  <c r="E9" i="17"/>
  <c r="K9" i="17"/>
  <c r="Q9" i="17"/>
  <c r="W9" i="17"/>
  <c r="F13" i="17"/>
  <c r="L13" i="17"/>
  <c r="R13" i="17"/>
  <c r="X13" i="17"/>
  <c r="G13" i="17"/>
  <c r="M13" i="17"/>
  <c r="S13" i="17"/>
  <c r="Y13" i="17"/>
  <c r="H13" i="17"/>
  <c r="N13" i="17"/>
  <c r="T13" i="17"/>
  <c r="Z13" i="17"/>
  <c r="I13" i="17"/>
  <c r="O13" i="17"/>
  <c r="U13" i="17"/>
  <c r="AA13" i="17"/>
  <c r="D13" i="17"/>
  <c r="J13" i="17"/>
  <c r="P13" i="17"/>
  <c r="V13" i="17"/>
  <c r="E13" i="17"/>
  <c r="K13" i="17"/>
  <c r="Q13" i="17"/>
  <c r="W13" i="17"/>
  <c r="F14" i="17"/>
  <c r="L14" i="17"/>
  <c r="R14" i="17"/>
  <c r="X14" i="17"/>
  <c r="G14" i="17"/>
  <c r="M14" i="17"/>
  <c r="S14" i="17"/>
  <c r="Y14" i="17"/>
  <c r="H14" i="17"/>
  <c r="N14" i="17"/>
  <c r="T14" i="17"/>
  <c r="Z14" i="17"/>
  <c r="I14" i="17"/>
  <c r="O14" i="17"/>
  <c r="U14" i="17"/>
  <c r="AA14" i="17"/>
  <c r="D14" i="17"/>
  <c r="J14" i="17"/>
  <c r="P14" i="17"/>
  <c r="V14" i="17"/>
  <c r="E14" i="17"/>
  <c r="K14" i="17"/>
  <c r="Q14" i="17"/>
  <c r="W14" i="17"/>
  <c r="F12" i="17"/>
  <c r="L12" i="17"/>
  <c r="R12" i="17"/>
  <c r="X12" i="17"/>
  <c r="G12" i="17"/>
  <c r="M12" i="17"/>
  <c r="S12" i="17"/>
  <c r="Y12" i="17"/>
  <c r="H12" i="17"/>
  <c r="N12" i="17"/>
  <c r="T12" i="17"/>
  <c r="Z12" i="17"/>
  <c r="I12" i="17"/>
  <c r="O12" i="17"/>
  <c r="U12" i="17"/>
  <c r="AA12" i="17"/>
  <c r="D12" i="17"/>
  <c r="J12" i="17"/>
  <c r="P12" i="17"/>
  <c r="V12" i="17"/>
  <c r="E12" i="17"/>
  <c r="K12" i="17"/>
  <c r="Q12" i="17"/>
  <c r="W12" i="17"/>
  <c r="F7" i="17"/>
  <c r="L7" i="17"/>
  <c r="R7" i="17"/>
  <c r="X7" i="17"/>
  <c r="G7" i="17"/>
  <c r="M7" i="17"/>
  <c r="S7" i="17"/>
  <c r="Y7" i="17"/>
  <c r="H7" i="17"/>
  <c r="N7" i="17"/>
  <c r="T7" i="17"/>
  <c r="Z7" i="17"/>
  <c r="I7" i="17"/>
  <c r="O7" i="17"/>
  <c r="U7" i="17"/>
  <c r="AA7" i="17"/>
  <c r="D7" i="17"/>
  <c r="J7" i="17"/>
  <c r="P7" i="17"/>
  <c r="V7" i="17"/>
  <c r="E7" i="17"/>
  <c r="K7" i="17"/>
  <c r="Q7" i="17"/>
  <c r="W7" i="17"/>
  <c r="F11" i="17"/>
  <c r="L11" i="17"/>
  <c r="R11" i="17"/>
  <c r="X11" i="17"/>
  <c r="G11" i="17"/>
  <c r="M11" i="17"/>
  <c r="S11" i="17"/>
  <c r="Y11" i="17"/>
  <c r="H11" i="17"/>
  <c r="N11" i="17"/>
  <c r="T11" i="17"/>
  <c r="Z11" i="17"/>
  <c r="I11" i="17"/>
  <c r="O11" i="17"/>
  <c r="U11" i="17"/>
  <c r="AA11" i="17"/>
  <c r="D11" i="17"/>
  <c r="J11" i="17"/>
  <c r="P11" i="17"/>
  <c r="V11" i="17"/>
  <c r="E11" i="17"/>
  <c r="K11" i="17"/>
  <c r="Q11" i="17"/>
  <c r="W11" i="17"/>
  <c r="F8" i="17"/>
  <c r="L8" i="17"/>
  <c r="R8" i="17"/>
  <c r="X8" i="17"/>
  <c r="G8" i="17"/>
  <c r="M8" i="17"/>
  <c r="S8" i="17"/>
  <c r="Y8" i="17"/>
  <c r="H8" i="17"/>
  <c r="N8" i="17"/>
  <c r="T8" i="17"/>
  <c r="Z8" i="17"/>
  <c r="I8" i="17"/>
  <c r="O8" i="17"/>
  <c r="U8" i="17"/>
  <c r="AA8" i="17"/>
  <c r="D8" i="17"/>
  <c r="J8" i="17"/>
  <c r="P8" i="17"/>
  <c r="V8" i="17"/>
  <c r="E8" i="17"/>
  <c r="K8" i="17"/>
  <c r="Q8" i="17"/>
  <c r="W8" i="17"/>
  <c r="F6" i="17"/>
  <c r="L6" i="17"/>
  <c r="R6" i="17"/>
  <c r="X6" i="17"/>
  <c r="G6" i="17"/>
  <c r="S6" i="17"/>
  <c r="Y6" i="17"/>
  <c r="M6" i="17"/>
  <c r="H6" i="17"/>
  <c r="T6" i="17"/>
  <c r="N6" i="17"/>
  <c r="Z6" i="17"/>
  <c r="U6" i="17"/>
  <c r="I6" i="17"/>
  <c r="O6" i="17"/>
  <c r="AA6" i="17"/>
  <c r="D6" i="17"/>
  <c r="J6" i="17"/>
  <c r="P6" i="17"/>
  <c r="V6" i="17"/>
  <c r="E6" i="17"/>
  <c r="K6" i="17"/>
  <c r="Q6" i="17"/>
  <c r="W6" i="17"/>
  <c r="F10" i="17"/>
  <c r="F60" i="17" s="1"/>
  <c r="L10" i="17"/>
  <c r="L60" i="17" s="1"/>
  <c r="R10" i="17"/>
  <c r="R60" i="17" s="1"/>
  <c r="X10" i="17"/>
  <c r="X60" i="17" s="1"/>
  <c r="G10" i="17"/>
  <c r="G60" i="17" s="1"/>
  <c r="M10" i="17"/>
  <c r="M60" i="17" s="1"/>
  <c r="S10" i="17"/>
  <c r="S60" i="17" s="1"/>
  <c r="Y10" i="17"/>
  <c r="Y60" i="17" s="1"/>
  <c r="H10" i="17"/>
  <c r="H60" i="17" s="1"/>
  <c r="N10" i="17"/>
  <c r="N60" i="17" s="1"/>
  <c r="T10" i="17"/>
  <c r="T60" i="17" s="1"/>
  <c r="Z10" i="17"/>
  <c r="Z60" i="17" s="1"/>
  <c r="I10" i="17"/>
  <c r="I60" i="17" s="1"/>
  <c r="O10" i="17"/>
  <c r="O60" i="17" s="1"/>
  <c r="U10" i="17"/>
  <c r="U60" i="17" s="1"/>
  <c r="AA10" i="17"/>
  <c r="AA60" i="17" s="1"/>
  <c r="D10" i="17"/>
  <c r="J10" i="17"/>
  <c r="J60" i="17" s="1"/>
  <c r="P10" i="17"/>
  <c r="P60" i="17" s="1"/>
  <c r="V10" i="17"/>
  <c r="V60" i="17" s="1"/>
  <c r="E10" i="17"/>
  <c r="E60" i="17" s="1"/>
  <c r="K10" i="17"/>
  <c r="K60" i="17" s="1"/>
  <c r="Q10" i="17"/>
  <c r="Q60" i="17" s="1"/>
  <c r="W10" i="17"/>
  <c r="W60" i="17" s="1"/>
  <c r="E5" i="16"/>
  <c r="F5" i="16" s="1"/>
  <c r="AO5" i="16" s="1"/>
  <c r="E6" i="16"/>
  <c r="F6" i="16" s="1"/>
  <c r="AO6" i="16" s="1"/>
  <c r="E7" i="16"/>
  <c r="F7" i="16" s="1"/>
  <c r="AO7" i="16" s="1"/>
  <c r="E8" i="16"/>
  <c r="F8" i="16" s="1"/>
  <c r="AO8" i="16" s="1"/>
  <c r="E9" i="16"/>
  <c r="F9" i="16" s="1"/>
  <c r="AO9" i="16" s="1"/>
  <c r="I5" i="16"/>
  <c r="J5" i="16" s="1"/>
  <c r="AP5" i="16" s="1"/>
  <c r="I6" i="16"/>
  <c r="J6" i="16" s="1"/>
  <c r="AP6" i="16" s="1"/>
  <c r="I7" i="16"/>
  <c r="J7" i="16" s="1"/>
  <c r="AP7" i="16" s="1"/>
  <c r="I8" i="16"/>
  <c r="J8" i="16" s="1"/>
  <c r="AP8" i="16" s="1"/>
  <c r="I9" i="16"/>
  <c r="J9" i="16" s="1"/>
  <c r="AP9" i="16" s="1"/>
  <c r="E58" i="19"/>
  <c r="F58" i="19"/>
  <c r="G58" i="19"/>
  <c r="H58" i="19"/>
  <c r="I58" i="19"/>
  <c r="J58" i="19"/>
  <c r="K58" i="19"/>
  <c r="L58" i="19"/>
  <c r="M58" i="19"/>
  <c r="D58" i="19"/>
  <c r="E48" i="19"/>
  <c r="F48" i="19"/>
  <c r="G48" i="19"/>
  <c r="H48" i="19"/>
  <c r="I48" i="19"/>
  <c r="J48" i="19"/>
  <c r="K48" i="19"/>
  <c r="L48" i="19"/>
  <c r="M48" i="19"/>
  <c r="D48" i="19"/>
  <c r="E38" i="19"/>
  <c r="F38" i="19"/>
  <c r="G38" i="19"/>
  <c r="H38" i="19"/>
  <c r="I38" i="19"/>
  <c r="J38" i="19"/>
  <c r="K38" i="19"/>
  <c r="L38" i="19"/>
  <c r="M38" i="19"/>
  <c r="D38" i="19"/>
  <c r="E17" i="19"/>
  <c r="F17" i="19"/>
  <c r="G17" i="19"/>
  <c r="H17" i="19"/>
  <c r="I17" i="19"/>
  <c r="J17" i="19"/>
  <c r="K17" i="19"/>
  <c r="L17" i="19"/>
  <c r="M17" i="19"/>
  <c r="D17" i="19"/>
  <c r="E28" i="19"/>
  <c r="F28" i="19"/>
  <c r="G28" i="19"/>
  <c r="H28" i="19"/>
  <c r="I28" i="19"/>
  <c r="J28" i="19"/>
  <c r="K28" i="19"/>
  <c r="L28" i="19"/>
  <c r="M28" i="19"/>
  <c r="D28" i="19"/>
  <c r="E7" i="19"/>
  <c r="F7" i="19"/>
  <c r="G7" i="19"/>
  <c r="H7" i="19"/>
  <c r="I7" i="19"/>
  <c r="J7" i="19"/>
  <c r="K7" i="19"/>
  <c r="L7" i="19"/>
  <c r="M7" i="19"/>
  <c r="D7" i="19"/>
  <c r="E26" i="19"/>
  <c r="F26" i="19"/>
  <c r="G26" i="19"/>
  <c r="H26" i="19"/>
  <c r="I26" i="19"/>
  <c r="J26" i="19"/>
  <c r="K26" i="19"/>
  <c r="L26" i="19"/>
  <c r="M26" i="19"/>
  <c r="D26" i="19"/>
  <c r="G67" i="17" l="1"/>
  <c r="G73" i="17" s="1"/>
  <c r="P67" i="17"/>
  <c r="P73" i="17" s="1"/>
  <c r="J67" i="17"/>
  <c r="K73" i="17" s="1"/>
  <c r="M67" i="17"/>
  <c r="O73" i="17" s="1"/>
  <c r="V67" i="17"/>
  <c r="Y67" i="17"/>
  <c r="Y73" i="17" s="1"/>
  <c r="S67" i="17"/>
  <c r="T73" i="17" s="1"/>
  <c r="D60" i="17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3" i="19"/>
  <c r="L73" i="17" l="1"/>
  <c r="L80" i="17" s="1"/>
  <c r="H73" i="17"/>
  <c r="U73" i="17"/>
  <c r="U80" i="17" s="1"/>
  <c r="AA73" i="17"/>
  <c r="AA80" i="17" s="1"/>
  <c r="S73" i="17"/>
  <c r="S80" i="17" s="1"/>
  <c r="W73" i="17"/>
  <c r="W80" i="17" s="1"/>
  <c r="I73" i="17"/>
  <c r="I80" i="17" s="1"/>
  <c r="V73" i="17"/>
  <c r="V80" i="17" s="1"/>
  <c r="M73" i="17"/>
  <c r="M80" i="17" s="1"/>
  <c r="G80" i="17"/>
  <c r="J73" i="17"/>
  <c r="J80" i="17" s="1"/>
  <c r="X73" i="17"/>
  <c r="X80" i="17" s="1"/>
  <c r="T80" i="17"/>
  <c r="Z73" i="17"/>
  <c r="Z80" i="17" s="1"/>
  <c r="R73" i="17"/>
  <c r="R80" i="17" s="1"/>
  <c r="N73" i="17"/>
  <c r="N80" i="17" s="1"/>
  <c r="Q73" i="17"/>
  <c r="Q80" i="17" s="1"/>
  <c r="H80" i="17"/>
  <c r="O80" i="17"/>
  <c r="Y80" i="17"/>
  <c r="K80" i="17"/>
  <c r="P80" i="17"/>
  <c r="D67" i="17"/>
  <c r="D73" i="17" s="1"/>
  <c r="E104" i="10"/>
  <c r="E105" i="10"/>
  <c r="E106" i="10"/>
  <c r="E107" i="10"/>
  <c r="E108" i="10"/>
  <c r="C73" i="17" l="1"/>
  <c r="C80" i="17" s="1"/>
  <c r="E73" i="17"/>
  <c r="E80" i="17" s="1"/>
  <c r="F73" i="17"/>
  <c r="F80" i="17" s="1"/>
  <c r="D80" i="17"/>
  <c r="P60" i="12"/>
  <c r="S88" i="17" l="1"/>
  <c r="S96" i="17" s="1"/>
  <c r="P88" i="17"/>
  <c r="P96" i="17" s="1"/>
  <c r="V88" i="17"/>
  <c r="V96" i="17" s="1"/>
  <c r="M88" i="17"/>
  <c r="M96" i="17" s="1"/>
  <c r="J88" i="17"/>
  <c r="J96" i="17" s="1"/>
  <c r="D88" i="17"/>
  <c r="D96" i="17" s="1"/>
  <c r="G88" i="17"/>
  <c r="G96" i="17" s="1"/>
  <c r="Y88" i="17"/>
  <c r="Y96" i="17" s="1"/>
  <c r="AN8" i="6"/>
  <c r="AN9" i="6"/>
  <c r="AN10" i="6"/>
  <c r="AN11" i="6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N6" i="18" l="1"/>
  <c r="AC12" i="12" l="1"/>
  <c r="O23" i="18" s="1"/>
  <c r="AC13" i="12"/>
  <c r="O24" i="18" s="1"/>
  <c r="AC14" i="12"/>
  <c r="O25" i="18" s="1"/>
  <c r="AC15" i="12"/>
  <c r="O26" i="18" s="1"/>
  <c r="AC16" i="12"/>
  <c r="O27" i="18" s="1"/>
  <c r="AC17" i="12"/>
  <c r="O28" i="18" s="1"/>
  <c r="AC18" i="12"/>
  <c r="O29" i="18" s="1"/>
  <c r="AC19" i="12"/>
  <c r="O30" i="18" s="1"/>
  <c r="AC20" i="12"/>
  <c r="O31" i="18" s="1"/>
  <c r="AC21" i="12"/>
  <c r="O32" i="18" s="1"/>
  <c r="AC22" i="12"/>
  <c r="O33" i="18" s="1"/>
  <c r="AC23" i="12"/>
  <c r="O34" i="18" s="1"/>
  <c r="AC24" i="12"/>
  <c r="O35" i="18" s="1"/>
  <c r="AC25" i="12"/>
  <c r="O36" i="18" s="1"/>
  <c r="AC26" i="12"/>
  <c r="O37" i="18" s="1"/>
  <c r="AC27" i="12"/>
  <c r="O38" i="18" s="1"/>
  <c r="AC28" i="12"/>
  <c r="O39" i="18" s="1"/>
  <c r="AC29" i="12"/>
  <c r="O40" i="18" s="1"/>
  <c r="AC30" i="12"/>
  <c r="O41" i="18" s="1"/>
  <c r="AC31" i="12"/>
  <c r="O42" i="18" s="1"/>
  <c r="AC32" i="12"/>
  <c r="O43" i="18" s="1"/>
  <c r="AC33" i="12"/>
  <c r="O44" i="18" s="1"/>
  <c r="AC34" i="12"/>
  <c r="O45" i="18" s="1"/>
  <c r="AC35" i="12"/>
  <c r="O46" i="18" s="1"/>
  <c r="AC36" i="12"/>
  <c r="O47" i="18" s="1"/>
  <c r="AC37" i="12"/>
  <c r="O48" i="18" s="1"/>
  <c r="AC38" i="12"/>
  <c r="O49" i="18" s="1"/>
  <c r="AC39" i="12"/>
  <c r="O50" i="18" s="1"/>
  <c r="AC40" i="12"/>
  <c r="O51" i="18" s="1"/>
  <c r="AC41" i="12"/>
  <c r="O52" i="18" s="1"/>
  <c r="AC42" i="12"/>
  <c r="O53" i="18" s="1"/>
  <c r="AC43" i="12"/>
  <c r="O54" i="18" s="1"/>
  <c r="AC44" i="12"/>
  <c r="O55" i="18" s="1"/>
  <c r="AC45" i="12"/>
  <c r="O56" i="18" s="1"/>
  <c r="AC46" i="12"/>
  <c r="O57" i="18" s="1"/>
  <c r="AC47" i="12"/>
  <c r="O58" i="18" s="1"/>
  <c r="AC48" i="12"/>
  <c r="O59" i="18" s="1"/>
  <c r="AC49" i="12"/>
  <c r="O60" i="18" s="1"/>
  <c r="AC50" i="12"/>
  <c r="O61" i="18" s="1"/>
  <c r="AC51" i="12"/>
  <c r="O62" i="18" s="1"/>
  <c r="AC52" i="12"/>
  <c r="O63" i="18" s="1"/>
  <c r="AC53" i="12"/>
  <c r="O64" i="18" s="1"/>
  <c r="AC54" i="12"/>
  <c r="O65" i="18" s="1"/>
  <c r="AC55" i="12"/>
  <c r="O66" i="18" s="1"/>
  <c r="AC56" i="12"/>
  <c r="O67" i="18" s="1"/>
  <c r="AC57" i="12"/>
  <c r="O68" i="18" s="1"/>
  <c r="AC58" i="12"/>
  <c r="O69" i="18" s="1"/>
  <c r="AC59" i="12"/>
  <c r="O70" i="18" s="1"/>
  <c r="AC60" i="12"/>
  <c r="O71" i="18" s="1"/>
  <c r="AC11" i="12"/>
  <c r="N8" i="18" l="1"/>
  <c r="N4" i="18" s="1"/>
  <c r="N2" i="18" l="1"/>
  <c r="Q5" i="18" l="1"/>
  <c r="Q6" i="18" s="1"/>
  <c r="P29" i="18"/>
  <c r="P35" i="18"/>
  <c r="P41" i="18"/>
  <c r="P47" i="18"/>
  <c r="P53" i="18"/>
  <c r="P59" i="18"/>
  <c r="P65" i="18"/>
  <c r="P71" i="18"/>
  <c r="P37" i="18"/>
  <c r="P55" i="18"/>
  <c r="P67" i="18"/>
  <c r="P26" i="18"/>
  <c r="P38" i="18"/>
  <c r="P50" i="18"/>
  <c r="P62" i="18"/>
  <c r="P27" i="18"/>
  <c r="P39" i="18"/>
  <c r="P51" i="18"/>
  <c r="P63" i="18"/>
  <c r="P28" i="18"/>
  <c r="P40" i="18"/>
  <c r="P52" i="18"/>
  <c r="P64" i="18"/>
  <c r="P24" i="18"/>
  <c r="P30" i="18"/>
  <c r="P36" i="18"/>
  <c r="P42" i="18"/>
  <c r="P48" i="18"/>
  <c r="P54" i="18"/>
  <c r="P60" i="18"/>
  <c r="P66" i="18"/>
  <c r="P25" i="18"/>
  <c r="P31" i="18"/>
  <c r="P43" i="18"/>
  <c r="P49" i="18"/>
  <c r="P61" i="18"/>
  <c r="P32" i="18"/>
  <c r="P44" i="18"/>
  <c r="P56" i="18"/>
  <c r="P68" i="18"/>
  <c r="P33" i="18"/>
  <c r="P45" i="18"/>
  <c r="P57" i="18"/>
  <c r="P69" i="18"/>
  <c r="P34" i="18"/>
  <c r="P46" i="18"/>
  <c r="P58" i="18"/>
  <c r="P70" i="18"/>
  <c r="P23" i="18"/>
  <c r="K11" i="12"/>
  <c r="M5" i="13"/>
  <c r="Q7" i="18" l="1"/>
  <c r="Q8" i="18" s="1"/>
  <c r="H12" i="11" l="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11" i="11"/>
  <c r="U12" i="12"/>
  <c r="G23" i="18" s="1"/>
  <c r="H23" i="18" s="1"/>
  <c r="U13" i="12"/>
  <c r="G24" i="18" s="1"/>
  <c r="H24" i="18" s="1"/>
  <c r="U14" i="12"/>
  <c r="G25" i="18" s="1"/>
  <c r="H25" i="18" s="1"/>
  <c r="U15" i="12"/>
  <c r="G26" i="18" s="1"/>
  <c r="H26" i="18" s="1"/>
  <c r="U16" i="12"/>
  <c r="G27" i="18" s="1"/>
  <c r="H27" i="18" s="1"/>
  <c r="U17" i="12"/>
  <c r="G28" i="18" s="1"/>
  <c r="H28" i="18" s="1"/>
  <c r="U18" i="12"/>
  <c r="G29" i="18" s="1"/>
  <c r="H29" i="18" s="1"/>
  <c r="U19" i="12"/>
  <c r="G30" i="18" s="1"/>
  <c r="H30" i="18" s="1"/>
  <c r="U20" i="12"/>
  <c r="G31" i="18" s="1"/>
  <c r="H31" i="18" s="1"/>
  <c r="U21" i="12"/>
  <c r="G32" i="18" s="1"/>
  <c r="H32" i="18" s="1"/>
  <c r="U22" i="12"/>
  <c r="G33" i="18" s="1"/>
  <c r="H33" i="18" s="1"/>
  <c r="U23" i="12"/>
  <c r="G34" i="18" s="1"/>
  <c r="H34" i="18" s="1"/>
  <c r="U24" i="12"/>
  <c r="G35" i="18" s="1"/>
  <c r="H35" i="18" s="1"/>
  <c r="U25" i="12"/>
  <c r="G36" i="18" s="1"/>
  <c r="H36" i="18" s="1"/>
  <c r="U26" i="12"/>
  <c r="G37" i="18" s="1"/>
  <c r="H37" i="18" s="1"/>
  <c r="U27" i="12"/>
  <c r="G38" i="18" s="1"/>
  <c r="H38" i="18" s="1"/>
  <c r="U28" i="12"/>
  <c r="G39" i="18" s="1"/>
  <c r="H39" i="18" s="1"/>
  <c r="U29" i="12"/>
  <c r="G40" i="18" s="1"/>
  <c r="H40" i="18" s="1"/>
  <c r="U30" i="12"/>
  <c r="G41" i="18" s="1"/>
  <c r="H41" i="18" s="1"/>
  <c r="U31" i="12"/>
  <c r="G42" i="18" s="1"/>
  <c r="H42" i="18" s="1"/>
  <c r="U32" i="12"/>
  <c r="G43" i="18" s="1"/>
  <c r="H43" i="18" s="1"/>
  <c r="U33" i="12"/>
  <c r="G44" i="18" s="1"/>
  <c r="H44" i="18" s="1"/>
  <c r="U34" i="12"/>
  <c r="G45" i="18" s="1"/>
  <c r="H45" i="18" s="1"/>
  <c r="U35" i="12"/>
  <c r="G46" i="18" s="1"/>
  <c r="H46" i="18" s="1"/>
  <c r="U36" i="12"/>
  <c r="G47" i="18" s="1"/>
  <c r="H47" i="18" s="1"/>
  <c r="U37" i="12"/>
  <c r="G48" i="18" s="1"/>
  <c r="H48" i="18" s="1"/>
  <c r="U38" i="12"/>
  <c r="G49" i="18" s="1"/>
  <c r="H49" i="18" s="1"/>
  <c r="U39" i="12"/>
  <c r="G50" i="18" s="1"/>
  <c r="H50" i="18" s="1"/>
  <c r="U40" i="12"/>
  <c r="G51" i="18" s="1"/>
  <c r="H51" i="18" s="1"/>
  <c r="U41" i="12"/>
  <c r="G52" i="18" s="1"/>
  <c r="H52" i="18" s="1"/>
  <c r="U42" i="12"/>
  <c r="G53" i="18" s="1"/>
  <c r="H53" i="18" s="1"/>
  <c r="U43" i="12"/>
  <c r="G54" i="18" s="1"/>
  <c r="H54" i="18" s="1"/>
  <c r="U44" i="12"/>
  <c r="G55" i="18" s="1"/>
  <c r="H55" i="18" s="1"/>
  <c r="U45" i="12"/>
  <c r="G56" i="18" s="1"/>
  <c r="H56" i="18" s="1"/>
  <c r="U46" i="12"/>
  <c r="G57" i="18" s="1"/>
  <c r="H57" i="18" s="1"/>
  <c r="U47" i="12"/>
  <c r="G58" i="18" s="1"/>
  <c r="H58" i="18" s="1"/>
  <c r="U48" i="12"/>
  <c r="G59" i="18" s="1"/>
  <c r="H59" i="18" s="1"/>
  <c r="U49" i="12"/>
  <c r="G60" i="18" s="1"/>
  <c r="H60" i="18" s="1"/>
  <c r="U50" i="12"/>
  <c r="G61" i="18" s="1"/>
  <c r="H61" i="18" s="1"/>
  <c r="U51" i="12"/>
  <c r="G62" i="18" s="1"/>
  <c r="H62" i="18" s="1"/>
  <c r="U52" i="12"/>
  <c r="G63" i="18" s="1"/>
  <c r="H63" i="18" s="1"/>
  <c r="U53" i="12"/>
  <c r="G64" i="18" s="1"/>
  <c r="H64" i="18" s="1"/>
  <c r="U54" i="12"/>
  <c r="G65" i="18" s="1"/>
  <c r="H65" i="18" s="1"/>
  <c r="U55" i="12"/>
  <c r="G66" i="18" s="1"/>
  <c r="H66" i="18" s="1"/>
  <c r="U56" i="12"/>
  <c r="G67" i="18" s="1"/>
  <c r="H67" i="18" s="1"/>
  <c r="U57" i="12"/>
  <c r="G68" i="18" s="1"/>
  <c r="H68" i="18" s="1"/>
  <c r="U58" i="12"/>
  <c r="G69" i="18" s="1"/>
  <c r="H69" i="18" s="1"/>
  <c r="U59" i="12"/>
  <c r="G70" i="18" s="1"/>
  <c r="H70" i="18" s="1"/>
  <c r="U60" i="12"/>
  <c r="G71" i="18" s="1"/>
  <c r="H71" i="18" s="1"/>
  <c r="U11" i="12"/>
  <c r="E96" i="10"/>
  <c r="E97" i="10"/>
  <c r="E98" i="10"/>
  <c r="E99" i="10"/>
  <c r="E95" i="10"/>
  <c r="C16" i="13"/>
  <c r="C12" i="13"/>
  <c r="R68" i="18" l="1"/>
  <c r="R62" i="18"/>
  <c r="R56" i="18"/>
  <c r="R50" i="18"/>
  <c r="R44" i="18"/>
  <c r="R38" i="18"/>
  <c r="R32" i="18"/>
  <c r="R26" i="18"/>
  <c r="R67" i="18"/>
  <c r="R43" i="18"/>
  <c r="R66" i="18"/>
  <c r="R60" i="18"/>
  <c r="R54" i="18"/>
  <c r="R48" i="18"/>
  <c r="R42" i="18"/>
  <c r="R36" i="18"/>
  <c r="R30" i="18"/>
  <c r="R24" i="18"/>
  <c r="R49" i="18"/>
  <c r="R31" i="18"/>
  <c r="R65" i="18"/>
  <c r="R59" i="18"/>
  <c r="R53" i="18"/>
  <c r="R47" i="18"/>
  <c r="R41" i="18"/>
  <c r="R35" i="18"/>
  <c r="R29" i="18"/>
  <c r="R23" i="18"/>
  <c r="R55" i="18"/>
  <c r="R25" i="18"/>
  <c r="R70" i="18"/>
  <c r="R64" i="18"/>
  <c r="R58" i="18"/>
  <c r="R52" i="18"/>
  <c r="R46" i="18"/>
  <c r="R40" i="18"/>
  <c r="R34" i="18"/>
  <c r="R28" i="18"/>
  <c r="R61" i="18"/>
  <c r="R37" i="18"/>
  <c r="R71" i="18"/>
  <c r="R69" i="18"/>
  <c r="R63" i="18"/>
  <c r="R57" i="18"/>
  <c r="R51" i="18"/>
  <c r="R45" i="18"/>
  <c r="R39" i="18"/>
  <c r="R33" i="18"/>
  <c r="R27" i="18"/>
  <c r="N8" i="13"/>
  <c r="N24" i="13"/>
  <c r="C29" i="13"/>
  <c r="N18" i="13" s="1"/>
  <c r="C32" i="13"/>
  <c r="N16" i="13" s="1"/>
  <c r="C36" i="13"/>
  <c r="N20" i="13" s="1"/>
  <c r="L12" i="11"/>
  <c r="M12" i="11"/>
  <c r="L13" i="11"/>
  <c r="M13" i="11"/>
  <c r="L14" i="11"/>
  <c r="M14" i="11"/>
  <c r="L15" i="11"/>
  <c r="M15" i="11"/>
  <c r="L16" i="11"/>
  <c r="M16" i="11"/>
  <c r="L17" i="11"/>
  <c r="M17" i="11"/>
  <c r="L18" i="11"/>
  <c r="M18" i="11"/>
  <c r="L19" i="11"/>
  <c r="M19" i="11"/>
  <c r="L20" i="11"/>
  <c r="M20" i="11"/>
  <c r="L21" i="11"/>
  <c r="M21" i="11"/>
  <c r="L22" i="11"/>
  <c r="M22" i="11"/>
  <c r="L23" i="11"/>
  <c r="M23" i="11"/>
  <c r="L24" i="11"/>
  <c r="M24" i="11"/>
  <c r="L25" i="11"/>
  <c r="M25" i="11"/>
  <c r="L26" i="11"/>
  <c r="M26" i="11"/>
  <c r="L27" i="11"/>
  <c r="M27" i="11"/>
  <c r="L28" i="11"/>
  <c r="M28" i="11"/>
  <c r="L29" i="11"/>
  <c r="M29" i="11"/>
  <c r="L30" i="11"/>
  <c r="M30" i="11"/>
  <c r="L31" i="11"/>
  <c r="M31" i="11"/>
  <c r="L32" i="11"/>
  <c r="M32" i="11"/>
  <c r="L33" i="11"/>
  <c r="M33" i="11"/>
  <c r="L34" i="11"/>
  <c r="M34" i="11"/>
  <c r="L35" i="11"/>
  <c r="M35" i="11"/>
  <c r="L36" i="11"/>
  <c r="M36" i="11"/>
  <c r="L37" i="11"/>
  <c r="M37" i="11"/>
  <c r="L38" i="11"/>
  <c r="M38" i="11"/>
  <c r="L39" i="11"/>
  <c r="M39" i="11"/>
  <c r="L40" i="11"/>
  <c r="M40" i="11"/>
  <c r="L41" i="11"/>
  <c r="M41" i="11"/>
  <c r="L42" i="11"/>
  <c r="M42" i="11"/>
  <c r="L43" i="11"/>
  <c r="M43" i="11"/>
  <c r="L44" i="11"/>
  <c r="M44" i="11"/>
  <c r="L45" i="11"/>
  <c r="M45" i="11"/>
  <c r="L46" i="11"/>
  <c r="M46" i="11"/>
  <c r="L47" i="11"/>
  <c r="M47" i="11"/>
  <c r="L48" i="11"/>
  <c r="M48" i="11"/>
  <c r="L49" i="11"/>
  <c r="M49" i="11"/>
  <c r="L50" i="11"/>
  <c r="M50" i="11"/>
  <c r="L51" i="11"/>
  <c r="M51" i="11"/>
  <c r="L52" i="11"/>
  <c r="M52" i="11"/>
  <c r="L53" i="11"/>
  <c r="M53" i="11"/>
  <c r="L54" i="11"/>
  <c r="M54" i="11"/>
  <c r="L55" i="11"/>
  <c r="M55" i="11"/>
  <c r="L56" i="11"/>
  <c r="M56" i="11"/>
  <c r="L57" i="11"/>
  <c r="M57" i="11"/>
  <c r="L58" i="11"/>
  <c r="M58" i="11"/>
  <c r="L59" i="11"/>
  <c r="M59" i="11"/>
  <c r="L60" i="11"/>
  <c r="M60" i="11"/>
  <c r="M11" i="11"/>
  <c r="L11" i="11"/>
  <c r="W12" i="12"/>
  <c r="I23" i="18" s="1"/>
  <c r="J23" i="18" s="1"/>
  <c r="W13" i="12"/>
  <c r="I24" i="18" s="1"/>
  <c r="J24" i="18" s="1"/>
  <c r="W14" i="12"/>
  <c r="I25" i="18" s="1"/>
  <c r="J25" i="18" s="1"/>
  <c r="W15" i="12"/>
  <c r="I26" i="18" s="1"/>
  <c r="J26" i="18" s="1"/>
  <c r="W16" i="12"/>
  <c r="I27" i="18" s="1"/>
  <c r="J27" i="18" s="1"/>
  <c r="W17" i="12"/>
  <c r="I28" i="18" s="1"/>
  <c r="J28" i="18" s="1"/>
  <c r="W18" i="12"/>
  <c r="I29" i="18" s="1"/>
  <c r="J29" i="18" s="1"/>
  <c r="W19" i="12"/>
  <c r="I30" i="18" s="1"/>
  <c r="W20" i="12"/>
  <c r="I31" i="18" s="1"/>
  <c r="W21" i="12"/>
  <c r="I32" i="18" s="1"/>
  <c r="W22" i="12"/>
  <c r="I33" i="18" s="1"/>
  <c r="W23" i="12"/>
  <c r="I34" i="18" s="1"/>
  <c r="W24" i="12"/>
  <c r="I35" i="18" s="1"/>
  <c r="W25" i="12"/>
  <c r="I36" i="18" s="1"/>
  <c r="W26" i="12"/>
  <c r="I37" i="18" s="1"/>
  <c r="W27" i="12"/>
  <c r="I38" i="18" s="1"/>
  <c r="W28" i="12"/>
  <c r="I39" i="18" s="1"/>
  <c r="W29" i="12"/>
  <c r="I40" i="18" s="1"/>
  <c r="W30" i="12"/>
  <c r="I41" i="18" s="1"/>
  <c r="W31" i="12"/>
  <c r="I42" i="18" s="1"/>
  <c r="W32" i="12"/>
  <c r="I43" i="18" s="1"/>
  <c r="W33" i="12"/>
  <c r="I44" i="18" s="1"/>
  <c r="W34" i="12"/>
  <c r="I45" i="18" s="1"/>
  <c r="W35" i="12"/>
  <c r="I46" i="18" s="1"/>
  <c r="W36" i="12"/>
  <c r="I47" i="18" s="1"/>
  <c r="W37" i="12"/>
  <c r="I48" i="18" s="1"/>
  <c r="W38" i="12"/>
  <c r="I49" i="18" s="1"/>
  <c r="W39" i="12"/>
  <c r="I50" i="18" s="1"/>
  <c r="W40" i="12"/>
  <c r="I51" i="18" s="1"/>
  <c r="W41" i="12"/>
  <c r="I52" i="18" s="1"/>
  <c r="W42" i="12"/>
  <c r="I53" i="18" s="1"/>
  <c r="W43" i="12"/>
  <c r="I54" i="18" s="1"/>
  <c r="W44" i="12"/>
  <c r="I55" i="18" s="1"/>
  <c r="W45" i="12"/>
  <c r="I56" i="18" s="1"/>
  <c r="W46" i="12"/>
  <c r="I57" i="18" s="1"/>
  <c r="W47" i="12"/>
  <c r="I58" i="18" s="1"/>
  <c r="W48" i="12"/>
  <c r="I59" i="18" s="1"/>
  <c r="W49" i="12"/>
  <c r="I60" i="18" s="1"/>
  <c r="W50" i="12"/>
  <c r="I61" i="18" s="1"/>
  <c r="W51" i="12"/>
  <c r="I62" i="18" s="1"/>
  <c r="W52" i="12"/>
  <c r="I63" i="18" s="1"/>
  <c r="W53" i="12"/>
  <c r="I64" i="18" s="1"/>
  <c r="W54" i="12"/>
  <c r="I65" i="18" s="1"/>
  <c r="W55" i="12"/>
  <c r="I66" i="18" s="1"/>
  <c r="W56" i="12"/>
  <c r="I67" i="18" s="1"/>
  <c r="W57" i="12"/>
  <c r="I68" i="18" s="1"/>
  <c r="W58" i="12"/>
  <c r="I69" i="18" s="1"/>
  <c r="W59" i="12"/>
  <c r="I70" i="18" s="1"/>
  <c r="W60" i="12"/>
  <c r="I71" i="18" s="1"/>
  <c r="W11" i="12"/>
  <c r="Y12" i="12"/>
  <c r="K23" i="18" s="1"/>
  <c r="L23" i="18" s="1"/>
  <c r="Y13" i="12"/>
  <c r="K24" i="18" s="1"/>
  <c r="L24" i="18" s="1"/>
  <c r="Y14" i="12"/>
  <c r="K25" i="18" s="1"/>
  <c r="L25" i="18" s="1"/>
  <c r="Y15" i="12"/>
  <c r="K26" i="18" s="1"/>
  <c r="L26" i="18" s="1"/>
  <c r="Y16" i="12"/>
  <c r="K27" i="18" s="1"/>
  <c r="L27" i="18" s="1"/>
  <c r="Y17" i="12"/>
  <c r="K28" i="18" s="1"/>
  <c r="L28" i="18" s="1"/>
  <c r="Y18" i="12"/>
  <c r="K29" i="18" s="1"/>
  <c r="L29" i="18" s="1"/>
  <c r="Y19" i="12"/>
  <c r="K30" i="18" s="1"/>
  <c r="L30" i="18" s="1"/>
  <c r="Y20" i="12"/>
  <c r="K31" i="18" s="1"/>
  <c r="L31" i="18" s="1"/>
  <c r="Y21" i="12"/>
  <c r="K32" i="18" s="1"/>
  <c r="L32" i="18" s="1"/>
  <c r="Y22" i="12"/>
  <c r="K33" i="18" s="1"/>
  <c r="L33" i="18" s="1"/>
  <c r="Y23" i="12"/>
  <c r="K34" i="18" s="1"/>
  <c r="L34" i="18" s="1"/>
  <c r="Y24" i="12"/>
  <c r="K35" i="18" s="1"/>
  <c r="L35" i="18" s="1"/>
  <c r="Y25" i="12"/>
  <c r="K36" i="18" s="1"/>
  <c r="L36" i="18" s="1"/>
  <c r="Y26" i="12"/>
  <c r="K37" i="18" s="1"/>
  <c r="L37" i="18" s="1"/>
  <c r="Y27" i="12"/>
  <c r="K38" i="18" s="1"/>
  <c r="L38" i="18" s="1"/>
  <c r="Y28" i="12"/>
  <c r="K39" i="18" s="1"/>
  <c r="L39" i="18" s="1"/>
  <c r="Y29" i="12"/>
  <c r="K40" i="18" s="1"/>
  <c r="L40" i="18" s="1"/>
  <c r="Y30" i="12"/>
  <c r="K41" i="18" s="1"/>
  <c r="L41" i="18" s="1"/>
  <c r="Y31" i="12"/>
  <c r="K42" i="18" s="1"/>
  <c r="L42" i="18" s="1"/>
  <c r="Y32" i="12"/>
  <c r="K43" i="18" s="1"/>
  <c r="L43" i="18" s="1"/>
  <c r="Y33" i="12"/>
  <c r="K44" i="18" s="1"/>
  <c r="L44" i="18" s="1"/>
  <c r="Y34" i="12"/>
  <c r="K45" i="18" s="1"/>
  <c r="L45" i="18" s="1"/>
  <c r="Y35" i="12"/>
  <c r="K46" i="18" s="1"/>
  <c r="L46" i="18" s="1"/>
  <c r="Y36" i="12"/>
  <c r="K47" i="18" s="1"/>
  <c r="L47" i="18" s="1"/>
  <c r="Y37" i="12"/>
  <c r="K48" i="18" s="1"/>
  <c r="L48" i="18" s="1"/>
  <c r="Y38" i="12"/>
  <c r="K49" i="18" s="1"/>
  <c r="L49" i="18" s="1"/>
  <c r="Y39" i="12"/>
  <c r="K50" i="18" s="1"/>
  <c r="L50" i="18" s="1"/>
  <c r="Y40" i="12"/>
  <c r="K51" i="18" s="1"/>
  <c r="L51" i="18" s="1"/>
  <c r="Y41" i="12"/>
  <c r="K52" i="18" s="1"/>
  <c r="L52" i="18" s="1"/>
  <c r="Y42" i="12"/>
  <c r="K53" i="18" s="1"/>
  <c r="L53" i="18" s="1"/>
  <c r="Y43" i="12"/>
  <c r="K54" i="18" s="1"/>
  <c r="L54" i="18" s="1"/>
  <c r="Y44" i="12"/>
  <c r="K55" i="18" s="1"/>
  <c r="L55" i="18" s="1"/>
  <c r="Y45" i="12"/>
  <c r="K56" i="18" s="1"/>
  <c r="L56" i="18" s="1"/>
  <c r="Y46" i="12"/>
  <c r="K57" i="18" s="1"/>
  <c r="L57" i="18" s="1"/>
  <c r="Y47" i="12"/>
  <c r="K58" i="18" s="1"/>
  <c r="L58" i="18" s="1"/>
  <c r="Y48" i="12"/>
  <c r="K59" i="18" s="1"/>
  <c r="L59" i="18" s="1"/>
  <c r="Y49" i="12"/>
  <c r="K60" i="18" s="1"/>
  <c r="L60" i="18" s="1"/>
  <c r="Y50" i="12"/>
  <c r="K61" i="18" s="1"/>
  <c r="L61" i="18" s="1"/>
  <c r="Y51" i="12"/>
  <c r="K62" i="18" s="1"/>
  <c r="L62" i="18" s="1"/>
  <c r="Y52" i="12"/>
  <c r="K63" i="18" s="1"/>
  <c r="L63" i="18" s="1"/>
  <c r="Y53" i="12"/>
  <c r="K64" i="18" s="1"/>
  <c r="L64" i="18" s="1"/>
  <c r="Y54" i="12"/>
  <c r="K65" i="18" s="1"/>
  <c r="L65" i="18" s="1"/>
  <c r="Y55" i="12"/>
  <c r="K66" i="18" s="1"/>
  <c r="L66" i="18" s="1"/>
  <c r="Y56" i="12"/>
  <c r="K67" i="18" s="1"/>
  <c r="L67" i="18" s="1"/>
  <c r="Y57" i="12"/>
  <c r="K68" i="18" s="1"/>
  <c r="L68" i="18" s="1"/>
  <c r="Y58" i="12"/>
  <c r="K69" i="18" s="1"/>
  <c r="L69" i="18" s="1"/>
  <c r="Y59" i="12"/>
  <c r="K70" i="18" s="1"/>
  <c r="L70" i="18" s="1"/>
  <c r="Y60" i="12"/>
  <c r="Y11" i="12"/>
  <c r="C21" i="13"/>
  <c r="N22" i="13" s="1"/>
  <c r="E55" i="10"/>
  <c r="E56" i="10"/>
  <c r="E57" i="10"/>
  <c r="E58" i="10"/>
  <c r="E54" i="10"/>
  <c r="E46" i="10"/>
  <c r="E47" i="10"/>
  <c r="E48" i="10"/>
  <c r="E49" i="10"/>
  <c r="E45" i="10"/>
  <c r="C24" i="13"/>
  <c r="C20" i="13"/>
  <c r="C28" i="13"/>
  <c r="C25" i="13"/>
  <c r="C17" i="13"/>
  <c r="C13" i="13"/>
  <c r="AE12" i="12"/>
  <c r="Q23" i="18" s="1"/>
  <c r="AE13" i="12"/>
  <c r="Q24" i="18" s="1"/>
  <c r="AE14" i="12"/>
  <c r="Q25" i="18" s="1"/>
  <c r="AE15" i="12"/>
  <c r="Q26" i="18" s="1"/>
  <c r="AE16" i="12"/>
  <c r="Q27" i="18" s="1"/>
  <c r="AE17" i="12"/>
  <c r="Q28" i="18" s="1"/>
  <c r="AE18" i="12"/>
  <c r="Q29" i="18" s="1"/>
  <c r="AE19" i="12"/>
  <c r="Q30" i="18" s="1"/>
  <c r="AE20" i="12"/>
  <c r="Q31" i="18" s="1"/>
  <c r="AE21" i="12"/>
  <c r="Q32" i="18" s="1"/>
  <c r="AE22" i="12"/>
  <c r="Q33" i="18" s="1"/>
  <c r="AE23" i="12"/>
  <c r="Q34" i="18" s="1"/>
  <c r="AE24" i="12"/>
  <c r="Q35" i="18" s="1"/>
  <c r="AE25" i="12"/>
  <c r="Q36" i="18" s="1"/>
  <c r="AE26" i="12"/>
  <c r="Q37" i="18" s="1"/>
  <c r="AE27" i="12"/>
  <c r="Q38" i="18" s="1"/>
  <c r="AE28" i="12"/>
  <c r="Q39" i="18" s="1"/>
  <c r="AE29" i="12"/>
  <c r="Q40" i="18" s="1"/>
  <c r="AE30" i="12"/>
  <c r="Q41" i="18" s="1"/>
  <c r="AE31" i="12"/>
  <c r="Q42" i="18" s="1"/>
  <c r="AE32" i="12"/>
  <c r="Q43" i="18" s="1"/>
  <c r="AE33" i="12"/>
  <c r="Q44" i="18" s="1"/>
  <c r="AE34" i="12"/>
  <c r="Q45" i="18" s="1"/>
  <c r="AE35" i="12"/>
  <c r="Q46" i="18" s="1"/>
  <c r="AE36" i="12"/>
  <c r="Q47" i="18" s="1"/>
  <c r="AE37" i="12"/>
  <c r="Q48" i="18" s="1"/>
  <c r="AE38" i="12"/>
  <c r="Q49" i="18" s="1"/>
  <c r="AE39" i="12"/>
  <c r="Q50" i="18" s="1"/>
  <c r="AE40" i="12"/>
  <c r="Q51" i="18" s="1"/>
  <c r="AE41" i="12"/>
  <c r="Q52" i="18" s="1"/>
  <c r="AE42" i="12"/>
  <c r="Q53" i="18" s="1"/>
  <c r="AE43" i="12"/>
  <c r="Q54" i="18" s="1"/>
  <c r="AE44" i="12"/>
  <c r="Q55" i="18" s="1"/>
  <c r="AE45" i="12"/>
  <c r="Q56" i="18" s="1"/>
  <c r="AE46" i="12"/>
  <c r="Q57" i="18" s="1"/>
  <c r="AE47" i="12"/>
  <c r="Q58" i="18" s="1"/>
  <c r="AE48" i="12"/>
  <c r="Q59" i="18" s="1"/>
  <c r="AE49" i="12"/>
  <c r="Q60" i="18" s="1"/>
  <c r="AE50" i="12"/>
  <c r="Q61" i="18" s="1"/>
  <c r="AE51" i="12"/>
  <c r="Q62" i="18" s="1"/>
  <c r="AE52" i="12"/>
  <c r="Q63" i="18" s="1"/>
  <c r="AE53" i="12"/>
  <c r="Q64" i="18" s="1"/>
  <c r="AE54" i="12"/>
  <c r="Q65" i="18" s="1"/>
  <c r="AE55" i="12"/>
  <c r="Q66" i="18" s="1"/>
  <c r="AE56" i="12"/>
  <c r="Q67" i="18" s="1"/>
  <c r="AE57" i="12"/>
  <c r="Q68" i="18" s="1"/>
  <c r="AE58" i="12"/>
  <c r="Q69" i="18" s="1"/>
  <c r="AE59" i="12"/>
  <c r="Q70" i="18" s="1"/>
  <c r="AE60" i="12"/>
  <c r="Q71" i="18" s="1"/>
  <c r="AE11" i="12"/>
  <c r="C8" i="13"/>
  <c r="N12" i="13" s="1"/>
  <c r="Z60" i="12" l="1"/>
  <c r="G60" i="12" s="1"/>
  <c r="K71" i="18"/>
  <c r="L71" i="18" s="1"/>
  <c r="N10" i="13"/>
  <c r="N14" i="13"/>
  <c r="V3" i="14" l="1"/>
  <c r="V60" i="12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11" i="11"/>
  <c r="K12" i="12"/>
  <c r="V4" i="14" s="1"/>
  <c r="K13" i="12"/>
  <c r="V5" i="14" s="1"/>
  <c r="K14" i="12"/>
  <c r="V6" i="14" s="1"/>
  <c r="K15" i="12"/>
  <c r="V7" i="14" s="1"/>
  <c r="K16" i="12"/>
  <c r="V8" i="14" s="1"/>
  <c r="K17" i="12"/>
  <c r="V9" i="14" s="1"/>
  <c r="K18" i="12"/>
  <c r="V10" i="14" s="1"/>
  <c r="K19" i="12"/>
  <c r="V11" i="14" s="1"/>
  <c r="K20" i="12"/>
  <c r="V12" i="14" s="1"/>
  <c r="K21" i="12"/>
  <c r="V13" i="14" s="1"/>
  <c r="K22" i="12"/>
  <c r="V14" i="14" s="1"/>
  <c r="K23" i="12"/>
  <c r="V15" i="14" s="1"/>
  <c r="K24" i="12"/>
  <c r="V16" i="14" s="1"/>
  <c r="K25" i="12"/>
  <c r="V17" i="14" s="1"/>
  <c r="K26" i="12"/>
  <c r="V18" i="14" s="1"/>
  <c r="K27" i="12"/>
  <c r="V19" i="14" s="1"/>
  <c r="K28" i="12"/>
  <c r="V20" i="14" s="1"/>
  <c r="K29" i="12"/>
  <c r="V21" i="14" s="1"/>
  <c r="K30" i="12"/>
  <c r="V22" i="14" s="1"/>
  <c r="K31" i="12"/>
  <c r="V23" i="14" s="1"/>
  <c r="K32" i="12"/>
  <c r="V24" i="14" s="1"/>
  <c r="K33" i="12"/>
  <c r="V25" i="14" s="1"/>
  <c r="K34" i="12"/>
  <c r="V26" i="14" s="1"/>
  <c r="K35" i="12"/>
  <c r="V27" i="14" s="1"/>
  <c r="K36" i="12"/>
  <c r="V28" i="14" s="1"/>
  <c r="K37" i="12"/>
  <c r="V29" i="14" s="1"/>
  <c r="K38" i="12"/>
  <c r="V30" i="14" s="1"/>
  <c r="K39" i="12"/>
  <c r="V31" i="14" s="1"/>
  <c r="K40" i="12"/>
  <c r="K41" i="12"/>
  <c r="V33" i="14" s="1"/>
  <c r="K42" i="12"/>
  <c r="V34" i="14" s="1"/>
  <c r="K43" i="12"/>
  <c r="V35" i="14" s="1"/>
  <c r="K44" i="12"/>
  <c r="V36" i="14" s="1"/>
  <c r="K45" i="12"/>
  <c r="V37" i="14" s="1"/>
  <c r="K46" i="12"/>
  <c r="V38" i="14" s="1"/>
  <c r="K47" i="12"/>
  <c r="V39" i="14" s="1"/>
  <c r="K48" i="12"/>
  <c r="V40" i="14" s="1"/>
  <c r="K49" i="12"/>
  <c r="V41" i="14" s="1"/>
  <c r="K50" i="12"/>
  <c r="V42" i="14" s="1"/>
  <c r="K51" i="12"/>
  <c r="V43" i="14" s="1"/>
  <c r="K52" i="12"/>
  <c r="V44" i="14" s="1"/>
  <c r="K53" i="12"/>
  <c r="V45" i="14" s="1"/>
  <c r="K54" i="12"/>
  <c r="V46" i="14" s="1"/>
  <c r="K55" i="12"/>
  <c r="V47" i="14" s="1"/>
  <c r="K56" i="12"/>
  <c r="V48" i="14" s="1"/>
  <c r="K57" i="12"/>
  <c r="V49" i="14" s="1"/>
  <c r="K58" i="12"/>
  <c r="V50" i="14" s="1"/>
  <c r="K59" i="12"/>
  <c r="V51" i="14" s="1"/>
  <c r="K60" i="12"/>
  <c r="V52" i="14" s="1"/>
  <c r="AE57" i="15"/>
  <c r="AE56" i="15"/>
  <c r="AE55" i="15"/>
  <c r="AE54" i="15"/>
  <c r="AE53" i="15"/>
  <c r="AE52" i="15"/>
  <c r="AE50" i="15"/>
  <c r="Y57" i="15"/>
  <c r="Y56" i="15"/>
  <c r="Y55" i="15"/>
  <c r="Y54" i="15"/>
  <c r="Y53" i="15"/>
  <c r="Y52" i="15"/>
  <c r="Y14" i="15"/>
  <c r="Y13" i="15"/>
  <c r="Y12" i="15"/>
  <c r="Y11" i="15"/>
  <c r="Y10" i="15"/>
  <c r="Y9" i="15"/>
  <c r="Y8" i="15"/>
  <c r="S57" i="15"/>
  <c r="S56" i="15"/>
  <c r="S55" i="15"/>
  <c r="S54" i="15"/>
  <c r="S41" i="15"/>
  <c r="M10" i="15"/>
  <c r="M9" i="15"/>
  <c r="M8" i="15"/>
  <c r="G8" i="15"/>
  <c r="AO8" i="6"/>
  <c r="AP8" i="6" s="1"/>
  <c r="AQ8" i="6" s="1"/>
  <c r="G27" i="15" s="1"/>
  <c r="AO9" i="6"/>
  <c r="AP9" i="6" s="1"/>
  <c r="AQ9" i="6" s="1"/>
  <c r="M27" i="15" s="1"/>
  <c r="AO10" i="6"/>
  <c r="AP10" i="6" s="1"/>
  <c r="AQ10" i="6" s="1"/>
  <c r="AO11" i="6"/>
  <c r="AP11" i="6" s="1"/>
  <c r="AQ11" i="6" s="1"/>
  <c r="G33" i="15" s="1"/>
  <c r="AO12" i="6"/>
  <c r="AP12" i="6" s="1"/>
  <c r="AQ12" i="6" s="1"/>
  <c r="AE25" i="15" s="1"/>
  <c r="AO13" i="6"/>
  <c r="AP13" i="6" s="1"/>
  <c r="AQ13" i="6" s="1"/>
  <c r="M34" i="15" s="1"/>
  <c r="AO14" i="6"/>
  <c r="AP14" i="6" s="1"/>
  <c r="AQ14" i="6" s="1"/>
  <c r="Y31" i="15" s="1"/>
  <c r="AO15" i="6"/>
  <c r="AP15" i="6" s="1"/>
  <c r="AQ15" i="6" s="1"/>
  <c r="Y32" i="15" s="1"/>
  <c r="AO16" i="6"/>
  <c r="AP16" i="6"/>
  <c r="AQ16" i="6" s="1"/>
  <c r="G40" i="15" s="1"/>
  <c r="AO17" i="6"/>
  <c r="AP17" i="6" s="1"/>
  <c r="AQ17" i="6" s="1"/>
  <c r="AE30" i="15" s="1"/>
  <c r="AO18" i="6"/>
  <c r="AP18" i="6" s="1"/>
  <c r="AQ18" i="6" s="1"/>
  <c r="AE31" i="15" s="1"/>
  <c r="AO19" i="6"/>
  <c r="AP19" i="6" s="1"/>
  <c r="AQ19" i="6" s="1"/>
  <c r="AO20" i="6"/>
  <c r="AP20" i="6" s="1"/>
  <c r="AQ20" i="6" s="1"/>
  <c r="S38" i="15" s="1"/>
  <c r="AO21" i="6"/>
  <c r="AP21" i="6" s="1"/>
  <c r="AQ21" i="6" s="1"/>
  <c r="S39" i="15" s="1"/>
  <c r="AO22" i="6"/>
  <c r="AP22" i="6" s="1"/>
  <c r="AQ22" i="6" s="1"/>
  <c r="G45" i="15" s="1"/>
  <c r="AO23" i="6"/>
  <c r="AP23" i="6" s="1"/>
  <c r="AQ23" i="6" s="1"/>
  <c r="Y38" i="15" s="1"/>
  <c r="AO24" i="6"/>
  <c r="AP24" i="6" s="1"/>
  <c r="AQ24" i="6" s="1"/>
  <c r="AE36" i="15" s="1"/>
  <c r="AO25" i="6"/>
  <c r="AP25" i="6" s="1"/>
  <c r="AQ25" i="6" s="1"/>
  <c r="AE37" i="15" s="1"/>
  <c r="AO26" i="6"/>
  <c r="AP26" i="6" s="1"/>
  <c r="AQ26" i="6" s="1"/>
  <c r="S42" i="15" s="1"/>
  <c r="AO27" i="6"/>
  <c r="AP27" i="6" s="1"/>
  <c r="AQ27" i="6" s="1"/>
  <c r="S43" i="15" s="1"/>
  <c r="AO28" i="6"/>
  <c r="AP28" i="6" s="1"/>
  <c r="AQ28" i="6" s="1"/>
  <c r="AO29" i="6"/>
  <c r="AP29" i="6" s="1"/>
  <c r="AQ29" i="6" s="1"/>
  <c r="M48" i="15" s="1"/>
  <c r="AO30" i="6"/>
  <c r="AP30" i="6" s="1"/>
  <c r="AQ30" i="6" s="1"/>
  <c r="G50" i="15" s="1"/>
  <c r="AO31" i="6"/>
  <c r="AP31" i="6" s="1"/>
  <c r="AQ31" i="6" s="1"/>
  <c r="S45" i="15" s="1"/>
  <c r="AO32" i="6"/>
  <c r="AP32" i="6" s="1"/>
  <c r="AQ32" i="6" s="1"/>
  <c r="G51" i="15" s="1"/>
  <c r="AO33" i="6"/>
  <c r="AP33" i="6" s="1"/>
  <c r="AQ33" i="6" s="1"/>
  <c r="AE42" i="15" s="1"/>
  <c r="AO34" i="6"/>
  <c r="AP34" i="6" s="1"/>
  <c r="AQ34" i="6" s="1"/>
  <c r="AE43" i="15" s="1"/>
  <c r="AO35" i="6"/>
  <c r="AP35" i="6" s="1"/>
  <c r="AQ35" i="6" s="1"/>
  <c r="Y44" i="15" s="1"/>
  <c r="AO36" i="6"/>
  <c r="AP36" i="6" s="1"/>
  <c r="AQ36" i="6" s="1"/>
  <c r="AE44" i="15" s="1"/>
  <c r="AO37" i="6"/>
  <c r="AP37" i="6" s="1"/>
  <c r="AQ37" i="6" s="1"/>
  <c r="AO38" i="6"/>
  <c r="AP38" i="6" s="1"/>
  <c r="AQ38" i="6" s="1"/>
  <c r="AE45" i="15" s="1"/>
  <c r="AO39" i="6"/>
  <c r="AP39" i="6" s="1"/>
  <c r="AQ39" i="6" s="1"/>
  <c r="Y46" i="15" s="1"/>
  <c r="AO40" i="6"/>
  <c r="AP40" i="6" s="1"/>
  <c r="AQ40" i="6" s="1"/>
  <c r="M53" i="15" s="1"/>
  <c r="AO41" i="6"/>
  <c r="AP41" i="6" s="1"/>
  <c r="AQ41" i="6" s="1"/>
  <c r="S49" i="15" s="1"/>
  <c r="AO42" i="6"/>
  <c r="AP42" i="6" s="1"/>
  <c r="AQ42" i="6" s="1"/>
  <c r="Y47" i="15" s="1"/>
  <c r="AO43" i="6"/>
  <c r="AP43" i="6"/>
  <c r="AQ43" i="6" s="1"/>
  <c r="G55" i="15" s="1"/>
  <c r="AO44" i="6"/>
  <c r="AP44" i="6" s="1"/>
  <c r="AQ44" i="6" s="1"/>
  <c r="S50" i="15" s="1"/>
  <c r="AO45" i="6"/>
  <c r="AP45" i="6" s="1"/>
  <c r="AQ45" i="6" s="1"/>
  <c r="Y48" i="15" s="1"/>
  <c r="AO46" i="6"/>
  <c r="AP46" i="6" s="1"/>
  <c r="AQ46" i="6" s="1"/>
  <c r="AO47" i="6"/>
  <c r="AP47" i="6" s="1"/>
  <c r="AQ47" i="6" s="1"/>
  <c r="AO48" i="6"/>
  <c r="AP48" i="6" s="1"/>
  <c r="AQ48" i="6" s="1"/>
  <c r="AE49" i="15" s="1"/>
  <c r="AO49" i="6"/>
  <c r="AP49" i="6"/>
  <c r="AQ49" i="6" s="1"/>
  <c r="G57" i="15" s="1"/>
  <c r="AO50" i="6"/>
  <c r="AP50" i="6" s="1"/>
  <c r="AQ50" i="6" s="1"/>
  <c r="AO51" i="6"/>
  <c r="AP51" i="6" s="1"/>
  <c r="AQ51" i="6" s="1"/>
  <c r="Y50" i="15" s="1"/>
  <c r="AO52" i="6"/>
  <c r="AP52" i="6"/>
  <c r="AQ52" i="6" s="1"/>
  <c r="M57" i="15" s="1"/>
  <c r="AO53" i="6"/>
  <c r="AP53" i="6" s="1"/>
  <c r="AQ53" i="6" s="1"/>
  <c r="AO54" i="6"/>
  <c r="AP54" i="6" s="1"/>
  <c r="AQ54" i="6" s="1"/>
  <c r="AO55" i="6"/>
  <c r="AP55" i="6" s="1"/>
  <c r="AQ55" i="6" s="1"/>
  <c r="AO56" i="6"/>
  <c r="AO7" i="6"/>
  <c r="AQ10" i="7"/>
  <c r="AR10" i="7" s="1"/>
  <c r="AS10" i="7" s="1"/>
  <c r="AT10" i="7" s="1"/>
  <c r="AU10" i="7" s="1"/>
  <c r="AV10" i="7" s="1"/>
  <c r="AW10" i="7" s="1"/>
  <c r="AX10" i="7" s="1"/>
  <c r="AY10" i="7" s="1"/>
  <c r="AZ10" i="7" s="1"/>
  <c r="AQ11" i="7"/>
  <c r="AR11" i="7" s="1"/>
  <c r="AS11" i="7" s="1"/>
  <c r="AT11" i="7" s="1"/>
  <c r="AU11" i="7" s="1"/>
  <c r="AV11" i="7"/>
  <c r="AW11" i="7" s="1"/>
  <c r="AX11" i="7" s="1"/>
  <c r="AY11" i="7" s="1"/>
  <c r="AZ11" i="7" s="1"/>
  <c r="AQ12" i="7"/>
  <c r="AR12" i="7"/>
  <c r="AS12" i="7"/>
  <c r="AT12" i="7" s="1"/>
  <c r="AU12" i="7" s="1"/>
  <c r="AV12" i="7" s="1"/>
  <c r="AW12" i="7"/>
  <c r="AX12" i="7"/>
  <c r="AY12" i="7" s="1"/>
  <c r="AZ12" i="7" s="1"/>
  <c r="AQ13" i="7"/>
  <c r="AR13" i="7" s="1"/>
  <c r="AS13" i="7"/>
  <c r="AT13" i="7"/>
  <c r="AU13" i="7"/>
  <c r="AV13" i="7" s="1"/>
  <c r="AW13" i="7" s="1"/>
  <c r="AX13" i="7" s="1"/>
  <c r="AY13" i="7"/>
  <c r="AZ13" i="7" s="1"/>
  <c r="AQ14" i="7"/>
  <c r="AR14" i="7" s="1"/>
  <c r="AS14" i="7" s="1"/>
  <c r="AT14" i="7" s="1"/>
  <c r="AU14" i="7"/>
  <c r="AV14" i="7"/>
  <c r="AW14" i="7"/>
  <c r="AX14" i="7" s="1"/>
  <c r="AY14" i="7" s="1"/>
  <c r="AZ14" i="7" s="1"/>
  <c r="AQ15" i="7"/>
  <c r="AR15" i="7" s="1"/>
  <c r="AS15" i="7" s="1"/>
  <c r="AT15" i="7" s="1"/>
  <c r="AU15" i="7" s="1"/>
  <c r="AV15" i="7" s="1"/>
  <c r="AW15" i="7" s="1"/>
  <c r="AX15" i="7" s="1"/>
  <c r="AY15" i="7" s="1"/>
  <c r="AZ15" i="7" s="1"/>
  <c r="AQ16" i="7"/>
  <c r="AR16" i="7" s="1"/>
  <c r="AS16" i="7" s="1"/>
  <c r="AT16" i="7" s="1"/>
  <c r="AU16" i="7" s="1"/>
  <c r="AV16" i="7" s="1"/>
  <c r="AW16" i="7" s="1"/>
  <c r="AX16" i="7" s="1"/>
  <c r="AY16" i="7" s="1"/>
  <c r="AZ16" i="7" s="1"/>
  <c r="AQ17" i="7"/>
  <c r="AR17" i="7" s="1"/>
  <c r="AS17" i="7" s="1"/>
  <c r="AT17" i="7" s="1"/>
  <c r="AU17" i="7" s="1"/>
  <c r="AV17" i="7" s="1"/>
  <c r="AW17" i="7" s="1"/>
  <c r="AX17" i="7" s="1"/>
  <c r="AY17" i="7" s="1"/>
  <c r="AZ17" i="7" s="1"/>
  <c r="AQ18" i="7"/>
  <c r="AR18" i="7"/>
  <c r="AS18" i="7"/>
  <c r="AT18" i="7" s="1"/>
  <c r="AU18" i="7" s="1"/>
  <c r="AV18" i="7" s="1"/>
  <c r="AW18" i="7" s="1"/>
  <c r="AX18" i="7" s="1"/>
  <c r="AY18" i="7" s="1"/>
  <c r="AZ18" i="7" s="1"/>
  <c r="AQ19" i="7"/>
  <c r="AR19" i="7" s="1"/>
  <c r="AS19" i="7"/>
  <c r="AT19" i="7"/>
  <c r="AU19" i="7" s="1"/>
  <c r="AV19" i="7" s="1"/>
  <c r="AW19" i="7" s="1"/>
  <c r="AX19" i="7" s="1"/>
  <c r="AY19" i="7" s="1"/>
  <c r="AZ19" i="7" s="1"/>
  <c r="AQ20" i="7"/>
  <c r="AR20" i="7" s="1"/>
  <c r="AS20" i="7" s="1"/>
  <c r="AT20" i="7" s="1"/>
  <c r="AU20" i="7"/>
  <c r="AV20" i="7"/>
  <c r="AW20" i="7" s="1"/>
  <c r="AX20" i="7" s="1"/>
  <c r="AY20" i="7" s="1"/>
  <c r="AZ20" i="7" s="1"/>
  <c r="AQ21" i="7"/>
  <c r="AR21" i="7"/>
  <c r="AS21" i="7"/>
  <c r="AT21" i="7" s="1"/>
  <c r="AU21" i="7" s="1"/>
  <c r="AV21" i="7" s="1"/>
  <c r="AW21" i="7"/>
  <c r="AX21" i="7"/>
  <c r="AY21" i="7" s="1"/>
  <c r="AZ21" i="7" s="1"/>
  <c r="AQ22" i="7"/>
  <c r="AR22" i="7" s="1"/>
  <c r="AS22" i="7"/>
  <c r="AT22" i="7"/>
  <c r="AU22" i="7"/>
  <c r="AV22" i="7" s="1"/>
  <c r="AW22" i="7" s="1"/>
  <c r="AX22" i="7" s="1"/>
  <c r="AY22" i="7"/>
  <c r="AZ22" i="7" s="1"/>
  <c r="AQ23" i="7"/>
  <c r="AR23" i="7" s="1"/>
  <c r="AS23" i="7" s="1"/>
  <c r="AT23" i="7" s="1"/>
  <c r="AU23" i="7"/>
  <c r="AV23" i="7"/>
  <c r="AW23" i="7"/>
  <c r="AX23" i="7" s="1"/>
  <c r="AY23" i="7" s="1"/>
  <c r="AZ23" i="7" s="1"/>
  <c r="AQ24" i="7"/>
  <c r="AR24" i="7" s="1"/>
  <c r="AS24" i="7" s="1"/>
  <c r="AT24" i="7" s="1"/>
  <c r="AU24" i="7" s="1"/>
  <c r="AV24" i="7" s="1"/>
  <c r="AW24" i="7" s="1"/>
  <c r="AX24" i="7" s="1"/>
  <c r="AY24" i="7" s="1"/>
  <c r="AZ24" i="7" s="1"/>
  <c r="AQ25" i="7"/>
  <c r="AR25" i="7" s="1"/>
  <c r="AS25" i="7" s="1"/>
  <c r="AT25" i="7" s="1"/>
  <c r="AU25" i="7" s="1"/>
  <c r="AV25" i="7" s="1"/>
  <c r="AW25" i="7" s="1"/>
  <c r="AX25" i="7" s="1"/>
  <c r="AY25" i="7" s="1"/>
  <c r="AZ25" i="7" s="1"/>
  <c r="AQ26" i="7"/>
  <c r="AR26" i="7" s="1"/>
  <c r="AS26" i="7" s="1"/>
  <c r="AT26" i="7" s="1"/>
  <c r="AU26" i="7" s="1"/>
  <c r="AV26" i="7" s="1"/>
  <c r="AW26" i="7" s="1"/>
  <c r="AX26" i="7" s="1"/>
  <c r="AY26" i="7" s="1"/>
  <c r="AZ26" i="7" s="1"/>
  <c r="AQ27" i="7"/>
  <c r="AR27" i="7"/>
  <c r="AS27" i="7"/>
  <c r="AT27" i="7" s="1"/>
  <c r="AU27" i="7" s="1"/>
  <c r="AV27" i="7" s="1"/>
  <c r="AW27" i="7" s="1"/>
  <c r="AX27" i="7" s="1"/>
  <c r="AY27" i="7" s="1"/>
  <c r="AZ27" i="7" s="1"/>
  <c r="AQ28" i="7"/>
  <c r="AR28" i="7" s="1"/>
  <c r="AS28" i="7"/>
  <c r="AT28" i="7"/>
  <c r="AU28" i="7" s="1"/>
  <c r="AV28" i="7" s="1"/>
  <c r="AW28" i="7" s="1"/>
  <c r="AX28" i="7" s="1"/>
  <c r="AY28" i="7" s="1"/>
  <c r="AZ28" i="7" s="1"/>
  <c r="AQ29" i="7"/>
  <c r="AR29" i="7" s="1"/>
  <c r="AS29" i="7" s="1"/>
  <c r="AT29" i="7" s="1"/>
  <c r="AU29" i="7"/>
  <c r="AV29" i="7"/>
  <c r="AW29" i="7" s="1"/>
  <c r="AX29" i="7" s="1"/>
  <c r="AY29" i="7" s="1"/>
  <c r="AZ29" i="7" s="1"/>
  <c r="AQ30" i="7"/>
  <c r="AR30" i="7"/>
  <c r="AS30" i="7"/>
  <c r="AT30" i="7" s="1"/>
  <c r="AU30" i="7" s="1"/>
  <c r="AV30" i="7" s="1"/>
  <c r="AW30" i="7"/>
  <c r="AX30" i="7"/>
  <c r="AY30" i="7" s="1"/>
  <c r="AZ30" i="7" s="1"/>
  <c r="AQ31" i="7"/>
  <c r="AR31" i="7" s="1"/>
  <c r="AS31" i="7"/>
  <c r="AT31" i="7"/>
  <c r="AU31" i="7"/>
  <c r="AV31" i="7" s="1"/>
  <c r="AW31" i="7" s="1"/>
  <c r="AX31" i="7" s="1"/>
  <c r="AY31" i="7"/>
  <c r="AZ31" i="7" s="1"/>
  <c r="AQ32" i="7"/>
  <c r="AR32" i="7" s="1"/>
  <c r="AS32" i="7" s="1"/>
  <c r="AT32" i="7" s="1"/>
  <c r="AU32" i="7"/>
  <c r="AV32" i="7"/>
  <c r="AW32" i="7"/>
  <c r="AX32" i="7" s="1"/>
  <c r="AY32" i="7" s="1"/>
  <c r="AZ32" i="7" s="1"/>
  <c r="AQ33" i="7"/>
  <c r="AR33" i="7" s="1"/>
  <c r="AS33" i="7" s="1"/>
  <c r="AT33" i="7" s="1"/>
  <c r="AU33" i="7" s="1"/>
  <c r="AV33" i="7" s="1"/>
  <c r="AW33" i="7" s="1"/>
  <c r="AX33" i="7" s="1"/>
  <c r="AY33" i="7" s="1"/>
  <c r="AZ33" i="7" s="1"/>
  <c r="AQ34" i="7"/>
  <c r="AR34" i="7" s="1"/>
  <c r="AS34" i="7" s="1"/>
  <c r="AT34" i="7" s="1"/>
  <c r="AU34" i="7" s="1"/>
  <c r="AV34" i="7" s="1"/>
  <c r="AW34" i="7" s="1"/>
  <c r="AX34" i="7" s="1"/>
  <c r="AY34" i="7" s="1"/>
  <c r="AZ34" i="7" s="1"/>
  <c r="AQ35" i="7"/>
  <c r="AR35" i="7" s="1"/>
  <c r="AS35" i="7" s="1"/>
  <c r="AT35" i="7" s="1"/>
  <c r="AU35" i="7" s="1"/>
  <c r="AV35" i="7" s="1"/>
  <c r="AW35" i="7" s="1"/>
  <c r="AX35" i="7" s="1"/>
  <c r="AY35" i="7" s="1"/>
  <c r="AZ35" i="7" s="1"/>
  <c r="AQ36" i="7"/>
  <c r="AR36" i="7"/>
  <c r="AS36" i="7"/>
  <c r="AT36" i="7" s="1"/>
  <c r="AU36" i="7" s="1"/>
  <c r="AV36" i="7" s="1"/>
  <c r="AW36" i="7" s="1"/>
  <c r="AX36" i="7" s="1"/>
  <c r="AY36" i="7" s="1"/>
  <c r="AZ36" i="7" s="1"/>
  <c r="AQ37" i="7"/>
  <c r="AR37" i="7" s="1"/>
  <c r="AS37" i="7"/>
  <c r="AT37" i="7"/>
  <c r="AU37" i="7" s="1"/>
  <c r="AV37" i="7" s="1"/>
  <c r="AW37" i="7" s="1"/>
  <c r="AX37" i="7" s="1"/>
  <c r="AY37" i="7" s="1"/>
  <c r="AZ37" i="7" s="1"/>
  <c r="AQ38" i="7"/>
  <c r="AR38" i="7" s="1"/>
  <c r="AS38" i="7" s="1"/>
  <c r="AT38" i="7" s="1"/>
  <c r="AU38" i="7"/>
  <c r="AV38" i="7"/>
  <c r="AW38" i="7" s="1"/>
  <c r="AX38" i="7" s="1"/>
  <c r="AY38" i="7" s="1"/>
  <c r="AZ38" i="7" s="1"/>
  <c r="AQ39" i="7"/>
  <c r="AR39" i="7"/>
  <c r="AS39" i="7"/>
  <c r="AT39" i="7" s="1"/>
  <c r="AU39" i="7" s="1"/>
  <c r="AV39" i="7" s="1"/>
  <c r="AW39" i="7"/>
  <c r="AX39" i="7"/>
  <c r="AY39" i="7" s="1"/>
  <c r="AZ39" i="7" s="1"/>
  <c r="AQ40" i="7"/>
  <c r="AR40" i="7" s="1"/>
  <c r="AS40" i="7"/>
  <c r="AT40" i="7"/>
  <c r="AU40" i="7"/>
  <c r="AV40" i="7" s="1"/>
  <c r="AW40" i="7" s="1"/>
  <c r="AX40" i="7" s="1"/>
  <c r="AY40" i="7"/>
  <c r="AZ40" i="7" s="1"/>
  <c r="AQ41" i="7"/>
  <c r="AR41" i="7" s="1"/>
  <c r="AS41" i="7" s="1"/>
  <c r="AT41" i="7" s="1"/>
  <c r="AU41" i="7"/>
  <c r="AV41" i="7"/>
  <c r="AW41" i="7"/>
  <c r="AX41" i="7" s="1"/>
  <c r="AY41" i="7" s="1"/>
  <c r="AZ41" i="7" s="1"/>
  <c r="AQ42" i="7"/>
  <c r="AR42" i="7" s="1"/>
  <c r="AS42" i="7" s="1"/>
  <c r="AT42" i="7" s="1"/>
  <c r="AU42" i="7" s="1"/>
  <c r="AV42" i="7" s="1"/>
  <c r="AW42" i="7" s="1"/>
  <c r="AX42" i="7" s="1"/>
  <c r="AY42" i="7" s="1"/>
  <c r="AZ42" i="7" s="1"/>
  <c r="AQ43" i="7"/>
  <c r="AR43" i="7" s="1"/>
  <c r="AS43" i="7" s="1"/>
  <c r="AT43" i="7" s="1"/>
  <c r="AU43" i="7" s="1"/>
  <c r="AV43" i="7" s="1"/>
  <c r="AW43" i="7" s="1"/>
  <c r="AX43" i="7" s="1"/>
  <c r="AY43" i="7" s="1"/>
  <c r="AZ43" i="7" s="1"/>
  <c r="AQ44" i="7"/>
  <c r="AR44" i="7" s="1"/>
  <c r="AS44" i="7" s="1"/>
  <c r="AT44" i="7" s="1"/>
  <c r="AU44" i="7" s="1"/>
  <c r="AV44" i="7" s="1"/>
  <c r="AW44" i="7" s="1"/>
  <c r="AX44" i="7" s="1"/>
  <c r="AY44" i="7" s="1"/>
  <c r="AZ44" i="7" s="1"/>
  <c r="AQ45" i="7"/>
  <c r="AR45" i="7"/>
  <c r="AS45" i="7"/>
  <c r="AT45" i="7" s="1"/>
  <c r="AU45" i="7" s="1"/>
  <c r="AV45" i="7" s="1"/>
  <c r="AW45" i="7" s="1"/>
  <c r="AX45" i="7" s="1"/>
  <c r="AY45" i="7" s="1"/>
  <c r="AZ45" i="7" s="1"/>
  <c r="AQ46" i="7"/>
  <c r="AR46" i="7" s="1"/>
  <c r="AS46" i="7"/>
  <c r="AT46" i="7"/>
  <c r="AU46" i="7" s="1"/>
  <c r="AV46" i="7" s="1"/>
  <c r="AW46" i="7" s="1"/>
  <c r="AX46" i="7" s="1"/>
  <c r="AY46" i="7" s="1"/>
  <c r="AZ46" i="7" s="1"/>
  <c r="AQ47" i="7"/>
  <c r="AR47" i="7" s="1"/>
  <c r="AS47" i="7" s="1"/>
  <c r="AT47" i="7" s="1"/>
  <c r="AU47" i="7"/>
  <c r="AV47" i="7"/>
  <c r="AW47" i="7" s="1"/>
  <c r="AX47" i="7" s="1"/>
  <c r="AY47" i="7" s="1"/>
  <c r="AZ47" i="7" s="1"/>
  <c r="AQ48" i="7"/>
  <c r="AR48" i="7"/>
  <c r="AS48" i="7"/>
  <c r="AT48" i="7" s="1"/>
  <c r="AU48" i="7" s="1"/>
  <c r="AV48" i="7" s="1"/>
  <c r="AW48" i="7"/>
  <c r="AX48" i="7"/>
  <c r="AY48" i="7" s="1"/>
  <c r="AZ48" i="7" s="1"/>
  <c r="AQ49" i="7"/>
  <c r="AR49" i="7" s="1"/>
  <c r="AS49" i="7"/>
  <c r="AT49" i="7"/>
  <c r="AU49" i="7"/>
  <c r="AV49" i="7" s="1"/>
  <c r="AW49" i="7" s="1"/>
  <c r="AX49" i="7" s="1"/>
  <c r="AY49" i="7"/>
  <c r="AZ49" i="7" s="1"/>
  <c r="AQ50" i="7"/>
  <c r="AR50" i="7" s="1"/>
  <c r="AS50" i="7" s="1"/>
  <c r="AT50" i="7" s="1"/>
  <c r="AU50" i="7"/>
  <c r="AV50" i="7"/>
  <c r="AW50" i="7"/>
  <c r="AX50" i="7" s="1"/>
  <c r="AY50" i="7" s="1"/>
  <c r="AZ50" i="7" s="1"/>
  <c r="AQ51" i="7"/>
  <c r="AR51" i="7" s="1"/>
  <c r="AS51" i="7" s="1"/>
  <c r="AT51" i="7" s="1"/>
  <c r="AU51" i="7" s="1"/>
  <c r="AV51" i="7" s="1"/>
  <c r="AW51" i="7" s="1"/>
  <c r="AX51" i="7" s="1"/>
  <c r="AY51" i="7" s="1"/>
  <c r="AZ51" i="7" s="1"/>
  <c r="AQ52" i="7"/>
  <c r="AR52" i="7" s="1"/>
  <c r="AS52" i="7" s="1"/>
  <c r="AT52" i="7" s="1"/>
  <c r="AU52" i="7" s="1"/>
  <c r="AV52" i="7" s="1"/>
  <c r="AW52" i="7" s="1"/>
  <c r="AX52" i="7" s="1"/>
  <c r="AY52" i="7" s="1"/>
  <c r="AZ52" i="7" s="1"/>
  <c r="AQ53" i="7"/>
  <c r="AR53" i="7" s="1"/>
  <c r="AS53" i="7" s="1"/>
  <c r="AT53" i="7" s="1"/>
  <c r="AU53" i="7" s="1"/>
  <c r="AV53" i="7" s="1"/>
  <c r="AW53" i="7" s="1"/>
  <c r="AX53" i="7" s="1"/>
  <c r="AY53" i="7" s="1"/>
  <c r="AZ53" i="7" s="1"/>
  <c r="AQ54" i="7"/>
  <c r="AR54" i="7"/>
  <c r="AS54" i="7"/>
  <c r="AT54" i="7" s="1"/>
  <c r="AU54" i="7" s="1"/>
  <c r="AV54" i="7" s="1"/>
  <c r="AW54" i="7" s="1"/>
  <c r="AX54" i="7" s="1"/>
  <c r="AY54" i="7" s="1"/>
  <c r="AZ54" i="7" s="1"/>
  <c r="AQ55" i="7"/>
  <c r="AR55" i="7" s="1"/>
  <c r="AS55" i="7"/>
  <c r="AT55" i="7"/>
  <c r="AU55" i="7" s="1"/>
  <c r="AV55" i="7" s="1"/>
  <c r="AW55" i="7" s="1"/>
  <c r="AX55" i="7" s="1"/>
  <c r="AY55" i="7" s="1"/>
  <c r="AZ55" i="7" s="1"/>
  <c r="AQ56" i="7"/>
  <c r="AR56" i="7" s="1"/>
  <c r="AS56" i="7" s="1"/>
  <c r="AT56" i="7" s="1"/>
  <c r="AU56" i="7"/>
  <c r="AV56" i="7"/>
  <c r="AW56" i="7" s="1"/>
  <c r="AX56" i="7" s="1"/>
  <c r="AY56" i="7" s="1"/>
  <c r="AZ56" i="7" s="1"/>
  <c r="AQ57" i="7"/>
  <c r="AR57" i="7"/>
  <c r="AS57" i="7"/>
  <c r="AT57" i="7" s="1"/>
  <c r="AU57" i="7" s="1"/>
  <c r="AV57" i="7" s="1"/>
  <c r="AW57" i="7"/>
  <c r="AX57" i="7"/>
  <c r="AY57" i="7" s="1"/>
  <c r="AZ57" i="7" s="1"/>
  <c r="AQ58" i="7"/>
  <c r="AR58" i="7" s="1"/>
  <c r="AS58" i="7"/>
  <c r="AT58" i="7"/>
  <c r="AU58" i="7"/>
  <c r="AV58" i="7" s="1"/>
  <c r="AW58" i="7" s="1"/>
  <c r="AX58" i="7" s="1"/>
  <c r="AY58" i="7"/>
  <c r="AZ58" i="7" s="1"/>
  <c r="C10" i="7"/>
  <c r="D10" i="7"/>
  <c r="E10" i="7"/>
  <c r="F10" i="7"/>
  <c r="G10" i="7"/>
  <c r="H10" i="7"/>
  <c r="I10" i="7"/>
  <c r="J10" i="7"/>
  <c r="K10" i="7"/>
  <c r="L10" i="7"/>
  <c r="C11" i="7"/>
  <c r="D11" i="7"/>
  <c r="E11" i="7"/>
  <c r="F11" i="7"/>
  <c r="G11" i="7"/>
  <c r="H11" i="7"/>
  <c r="I11" i="7"/>
  <c r="J11" i="7"/>
  <c r="K11" i="7"/>
  <c r="L11" i="7"/>
  <c r="C12" i="7"/>
  <c r="D12" i="7"/>
  <c r="E12" i="7"/>
  <c r="F12" i="7"/>
  <c r="G12" i="7"/>
  <c r="H12" i="7"/>
  <c r="I12" i="7"/>
  <c r="J12" i="7"/>
  <c r="K12" i="7"/>
  <c r="C13" i="7"/>
  <c r="D13" i="7"/>
  <c r="E13" i="7"/>
  <c r="F13" i="7"/>
  <c r="G13" i="7"/>
  <c r="H13" i="7"/>
  <c r="I13" i="7"/>
  <c r="J13" i="7"/>
  <c r="K13" i="7"/>
  <c r="L13" i="7"/>
  <c r="C14" i="7"/>
  <c r="D14" i="7"/>
  <c r="E14" i="7"/>
  <c r="F14" i="7"/>
  <c r="G14" i="7"/>
  <c r="H14" i="7"/>
  <c r="I14" i="7"/>
  <c r="J14" i="7"/>
  <c r="K14" i="7"/>
  <c r="L14" i="7"/>
  <c r="C15" i="7"/>
  <c r="D15" i="7"/>
  <c r="E15" i="7"/>
  <c r="F15" i="7"/>
  <c r="G15" i="7"/>
  <c r="H15" i="7"/>
  <c r="I15" i="7"/>
  <c r="J15" i="7"/>
  <c r="K15" i="7"/>
  <c r="L15" i="7"/>
  <c r="C16" i="7"/>
  <c r="D16" i="7"/>
  <c r="E16" i="7"/>
  <c r="F16" i="7"/>
  <c r="G16" i="7"/>
  <c r="H16" i="7"/>
  <c r="I16" i="7"/>
  <c r="J16" i="7"/>
  <c r="K16" i="7"/>
  <c r="L16" i="7"/>
  <c r="C17" i="7"/>
  <c r="D17" i="7"/>
  <c r="E17" i="7"/>
  <c r="F17" i="7"/>
  <c r="G17" i="7"/>
  <c r="H17" i="7"/>
  <c r="I17" i="7"/>
  <c r="J17" i="7"/>
  <c r="K17" i="7"/>
  <c r="L17" i="7"/>
  <c r="C18" i="7"/>
  <c r="D18" i="7"/>
  <c r="E18" i="7"/>
  <c r="F18" i="7"/>
  <c r="G18" i="7"/>
  <c r="H18" i="7"/>
  <c r="I18" i="7"/>
  <c r="J18" i="7"/>
  <c r="K18" i="7"/>
  <c r="L18" i="7"/>
  <c r="C19" i="7"/>
  <c r="D19" i="7"/>
  <c r="E19" i="7"/>
  <c r="F19" i="7"/>
  <c r="G19" i="7"/>
  <c r="H19" i="7"/>
  <c r="I19" i="7"/>
  <c r="J19" i="7"/>
  <c r="K19" i="7"/>
  <c r="L19" i="7"/>
  <c r="C20" i="7"/>
  <c r="D20" i="7"/>
  <c r="E20" i="7"/>
  <c r="F20" i="7"/>
  <c r="G20" i="7"/>
  <c r="H20" i="7"/>
  <c r="I20" i="7"/>
  <c r="J20" i="7"/>
  <c r="K20" i="7"/>
  <c r="L20" i="7"/>
  <c r="C21" i="7"/>
  <c r="D21" i="7"/>
  <c r="E21" i="7"/>
  <c r="F21" i="7"/>
  <c r="G21" i="7"/>
  <c r="H21" i="7"/>
  <c r="I21" i="7"/>
  <c r="J21" i="7"/>
  <c r="K21" i="7"/>
  <c r="L21" i="7"/>
  <c r="C22" i="7"/>
  <c r="D22" i="7"/>
  <c r="E22" i="7"/>
  <c r="F22" i="7"/>
  <c r="G22" i="7"/>
  <c r="H22" i="7"/>
  <c r="I22" i="7"/>
  <c r="J22" i="7"/>
  <c r="K22" i="7"/>
  <c r="L22" i="7"/>
  <c r="C23" i="7"/>
  <c r="D23" i="7"/>
  <c r="E23" i="7"/>
  <c r="F23" i="7"/>
  <c r="G23" i="7"/>
  <c r="H23" i="7"/>
  <c r="I23" i="7"/>
  <c r="J23" i="7"/>
  <c r="K23" i="7"/>
  <c r="L23" i="7"/>
  <c r="C24" i="7"/>
  <c r="D24" i="7"/>
  <c r="E24" i="7"/>
  <c r="F24" i="7"/>
  <c r="G24" i="7"/>
  <c r="H24" i="7"/>
  <c r="I24" i="7"/>
  <c r="J24" i="7"/>
  <c r="K24" i="7"/>
  <c r="L24" i="7"/>
  <c r="C25" i="7"/>
  <c r="D25" i="7"/>
  <c r="E25" i="7"/>
  <c r="F25" i="7"/>
  <c r="G25" i="7"/>
  <c r="H25" i="7"/>
  <c r="I25" i="7"/>
  <c r="J25" i="7"/>
  <c r="K25" i="7"/>
  <c r="L25" i="7"/>
  <c r="C26" i="7"/>
  <c r="D26" i="7"/>
  <c r="E26" i="7"/>
  <c r="F26" i="7"/>
  <c r="G26" i="7"/>
  <c r="H26" i="7"/>
  <c r="I26" i="7"/>
  <c r="J26" i="7"/>
  <c r="K26" i="7"/>
  <c r="L26" i="7"/>
  <c r="C27" i="7"/>
  <c r="D27" i="7"/>
  <c r="E27" i="7"/>
  <c r="F27" i="7"/>
  <c r="G27" i="7"/>
  <c r="H27" i="7"/>
  <c r="I27" i="7"/>
  <c r="J27" i="7"/>
  <c r="K27" i="7"/>
  <c r="L27" i="7"/>
  <c r="C28" i="7"/>
  <c r="D28" i="7"/>
  <c r="E28" i="7"/>
  <c r="F28" i="7"/>
  <c r="G28" i="7"/>
  <c r="H28" i="7"/>
  <c r="I28" i="7"/>
  <c r="J28" i="7"/>
  <c r="K28" i="7"/>
  <c r="L28" i="7"/>
  <c r="C29" i="7"/>
  <c r="D29" i="7"/>
  <c r="E29" i="7"/>
  <c r="F29" i="7"/>
  <c r="G29" i="7"/>
  <c r="H29" i="7"/>
  <c r="I29" i="7"/>
  <c r="J29" i="7"/>
  <c r="K29" i="7"/>
  <c r="L29" i="7"/>
  <c r="C30" i="7"/>
  <c r="D30" i="7"/>
  <c r="E30" i="7"/>
  <c r="F30" i="7"/>
  <c r="G30" i="7"/>
  <c r="H30" i="7"/>
  <c r="I30" i="7"/>
  <c r="J30" i="7"/>
  <c r="K30" i="7"/>
  <c r="L30" i="7"/>
  <c r="C31" i="7"/>
  <c r="D31" i="7"/>
  <c r="E31" i="7"/>
  <c r="F31" i="7"/>
  <c r="G31" i="7"/>
  <c r="H31" i="7"/>
  <c r="I31" i="7"/>
  <c r="J31" i="7"/>
  <c r="K31" i="7"/>
  <c r="L31" i="7"/>
  <c r="C32" i="7"/>
  <c r="D32" i="7"/>
  <c r="E32" i="7"/>
  <c r="F32" i="7"/>
  <c r="G32" i="7"/>
  <c r="H32" i="7"/>
  <c r="I32" i="7"/>
  <c r="J32" i="7"/>
  <c r="K32" i="7"/>
  <c r="L32" i="7"/>
  <c r="C33" i="7"/>
  <c r="D33" i="7"/>
  <c r="E33" i="7"/>
  <c r="F33" i="7"/>
  <c r="G33" i="7"/>
  <c r="H33" i="7"/>
  <c r="I33" i="7"/>
  <c r="J33" i="7"/>
  <c r="K33" i="7"/>
  <c r="L33" i="7"/>
  <c r="C34" i="7"/>
  <c r="D34" i="7"/>
  <c r="E34" i="7"/>
  <c r="F34" i="7"/>
  <c r="G34" i="7"/>
  <c r="H34" i="7"/>
  <c r="I34" i="7"/>
  <c r="J34" i="7"/>
  <c r="K34" i="7"/>
  <c r="L34" i="7"/>
  <c r="C35" i="7"/>
  <c r="D35" i="7"/>
  <c r="E35" i="7"/>
  <c r="F35" i="7"/>
  <c r="G35" i="7"/>
  <c r="H35" i="7"/>
  <c r="I35" i="7"/>
  <c r="J35" i="7"/>
  <c r="K35" i="7"/>
  <c r="L35" i="7"/>
  <c r="C36" i="7"/>
  <c r="D36" i="7"/>
  <c r="E36" i="7"/>
  <c r="F36" i="7"/>
  <c r="G36" i="7"/>
  <c r="H36" i="7"/>
  <c r="I36" i="7"/>
  <c r="J36" i="7"/>
  <c r="K36" i="7"/>
  <c r="L36" i="7"/>
  <c r="C37" i="7"/>
  <c r="D37" i="7"/>
  <c r="E37" i="7"/>
  <c r="F37" i="7"/>
  <c r="G37" i="7"/>
  <c r="H37" i="7"/>
  <c r="I37" i="7"/>
  <c r="J37" i="7"/>
  <c r="K37" i="7"/>
  <c r="L37" i="7"/>
  <c r="C38" i="7"/>
  <c r="D38" i="7"/>
  <c r="E38" i="7"/>
  <c r="F38" i="7"/>
  <c r="G38" i="7"/>
  <c r="H38" i="7"/>
  <c r="I38" i="7"/>
  <c r="J38" i="7"/>
  <c r="K38" i="7"/>
  <c r="L38" i="7"/>
  <c r="C39" i="7"/>
  <c r="D39" i="7"/>
  <c r="E39" i="7"/>
  <c r="F39" i="7"/>
  <c r="G39" i="7"/>
  <c r="H39" i="7"/>
  <c r="I39" i="7"/>
  <c r="J39" i="7"/>
  <c r="K39" i="7"/>
  <c r="L39" i="7"/>
  <c r="C40" i="7"/>
  <c r="D40" i="7"/>
  <c r="E40" i="7"/>
  <c r="F40" i="7"/>
  <c r="G40" i="7"/>
  <c r="H40" i="7"/>
  <c r="I40" i="7"/>
  <c r="J40" i="7"/>
  <c r="K40" i="7"/>
  <c r="L40" i="7"/>
  <c r="C41" i="7"/>
  <c r="D41" i="7"/>
  <c r="E41" i="7"/>
  <c r="F41" i="7"/>
  <c r="G41" i="7"/>
  <c r="H41" i="7"/>
  <c r="I41" i="7"/>
  <c r="J41" i="7"/>
  <c r="K41" i="7"/>
  <c r="L41" i="7"/>
  <c r="C42" i="7"/>
  <c r="D42" i="7"/>
  <c r="E42" i="7"/>
  <c r="F42" i="7"/>
  <c r="G42" i="7"/>
  <c r="H42" i="7"/>
  <c r="I42" i="7"/>
  <c r="J42" i="7"/>
  <c r="K42" i="7"/>
  <c r="L42" i="7"/>
  <c r="C43" i="7"/>
  <c r="D43" i="7"/>
  <c r="E43" i="7"/>
  <c r="F43" i="7"/>
  <c r="G43" i="7"/>
  <c r="H43" i="7"/>
  <c r="I43" i="7"/>
  <c r="J43" i="7"/>
  <c r="K43" i="7"/>
  <c r="L43" i="7"/>
  <c r="C44" i="7"/>
  <c r="D44" i="7"/>
  <c r="E44" i="7"/>
  <c r="F44" i="7"/>
  <c r="G44" i="7"/>
  <c r="H44" i="7"/>
  <c r="I44" i="7"/>
  <c r="J44" i="7"/>
  <c r="K44" i="7"/>
  <c r="L44" i="7"/>
  <c r="C45" i="7"/>
  <c r="D45" i="7"/>
  <c r="E45" i="7"/>
  <c r="F45" i="7"/>
  <c r="G45" i="7"/>
  <c r="H45" i="7"/>
  <c r="I45" i="7"/>
  <c r="J45" i="7"/>
  <c r="K45" i="7"/>
  <c r="L45" i="7"/>
  <c r="C46" i="7"/>
  <c r="D46" i="7"/>
  <c r="E46" i="7"/>
  <c r="F46" i="7"/>
  <c r="G46" i="7"/>
  <c r="H46" i="7"/>
  <c r="I46" i="7"/>
  <c r="J46" i="7"/>
  <c r="K46" i="7"/>
  <c r="L46" i="7"/>
  <c r="C47" i="7"/>
  <c r="D47" i="7"/>
  <c r="E47" i="7"/>
  <c r="F47" i="7"/>
  <c r="G47" i="7"/>
  <c r="H47" i="7"/>
  <c r="I47" i="7"/>
  <c r="J47" i="7"/>
  <c r="K47" i="7"/>
  <c r="L47" i="7"/>
  <c r="C48" i="7"/>
  <c r="D48" i="7"/>
  <c r="E48" i="7"/>
  <c r="F48" i="7"/>
  <c r="G48" i="7"/>
  <c r="H48" i="7"/>
  <c r="I48" i="7"/>
  <c r="J48" i="7"/>
  <c r="K48" i="7"/>
  <c r="L48" i="7"/>
  <c r="C49" i="7"/>
  <c r="D49" i="7"/>
  <c r="E49" i="7"/>
  <c r="F49" i="7"/>
  <c r="G49" i="7"/>
  <c r="H49" i="7"/>
  <c r="I49" i="7"/>
  <c r="J49" i="7"/>
  <c r="K49" i="7"/>
  <c r="L49" i="7"/>
  <c r="C50" i="7"/>
  <c r="D50" i="7"/>
  <c r="E50" i="7"/>
  <c r="F50" i="7"/>
  <c r="G50" i="7"/>
  <c r="H50" i="7"/>
  <c r="I50" i="7"/>
  <c r="J50" i="7"/>
  <c r="K50" i="7"/>
  <c r="L50" i="7"/>
  <c r="C51" i="7"/>
  <c r="D51" i="7"/>
  <c r="E51" i="7"/>
  <c r="F51" i="7"/>
  <c r="G51" i="7"/>
  <c r="H51" i="7"/>
  <c r="I51" i="7"/>
  <c r="J51" i="7"/>
  <c r="K51" i="7"/>
  <c r="L51" i="7"/>
  <c r="C52" i="7"/>
  <c r="D52" i="7"/>
  <c r="E52" i="7"/>
  <c r="F52" i="7"/>
  <c r="G52" i="7"/>
  <c r="H52" i="7"/>
  <c r="I52" i="7"/>
  <c r="J52" i="7"/>
  <c r="K52" i="7"/>
  <c r="L52" i="7"/>
  <c r="C53" i="7"/>
  <c r="D53" i="7"/>
  <c r="E53" i="7"/>
  <c r="F53" i="7"/>
  <c r="G53" i="7"/>
  <c r="H53" i="7"/>
  <c r="I53" i="7"/>
  <c r="J53" i="7"/>
  <c r="K53" i="7"/>
  <c r="L53" i="7"/>
  <c r="C54" i="7"/>
  <c r="D54" i="7"/>
  <c r="E54" i="7"/>
  <c r="F54" i="7"/>
  <c r="G54" i="7"/>
  <c r="H54" i="7"/>
  <c r="I54" i="7"/>
  <c r="J54" i="7"/>
  <c r="K54" i="7"/>
  <c r="L54" i="7"/>
  <c r="C55" i="7"/>
  <c r="D55" i="7"/>
  <c r="E55" i="7"/>
  <c r="F55" i="7"/>
  <c r="G55" i="7"/>
  <c r="H55" i="7"/>
  <c r="I55" i="7"/>
  <c r="J55" i="7"/>
  <c r="K55" i="7"/>
  <c r="L55" i="7"/>
  <c r="C56" i="7"/>
  <c r="D56" i="7"/>
  <c r="E56" i="7"/>
  <c r="F56" i="7"/>
  <c r="G56" i="7"/>
  <c r="H56" i="7"/>
  <c r="I56" i="7"/>
  <c r="J56" i="7"/>
  <c r="K56" i="7"/>
  <c r="L56" i="7"/>
  <c r="C57" i="7"/>
  <c r="D57" i="7"/>
  <c r="E57" i="7"/>
  <c r="F57" i="7"/>
  <c r="G57" i="7"/>
  <c r="H57" i="7"/>
  <c r="I57" i="7"/>
  <c r="J57" i="7"/>
  <c r="K57" i="7"/>
  <c r="L57" i="7"/>
  <c r="C58" i="7"/>
  <c r="D58" i="7"/>
  <c r="E58" i="7"/>
  <c r="F58" i="7"/>
  <c r="G58" i="7"/>
  <c r="H58" i="7"/>
  <c r="I58" i="7"/>
  <c r="J58" i="7"/>
  <c r="K58" i="7"/>
  <c r="L58" i="7"/>
  <c r="L9" i="7"/>
  <c r="K9" i="7"/>
  <c r="J9" i="7"/>
  <c r="I9" i="7"/>
  <c r="H9" i="7"/>
  <c r="G9" i="7"/>
  <c r="F9" i="7"/>
  <c r="E9" i="7"/>
  <c r="D9" i="7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3" i="14"/>
  <c r="V32" i="14" l="1"/>
  <c r="G37" i="15"/>
  <c r="M35" i="15"/>
  <c r="S23" i="15"/>
  <c r="S27" i="15"/>
  <c r="M29" i="15"/>
  <c r="G31" i="15"/>
  <c r="Y27" i="15"/>
  <c r="S37" i="15"/>
  <c r="G43" i="15"/>
  <c r="AE32" i="15"/>
  <c r="M41" i="15"/>
  <c r="Y41" i="15"/>
  <c r="G49" i="15"/>
  <c r="AE39" i="15"/>
  <c r="M52" i="15"/>
  <c r="Y45" i="15"/>
  <c r="AE48" i="15"/>
  <c r="G56" i="15"/>
  <c r="Y51" i="15"/>
  <c r="S53" i="15"/>
  <c r="AE51" i="15"/>
  <c r="AE26" i="15"/>
  <c r="G32" i="15"/>
  <c r="M36" i="15"/>
  <c r="S46" i="15"/>
  <c r="AE27" i="15"/>
  <c r="G44" i="15"/>
  <c r="G26" i="15"/>
  <c r="M47" i="15"/>
  <c r="S28" i="15"/>
  <c r="S52" i="15"/>
  <c r="Y40" i="15"/>
  <c r="AE38" i="15"/>
  <c r="S47" i="15"/>
  <c r="Y34" i="15"/>
  <c r="G25" i="15"/>
  <c r="M24" i="15"/>
  <c r="S35" i="15"/>
  <c r="AE20" i="15"/>
  <c r="G38" i="15"/>
  <c r="M54" i="15"/>
  <c r="S40" i="15"/>
  <c r="AE21" i="15"/>
  <c r="S34" i="15"/>
  <c r="M42" i="15"/>
  <c r="AE33" i="15"/>
  <c r="G54" i="15"/>
  <c r="G48" i="15"/>
  <c r="G42" i="15"/>
  <c r="G36" i="15"/>
  <c r="G30" i="15"/>
  <c r="M25" i="15"/>
  <c r="M31" i="15"/>
  <c r="M37" i="15"/>
  <c r="M43" i="15"/>
  <c r="M49" i="15"/>
  <c r="M55" i="15"/>
  <c r="A55" i="15" s="1"/>
  <c r="S24" i="15"/>
  <c r="S30" i="15"/>
  <c r="S36" i="15"/>
  <c r="S48" i="15"/>
  <c r="Y29" i="15"/>
  <c r="Y35" i="15"/>
  <c r="AE22" i="15"/>
  <c r="AE28" i="15"/>
  <c r="AE34" i="15"/>
  <c r="AE40" i="15"/>
  <c r="AE46" i="15"/>
  <c r="G53" i="15"/>
  <c r="G47" i="15"/>
  <c r="G41" i="15"/>
  <c r="G35" i="15"/>
  <c r="G29" i="15"/>
  <c r="M26" i="15"/>
  <c r="M32" i="15"/>
  <c r="M38" i="15"/>
  <c r="M44" i="15"/>
  <c r="M50" i="15"/>
  <c r="A50" i="15" s="1"/>
  <c r="M56" i="15"/>
  <c r="S25" i="15"/>
  <c r="S31" i="15"/>
  <c r="Y30" i="15"/>
  <c r="Y36" i="15"/>
  <c r="Y42" i="15"/>
  <c r="AE23" i="15"/>
  <c r="AE29" i="15"/>
  <c r="AE35" i="15"/>
  <c r="AE41" i="15"/>
  <c r="AE47" i="15"/>
  <c r="Y33" i="15"/>
  <c r="Y39" i="15"/>
  <c r="AP56" i="6"/>
  <c r="AQ56" i="6" s="1"/>
  <c r="C31" i="13"/>
  <c r="C27" i="13"/>
  <c r="C23" i="13"/>
  <c r="C15" i="13"/>
  <c r="C35" i="13"/>
  <c r="C19" i="13"/>
  <c r="C39" i="13"/>
  <c r="C11" i="13"/>
  <c r="S29" i="15"/>
  <c r="G52" i="15"/>
  <c r="G46" i="15"/>
  <c r="G34" i="15"/>
  <c r="G28" i="15"/>
  <c r="M33" i="15"/>
  <c r="M39" i="15"/>
  <c r="M45" i="15"/>
  <c r="M51" i="15"/>
  <c r="S26" i="15"/>
  <c r="S32" i="15"/>
  <c r="S44" i="15"/>
  <c r="Y25" i="15"/>
  <c r="Y37" i="15"/>
  <c r="Y43" i="15"/>
  <c r="Y49" i="15"/>
  <c r="AE24" i="15"/>
  <c r="M30" i="15"/>
  <c r="Y28" i="15"/>
  <c r="G39" i="15"/>
  <c r="M28" i="15"/>
  <c r="M40" i="15"/>
  <c r="M46" i="15"/>
  <c r="S33" i="15"/>
  <c r="S51" i="15"/>
  <c r="Y26" i="15"/>
  <c r="AE19" i="15"/>
  <c r="AP7" i="6"/>
  <c r="A57" i="15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3" i="14"/>
  <c r="A54" i="15" l="1"/>
  <c r="L57" i="12" s="1"/>
  <c r="A53" i="15"/>
  <c r="A48" i="15"/>
  <c r="A45" i="15"/>
  <c r="A38" i="15"/>
  <c r="A37" i="15"/>
  <c r="A27" i="15"/>
  <c r="A25" i="15"/>
  <c r="A41" i="15"/>
  <c r="A47" i="15"/>
  <c r="A36" i="15"/>
  <c r="A31" i="15"/>
  <c r="A32" i="15"/>
  <c r="A30" i="15"/>
  <c r="A51" i="15"/>
  <c r="A56" i="15"/>
  <c r="A29" i="15"/>
  <c r="A40" i="15"/>
  <c r="A42" i="15"/>
  <c r="A49" i="15"/>
  <c r="A39" i="15"/>
  <c r="A52" i="15"/>
  <c r="A33" i="15"/>
  <c r="A35" i="15"/>
  <c r="A34" i="15"/>
  <c r="A28" i="15"/>
  <c r="A46" i="15"/>
  <c r="A43" i="15"/>
  <c r="A44" i="15"/>
  <c r="A26" i="15"/>
  <c r="C7" i="13"/>
  <c r="AQ7" i="6"/>
  <c r="L60" i="12"/>
  <c r="L58" i="12"/>
  <c r="L53" i="12"/>
  <c r="AF60" i="12"/>
  <c r="O57" i="15" l="1"/>
  <c r="L56" i="12"/>
  <c r="L51" i="12"/>
  <c r="L49" i="12"/>
  <c r="L48" i="12"/>
  <c r="L41" i="12"/>
  <c r="L40" i="12"/>
  <c r="L54" i="12"/>
  <c r="L52" i="12"/>
  <c r="L50" i="12"/>
  <c r="L44" i="12"/>
  <c r="L43" i="12"/>
  <c r="L42" i="12"/>
  <c r="L39" i="12"/>
  <c r="L34" i="12"/>
  <c r="L33" i="12"/>
  <c r="L32" i="12"/>
  <c r="L31" i="12"/>
  <c r="L30" i="12"/>
  <c r="L28" i="12"/>
  <c r="L38" i="12"/>
  <c r="L45" i="12"/>
  <c r="L35" i="12"/>
  <c r="L29" i="12"/>
  <c r="L46" i="12"/>
  <c r="L59" i="12"/>
  <c r="L55" i="12"/>
  <c r="L36" i="12"/>
  <c r="L37" i="12"/>
  <c r="L47" i="12"/>
  <c r="Y52" i="14"/>
  <c r="L105" i="10"/>
  <c r="M106" i="10"/>
  <c r="N107" i="10"/>
  <c r="O108" i="10"/>
  <c r="K104" i="10"/>
  <c r="R52" i="14"/>
  <c r="Q12" i="12"/>
  <c r="S12" i="12"/>
  <c r="AA12" i="12"/>
  <c r="Q13" i="12"/>
  <c r="S13" i="12"/>
  <c r="E24" i="18" s="1"/>
  <c r="F24" i="18" s="1"/>
  <c r="AA13" i="12"/>
  <c r="Q14" i="12"/>
  <c r="S14" i="12"/>
  <c r="AA14" i="12"/>
  <c r="M25" i="18" s="1"/>
  <c r="N25" i="18" s="1"/>
  <c r="Q15" i="12"/>
  <c r="S15" i="12"/>
  <c r="AA15" i="12"/>
  <c r="M26" i="18" s="1"/>
  <c r="N26" i="18" s="1"/>
  <c r="Q16" i="12"/>
  <c r="S16" i="12"/>
  <c r="AA16" i="12"/>
  <c r="Q17" i="12"/>
  <c r="S17" i="12"/>
  <c r="AA17" i="12"/>
  <c r="Q18" i="12"/>
  <c r="S18" i="12"/>
  <c r="AA18" i="12"/>
  <c r="Q19" i="12"/>
  <c r="S19" i="12"/>
  <c r="AA19" i="12"/>
  <c r="Q20" i="12"/>
  <c r="S20" i="12"/>
  <c r="AA20" i="12"/>
  <c r="Q21" i="12"/>
  <c r="S21" i="12"/>
  <c r="E32" i="18" s="1"/>
  <c r="F32" i="18" s="1"/>
  <c r="AA21" i="12"/>
  <c r="Q22" i="12"/>
  <c r="S22" i="12"/>
  <c r="E33" i="18" s="1"/>
  <c r="F33" i="18" s="1"/>
  <c r="AA22" i="12"/>
  <c r="Q23" i="12"/>
  <c r="S23" i="12"/>
  <c r="AA23" i="12"/>
  <c r="M34" i="18" s="1"/>
  <c r="N34" i="18" s="1"/>
  <c r="Q24" i="12"/>
  <c r="S24" i="12"/>
  <c r="E35" i="18" s="1"/>
  <c r="F35" i="18" s="1"/>
  <c r="AA24" i="12"/>
  <c r="M35" i="18" s="1"/>
  <c r="N35" i="18" s="1"/>
  <c r="Q25" i="12"/>
  <c r="S25" i="12"/>
  <c r="E36" i="18" s="1"/>
  <c r="F36" i="18" s="1"/>
  <c r="AA25" i="12"/>
  <c r="Q26" i="12"/>
  <c r="S26" i="12"/>
  <c r="AA26" i="12"/>
  <c r="M37" i="18" s="1"/>
  <c r="N37" i="18" s="1"/>
  <c r="Q27" i="12"/>
  <c r="S27" i="12"/>
  <c r="AA27" i="12"/>
  <c r="M38" i="18" s="1"/>
  <c r="N38" i="18" s="1"/>
  <c r="Q28" i="12"/>
  <c r="S28" i="12"/>
  <c r="AA28" i="12"/>
  <c r="Q29" i="12"/>
  <c r="S29" i="12"/>
  <c r="AA29" i="12"/>
  <c r="Q30" i="12"/>
  <c r="S30" i="12"/>
  <c r="E41" i="18" s="1"/>
  <c r="F41" i="18" s="1"/>
  <c r="AA30" i="12"/>
  <c r="Q31" i="12"/>
  <c r="S31" i="12"/>
  <c r="E42" i="18" s="1"/>
  <c r="F42" i="18" s="1"/>
  <c r="AA31" i="12"/>
  <c r="Q32" i="12"/>
  <c r="S32" i="12"/>
  <c r="AA32" i="12"/>
  <c r="M43" i="18" s="1"/>
  <c r="N43" i="18" s="1"/>
  <c r="Q33" i="12"/>
  <c r="S33" i="12"/>
  <c r="AA33" i="12"/>
  <c r="M44" i="18" s="1"/>
  <c r="N44" i="18" s="1"/>
  <c r="Q34" i="12"/>
  <c r="S34" i="12"/>
  <c r="AA34" i="12"/>
  <c r="Q35" i="12"/>
  <c r="S35" i="12"/>
  <c r="AA35" i="12"/>
  <c r="Q36" i="12"/>
  <c r="S36" i="12"/>
  <c r="AA36" i="12"/>
  <c r="Q37" i="12"/>
  <c r="S37" i="12"/>
  <c r="AA37" i="12"/>
  <c r="Q38" i="12"/>
  <c r="S38" i="12"/>
  <c r="AA38" i="12"/>
  <c r="Q39" i="12"/>
  <c r="S39" i="12"/>
  <c r="E50" i="18" s="1"/>
  <c r="F50" i="18" s="1"/>
  <c r="AA39" i="12"/>
  <c r="Q40" i="12"/>
  <c r="S40" i="12"/>
  <c r="E51" i="18" s="1"/>
  <c r="F51" i="18" s="1"/>
  <c r="AA40" i="12"/>
  <c r="Q41" i="12"/>
  <c r="S41" i="12"/>
  <c r="AA41" i="12"/>
  <c r="M52" i="18" s="1"/>
  <c r="N52" i="18" s="1"/>
  <c r="Q42" i="12"/>
  <c r="S42" i="12"/>
  <c r="E53" i="18" s="1"/>
  <c r="F53" i="18" s="1"/>
  <c r="AA42" i="12"/>
  <c r="M53" i="18" s="1"/>
  <c r="N53" i="18" s="1"/>
  <c r="Q43" i="12"/>
  <c r="S43" i="12"/>
  <c r="E54" i="18" s="1"/>
  <c r="F54" i="18" s="1"/>
  <c r="AA43" i="12"/>
  <c r="Q44" i="12"/>
  <c r="S44" i="12"/>
  <c r="AA44" i="12"/>
  <c r="M55" i="18" s="1"/>
  <c r="N55" i="18" s="1"/>
  <c r="Q45" i="12"/>
  <c r="S45" i="12"/>
  <c r="AA45" i="12"/>
  <c r="M56" i="18" s="1"/>
  <c r="N56" i="18" s="1"/>
  <c r="Q46" i="12"/>
  <c r="S46" i="12"/>
  <c r="AA46" i="12"/>
  <c r="Q47" i="12"/>
  <c r="S47" i="12"/>
  <c r="AA47" i="12"/>
  <c r="Q48" i="12"/>
  <c r="S48" i="12"/>
  <c r="E59" i="18" s="1"/>
  <c r="F59" i="18" s="1"/>
  <c r="AA48" i="12"/>
  <c r="M59" i="18" s="1"/>
  <c r="N59" i="18" s="1"/>
  <c r="Q49" i="12"/>
  <c r="S49" i="12"/>
  <c r="E60" i="18" s="1"/>
  <c r="F60" i="18" s="1"/>
  <c r="AA49" i="12"/>
  <c r="Q50" i="12"/>
  <c r="S50" i="12"/>
  <c r="AA50" i="12"/>
  <c r="M61" i="18" s="1"/>
  <c r="N61" i="18" s="1"/>
  <c r="Q51" i="12"/>
  <c r="S51" i="12"/>
  <c r="E62" i="18" s="1"/>
  <c r="F62" i="18" s="1"/>
  <c r="AA51" i="12"/>
  <c r="M62" i="18" s="1"/>
  <c r="N62" i="18" s="1"/>
  <c r="Q52" i="12"/>
  <c r="S52" i="12"/>
  <c r="E63" i="18" s="1"/>
  <c r="F63" i="18" s="1"/>
  <c r="AA52" i="12"/>
  <c r="Q53" i="12"/>
  <c r="S53" i="12"/>
  <c r="AA53" i="12"/>
  <c r="M64" i="18" s="1"/>
  <c r="N64" i="18" s="1"/>
  <c r="Q54" i="12"/>
  <c r="S54" i="12"/>
  <c r="E65" i="18" s="1"/>
  <c r="F65" i="18" s="1"/>
  <c r="AA54" i="12"/>
  <c r="M65" i="18" s="1"/>
  <c r="N65" i="18" s="1"/>
  <c r="Q55" i="12"/>
  <c r="S55" i="12"/>
  <c r="E66" i="18" s="1"/>
  <c r="F66" i="18" s="1"/>
  <c r="AA55" i="12"/>
  <c r="Q56" i="12"/>
  <c r="S56" i="12"/>
  <c r="AA56" i="12"/>
  <c r="M67" i="18" s="1"/>
  <c r="N67" i="18" s="1"/>
  <c r="Q57" i="12"/>
  <c r="S57" i="12"/>
  <c r="AA57" i="12"/>
  <c r="M68" i="18" s="1"/>
  <c r="N68" i="18" s="1"/>
  <c r="Q58" i="12"/>
  <c r="S58" i="12"/>
  <c r="E69" i="18" s="1"/>
  <c r="F69" i="18" s="1"/>
  <c r="AA58" i="12"/>
  <c r="Q59" i="12"/>
  <c r="S59" i="12"/>
  <c r="AA59" i="12"/>
  <c r="Q60" i="12"/>
  <c r="S60" i="12"/>
  <c r="O52" i="14"/>
  <c r="X60" i="12"/>
  <c r="AA60" i="12"/>
  <c r="M71" i="18" s="1"/>
  <c r="N71" i="18" s="1"/>
  <c r="AD60" i="12"/>
  <c r="AA11" i="12"/>
  <c r="S11" i="12"/>
  <c r="Q11" i="12"/>
  <c r="P12" i="12"/>
  <c r="P13" i="12"/>
  <c r="X13" i="12" s="1"/>
  <c r="P14" i="12"/>
  <c r="P15" i="12"/>
  <c r="P16" i="12"/>
  <c r="X16" i="12" s="1"/>
  <c r="P17" i="12"/>
  <c r="P18" i="12"/>
  <c r="P19" i="12"/>
  <c r="P20" i="12"/>
  <c r="P21" i="12"/>
  <c r="P22" i="12"/>
  <c r="Z22" i="12" s="1"/>
  <c r="R14" i="14" s="1"/>
  <c r="P23" i="12"/>
  <c r="P24" i="12"/>
  <c r="P25" i="12"/>
  <c r="P26" i="12"/>
  <c r="P27" i="12"/>
  <c r="P28" i="12"/>
  <c r="P29" i="12"/>
  <c r="P30" i="12"/>
  <c r="P31" i="12"/>
  <c r="P32" i="12"/>
  <c r="P33" i="12"/>
  <c r="P34" i="12"/>
  <c r="X34" i="12" s="1"/>
  <c r="P35" i="12"/>
  <c r="P36" i="12"/>
  <c r="AD36" i="12" s="1"/>
  <c r="P37" i="12"/>
  <c r="P38" i="12"/>
  <c r="P39" i="12"/>
  <c r="AD39" i="12" s="1"/>
  <c r="P40" i="12"/>
  <c r="Z40" i="12" s="1"/>
  <c r="P41" i="12"/>
  <c r="X41" i="12" s="1"/>
  <c r="P42" i="12"/>
  <c r="AB42" i="12" s="1"/>
  <c r="P43" i="12"/>
  <c r="P44" i="12"/>
  <c r="R44" i="12" s="1"/>
  <c r="M36" i="14" s="1"/>
  <c r="P45" i="12"/>
  <c r="P46" i="12"/>
  <c r="P47" i="12"/>
  <c r="Z47" i="12" s="1"/>
  <c r="P48" i="12"/>
  <c r="X48" i="12" s="1"/>
  <c r="P49" i="12"/>
  <c r="R49" i="12" s="1"/>
  <c r="M41" i="14" s="1"/>
  <c r="P50" i="12"/>
  <c r="Z50" i="12" s="1"/>
  <c r="P51" i="12"/>
  <c r="X51" i="12" s="1"/>
  <c r="P52" i="12"/>
  <c r="P53" i="12"/>
  <c r="Z53" i="12" s="1"/>
  <c r="P54" i="12"/>
  <c r="X54" i="12" s="1"/>
  <c r="P55" i="12"/>
  <c r="Z55" i="12" s="1"/>
  <c r="P56" i="12"/>
  <c r="Z56" i="12" s="1"/>
  <c r="P57" i="12"/>
  <c r="P58" i="12"/>
  <c r="P59" i="12"/>
  <c r="R59" i="12" s="1"/>
  <c r="M51" i="14" s="1"/>
  <c r="P11" i="12"/>
  <c r="AD11" i="12" s="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11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12" i="11"/>
  <c r="N11" i="11"/>
  <c r="F96" i="10"/>
  <c r="O97" i="10"/>
  <c r="H98" i="10"/>
  <c r="J99" i="10"/>
  <c r="S95" i="10"/>
  <c r="AB11" i="12" l="1"/>
  <c r="C45" i="18"/>
  <c r="D45" i="18" s="1"/>
  <c r="C27" i="18"/>
  <c r="D27" i="18" s="1"/>
  <c r="C54" i="18"/>
  <c r="D54" i="18" s="1"/>
  <c r="C63" i="18"/>
  <c r="D63" i="18" s="1"/>
  <c r="U63" i="18" s="1"/>
  <c r="C37" i="18"/>
  <c r="D37" i="18" s="1"/>
  <c r="C48" i="18"/>
  <c r="D48" i="18" s="1"/>
  <c r="C46" i="18"/>
  <c r="D46" i="18" s="1"/>
  <c r="C36" i="18"/>
  <c r="D36" i="18" s="1"/>
  <c r="U36" i="18" s="1"/>
  <c r="C30" i="18"/>
  <c r="D30" i="18" s="1"/>
  <c r="C28" i="18"/>
  <c r="D28" i="18" s="1"/>
  <c r="C66" i="18"/>
  <c r="D66" i="18" s="1"/>
  <c r="U66" i="18" s="1"/>
  <c r="C31" i="18"/>
  <c r="D31" i="18" s="1"/>
  <c r="C61" i="18"/>
  <c r="D61" i="18" s="1"/>
  <c r="Y61" i="18" s="1"/>
  <c r="Z48" i="12"/>
  <c r="G48" i="12" s="1"/>
  <c r="X59" i="12"/>
  <c r="C67" i="18"/>
  <c r="D67" i="18" s="1"/>
  <c r="Y67" i="18" s="1"/>
  <c r="Z54" i="12"/>
  <c r="R46" i="14" s="1"/>
  <c r="C64" i="18"/>
  <c r="D64" i="18" s="1"/>
  <c r="AD49" i="12"/>
  <c r="R52" i="12"/>
  <c r="M44" i="14" s="1"/>
  <c r="AD55" i="12"/>
  <c r="AB33" i="12"/>
  <c r="S25" i="14" s="1"/>
  <c r="C70" i="18"/>
  <c r="D70" i="18" s="1"/>
  <c r="X52" i="12"/>
  <c r="H52" i="12" s="1"/>
  <c r="AD47" i="12"/>
  <c r="C49" i="18"/>
  <c r="D49" i="18" s="1"/>
  <c r="T58" i="12"/>
  <c r="N50" i="14" s="1"/>
  <c r="R11" i="12"/>
  <c r="AD53" i="12"/>
  <c r="C60" i="18"/>
  <c r="D60" i="18" s="1"/>
  <c r="C55" i="18"/>
  <c r="D55" i="18" s="1"/>
  <c r="R47" i="14"/>
  <c r="G55" i="12"/>
  <c r="S20" i="13" s="1"/>
  <c r="C46" i="15"/>
  <c r="U10" i="15"/>
  <c r="H13" i="12"/>
  <c r="T3" i="14"/>
  <c r="I11" i="12"/>
  <c r="U51" i="15"/>
  <c r="H54" i="12"/>
  <c r="U45" i="15"/>
  <c r="H48" i="12"/>
  <c r="J42" i="12"/>
  <c r="AA39" i="15"/>
  <c r="S34" i="14"/>
  <c r="P28" i="14"/>
  <c r="I36" i="12"/>
  <c r="C56" i="15"/>
  <c r="R45" i="14"/>
  <c r="G53" i="12"/>
  <c r="R39" i="14"/>
  <c r="G47" i="12"/>
  <c r="U13" i="15"/>
  <c r="H16" i="12"/>
  <c r="E58" i="12"/>
  <c r="AJ58" i="12" s="1"/>
  <c r="I55" i="15"/>
  <c r="U31" i="15"/>
  <c r="H34" i="12"/>
  <c r="AA30" i="15"/>
  <c r="R32" i="14"/>
  <c r="G40" i="12"/>
  <c r="U48" i="15"/>
  <c r="H51" i="12"/>
  <c r="P31" i="14"/>
  <c r="I39" i="12"/>
  <c r="V57" i="12"/>
  <c r="O49" i="14" s="1"/>
  <c r="AF57" i="12"/>
  <c r="V21" i="12"/>
  <c r="F46" i="19" s="1"/>
  <c r="F68" i="19" s="1"/>
  <c r="AF21" i="12"/>
  <c r="T21" i="12"/>
  <c r="N13" i="14" s="1"/>
  <c r="X21" i="12"/>
  <c r="Z21" i="12"/>
  <c r="R13" i="14" s="1"/>
  <c r="U56" i="15"/>
  <c r="H59" i="12"/>
  <c r="C41" i="15"/>
  <c r="T35" i="12"/>
  <c r="N27" i="14" s="1"/>
  <c r="E46" i="18"/>
  <c r="F46" i="18" s="1"/>
  <c r="U46" i="18" s="1"/>
  <c r="V56" i="12"/>
  <c r="AF56" i="12"/>
  <c r="V50" i="12"/>
  <c r="AF50" i="12"/>
  <c r="V44" i="12"/>
  <c r="AF44" i="12"/>
  <c r="AD44" i="12"/>
  <c r="X44" i="12"/>
  <c r="Z44" i="12"/>
  <c r="V38" i="12"/>
  <c r="AF38" i="12"/>
  <c r="X38" i="12"/>
  <c r="Q30" i="14" s="1"/>
  <c r="Z38" i="12"/>
  <c r="R38" i="12"/>
  <c r="M30" i="14" s="1"/>
  <c r="AD38" i="12"/>
  <c r="V32" i="12"/>
  <c r="AF32" i="12"/>
  <c r="X32" i="12"/>
  <c r="Z32" i="12"/>
  <c r="AB32" i="12"/>
  <c r="AD32" i="12"/>
  <c r="I32" i="12" s="1"/>
  <c r="V26" i="12"/>
  <c r="AF26" i="12"/>
  <c r="AD26" i="12"/>
  <c r="P18" i="14" s="1"/>
  <c r="X26" i="12"/>
  <c r="Z26" i="12"/>
  <c r="V20" i="12"/>
  <c r="AF20" i="12"/>
  <c r="X20" i="12"/>
  <c r="Z20" i="12"/>
  <c r="R12" i="14" s="1"/>
  <c r="R20" i="12"/>
  <c r="M12" i="14" s="1"/>
  <c r="AD20" i="12"/>
  <c r="V14" i="12"/>
  <c r="AF14" i="12"/>
  <c r="X14" i="12"/>
  <c r="Z14" i="12"/>
  <c r="R6" i="14" s="1"/>
  <c r="AB14" i="12"/>
  <c r="AD14" i="12"/>
  <c r="I14" i="12" s="1"/>
  <c r="T11" i="12"/>
  <c r="N3" i="14" s="1"/>
  <c r="T60" i="12"/>
  <c r="N52" i="14" s="1"/>
  <c r="E71" i="18"/>
  <c r="F71" i="18" s="1"/>
  <c r="Z58" i="12"/>
  <c r="AD57" i="12"/>
  <c r="I57" i="12" s="1"/>
  <c r="T57" i="12"/>
  <c r="N49" i="14" s="1"/>
  <c r="E68" i="18"/>
  <c r="F68" i="18" s="1"/>
  <c r="X56" i="12"/>
  <c r="AB55" i="12"/>
  <c r="M66" i="18"/>
  <c r="N66" i="18" s="1"/>
  <c r="Y66" i="18" s="1"/>
  <c r="R55" i="12"/>
  <c r="M47" i="14" s="1"/>
  <c r="AB53" i="12"/>
  <c r="R53" i="12"/>
  <c r="M45" i="14" s="1"/>
  <c r="AB51" i="12"/>
  <c r="X50" i="12"/>
  <c r="AB49" i="12"/>
  <c r="M60" i="18"/>
  <c r="N60" i="18" s="1"/>
  <c r="Y60" i="18" s="1"/>
  <c r="T46" i="12"/>
  <c r="N38" i="14" s="1"/>
  <c r="E57" i="18"/>
  <c r="F57" i="18" s="1"/>
  <c r="R15" i="12"/>
  <c r="M7" i="14" s="1"/>
  <c r="C26" i="18"/>
  <c r="D26" i="18" s="1"/>
  <c r="V39" i="12"/>
  <c r="AF39" i="12"/>
  <c r="T39" i="12"/>
  <c r="N31" i="14" s="1"/>
  <c r="X39" i="12"/>
  <c r="Z39" i="12"/>
  <c r="V15" i="12"/>
  <c r="AF15" i="12"/>
  <c r="AD15" i="12"/>
  <c r="X15" i="12"/>
  <c r="Q7" i="14" s="1"/>
  <c r="Z15" i="12"/>
  <c r="R7" i="14" s="1"/>
  <c r="J11" i="12"/>
  <c r="AA8" i="15"/>
  <c r="S3" i="14"/>
  <c r="R58" i="12"/>
  <c r="M50" i="14" s="1"/>
  <c r="C69" i="18"/>
  <c r="D69" i="18" s="1"/>
  <c r="P47" i="14"/>
  <c r="I55" i="12"/>
  <c r="S16" i="13" s="1"/>
  <c r="T53" i="12"/>
  <c r="N45" i="14" s="1"/>
  <c r="E64" i="18"/>
  <c r="F64" i="18" s="1"/>
  <c r="U64" i="18" s="1"/>
  <c r="AD51" i="12"/>
  <c r="P43" i="14" s="1"/>
  <c r="T51" i="12"/>
  <c r="N43" i="14" s="1"/>
  <c r="U38" i="15"/>
  <c r="H41" i="12"/>
  <c r="V49" i="12"/>
  <c r="M46" i="19" s="1"/>
  <c r="M68" i="19" s="1"/>
  <c r="AF49" i="12"/>
  <c r="V37" i="12"/>
  <c r="AF37" i="12"/>
  <c r="R37" i="12"/>
  <c r="M29" i="14" s="1"/>
  <c r="AD37" i="12"/>
  <c r="T29" i="14" s="1"/>
  <c r="X37" i="12"/>
  <c r="V31" i="12"/>
  <c r="O23" i="14" s="1"/>
  <c r="AF31" i="12"/>
  <c r="Z31" i="12"/>
  <c r="AD31" i="12"/>
  <c r="T31" i="12"/>
  <c r="N23" i="14" s="1"/>
  <c r="V25" i="12"/>
  <c r="G46" i="19" s="1"/>
  <c r="G68" i="19" s="1"/>
  <c r="AF25" i="12"/>
  <c r="X25" i="12"/>
  <c r="Q17" i="14" s="1"/>
  <c r="Z25" i="12"/>
  <c r="R25" i="12"/>
  <c r="M17" i="14" s="1"/>
  <c r="AD25" i="12"/>
  <c r="T25" i="12"/>
  <c r="N17" i="14" s="1"/>
  <c r="V19" i="12"/>
  <c r="O11" i="14" s="1"/>
  <c r="AF19" i="12"/>
  <c r="R19" i="12"/>
  <c r="M11" i="14" s="1"/>
  <c r="AD19" i="12"/>
  <c r="X19" i="12"/>
  <c r="V13" i="12"/>
  <c r="D46" i="19" s="1"/>
  <c r="D68" i="19" s="1"/>
  <c r="AF13" i="12"/>
  <c r="Z13" i="12"/>
  <c r="R5" i="14" s="1"/>
  <c r="AD13" i="12"/>
  <c r="I13" i="12" s="1"/>
  <c r="T13" i="12"/>
  <c r="N5" i="14" s="1"/>
  <c r="T52" i="14"/>
  <c r="I60" i="12"/>
  <c r="R60" i="12"/>
  <c r="M52" i="14" s="1"/>
  <c r="C71" i="18"/>
  <c r="D71" i="18" s="1"/>
  <c r="T59" i="12"/>
  <c r="N51" i="14" s="1"/>
  <c r="E70" i="18"/>
  <c r="F70" i="18" s="1"/>
  <c r="U70" i="18" s="1"/>
  <c r="X58" i="12"/>
  <c r="Q50" i="14" s="1"/>
  <c r="AB57" i="12"/>
  <c r="R57" i="12"/>
  <c r="M49" i="14" s="1"/>
  <c r="C68" i="18"/>
  <c r="D68" i="18" s="1"/>
  <c r="T52" i="12"/>
  <c r="N44" i="14" s="1"/>
  <c r="R51" i="12"/>
  <c r="M43" i="14" s="1"/>
  <c r="C62" i="18"/>
  <c r="D62" i="18" s="1"/>
  <c r="Y62" i="18" s="1"/>
  <c r="Z49" i="12"/>
  <c r="R30" i="12"/>
  <c r="M22" i="14" s="1"/>
  <c r="C41" i="18"/>
  <c r="D41" i="18" s="1"/>
  <c r="U41" i="18" s="1"/>
  <c r="AB26" i="12"/>
  <c r="Z19" i="12"/>
  <c r="R11" i="14" s="1"/>
  <c r="R18" i="12"/>
  <c r="M10" i="14" s="1"/>
  <c r="C29" i="18"/>
  <c r="D29" i="18" s="1"/>
  <c r="V45" i="12"/>
  <c r="L46" i="19" s="1"/>
  <c r="L68" i="19" s="1"/>
  <c r="AF45" i="12"/>
  <c r="AB45" i="12"/>
  <c r="V27" i="12"/>
  <c r="AF27" i="12"/>
  <c r="AB27" i="12"/>
  <c r="AD27" i="12"/>
  <c r="I27" i="12" s="1"/>
  <c r="X27" i="12"/>
  <c r="Q19" i="14" s="1"/>
  <c r="AB58" i="12"/>
  <c r="M69" i="18"/>
  <c r="N69" i="18" s="1"/>
  <c r="Y69" i="18" s="1"/>
  <c r="R48" i="14"/>
  <c r="G56" i="12"/>
  <c r="G54" i="12"/>
  <c r="P45" i="14"/>
  <c r="I53" i="12"/>
  <c r="R42" i="14"/>
  <c r="G50" i="12"/>
  <c r="P39" i="14"/>
  <c r="I47" i="12"/>
  <c r="X45" i="12"/>
  <c r="Q37" i="14" s="1"/>
  <c r="AB30" i="12"/>
  <c r="M41" i="18"/>
  <c r="N41" i="18" s="1"/>
  <c r="Y41" i="18" s="1"/>
  <c r="V55" i="12"/>
  <c r="AF55" i="12"/>
  <c r="V43" i="12"/>
  <c r="O35" i="14" s="1"/>
  <c r="AF43" i="12"/>
  <c r="X43" i="12"/>
  <c r="Z43" i="12"/>
  <c r="R43" i="12"/>
  <c r="M35" i="14" s="1"/>
  <c r="AD43" i="12"/>
  <c r="V11" i="12"/>
  <c r="AF11" i="12"/>
  <c r="V54" i="12"/>
  <c r="AF54" i="12"/>
  <c r="V48" i="12"/>
  <c r="AF48" i="12"/>
  <c r="V42" i="12"/>
  <c r="O34" i="14" s="1"/>
  <c r="AF42" i="12"/>
  <c r="T42" i="12"/>
  <c r="N34" i="14" s="1"/>
  <c r="AD42" i="12"/>
  <c r="X42" i="12"/>
  <c r="Z42" i="12"/>
  <c r="V36" i="12"/>
  <c r="O28" i="14" s="1"/>
  <c r="AF36" i="12"/>
  <c r="X36" i="12"/>
  <c r="Z36" i="12"/>
  <c r="V30" i="12"/>
  <c r="AF30" i="12"/>
  <c r="AD30" i="12"/>
  <c r="P22" i="14" s="1"/>
  <c r="T30" i="12"/>
  <c r="N22" i="14" s="1"/>
  <c r="X30" i="12"/>
  <c r="Z30" i="12"/>
  <c r="V24" i="12"/>
  <c r="AF24" i="12"/>
  <c r="T24" i="12"/>
  <c r="N16" i="14" s="1"/>
  <c r="AD24" i="12"/>
  <c r="T16" i="14" s="1"/>
  <c r="X24" i="12"/>
  <c r="Z24" i="12"/>
  <c r="V18" i="12"/>
  <c r="AF18" i="12"/>
  <c r="X18" i="12"/>
  <c r="Q10" i="14" s="1"/>
  <c r="Z18" i="12"/>
  <c r="R10" i="14" s="1"/>
  <c r="V12" i="12"/>
  <c r="AF12" i="12"/>
  <c r="AD12" i="12"/>
  <c r="X12" i="12"/>
  <c r="Z12" i="12"/>
  <c r="R4" i="14" s="1"/>
  <c r="X11" i="12"/>
  <c r="Q3" i="14" s="1"/>
  <c r="AB60" i="12"/>
  <c r="AD59" i="12"/>
  <c r="AD56" i="12"/>
  <c r="T56" i="12"/>
  <c r="N48" i="14" s="1"/>
  <c r="E67" i="18"/>
  <c r="F67" i="18" s="1"/>
  <c r="U67" i="18" s="1"/>
  <c r="X55" i="12"/>
  <c r="AD54" i="12"/>
  <c r="I54" i="12" s="1"/>
  <c r="T54" i="12"/>
  <c r="N46" i="14" s="1"/>
  <c r="AD52" i="12"/>
  <c r="Z51" i="12"/>
  <c r="AD50" i="12"/>
  <c r="P42" i="14" s="1"/>
  <c r="T50" i="12"/>
  <c r="N42" i="14" s="1"/>
  <c r="E61" i="18"/>
  <c r="F61" i="18" s="1"/>
  <c r="U61" i="18" s="1"/>
  <c r="X49" i="12"/>
  <c r="AD48" i="12"/>
  <c r="T48" i="12"/>
  <c r="N40" i="14" s="1"/>
  <c r="T47" i="12"/>
  <c r="N39" i="14" s="1"/>
  <c r="E58" i="18"/>
  <c r="F58" i="18" s="1"/>
  <c r="AD45" i="12"/>
  <c r="AB44" i="12"/>
  <c r="R33" i="12"/>
  <c r="M25" i="14" s="1"/>
  <c r="C44" i="18"/>
  <c r="D44" i="18" s="1"/>
  <c r="X31" i="12"/>
  <c r="Q23" i="14" s="1"/>
  <c r="V33" i="12"/>
  <c r="I46" i="19" s="1"/>
  <c r="I68" i="19" s="1"/>
  <c r="AF33" i="12"/>
  <c r="AD33" i="12"/>
  <c r="X33" i="12"/>
  <c r="Z33" i="12"/>
  <c r="U49" i="15"/>
  <c r="P41" i="14"/>
  <c r="I49" i="12"/>
  <c r="V59" i="12"/>
  <c r="AF59" i="12"/>
  <c r="V53" i="12"/>
  <c r="AF53" i="12"/>
  <c r="V47" i="12"/>
  <c r="AF47" i="12"/>
  <c r="X47" i="12"/>
  <c r="Q39" i="14" s="1"/>
  <c r="V41" i="12"/>
  <c r="AF41" i="12"/>
  <c r="Z41" i="12"/>
  <c r="AB41" i="12"/>
  <c r="AD41" i="12"/>
  <c r="V35" i="12"/>
  <c r="X27" i="14" s="1"/>
  <c r="AF35" i="12"/>
  <c r="X35" i="12"/>
  <c r="Z35" i="12"/>
  <c r="R35" i="12"/>
  <c r="M27" i="14" s="1"/>
  <c r="AD35" i="12"/>
  <c r="V29" i="12"/>
  <c r="AF29" i="12"/>
  <c r="X29" i="12"/>
  <c r="Z29" i="12"/>
  <c r="AD29" i="12"/>
  <c r="V23" i="12"/>
  <c r="AF23" i="12"/>
  <c r="Z23" i="12"/>
  <c r="AB23" i="12"/>
  <c r="AD23" i="12"/>
  <c r="V17" i="12"/>
  <c r="E46" i="19" s="1"/>
  <c r="E68" i="19" s="1"/>
  <c r="AF17" i="12"/>
  <c r="X17" i="12"/>
  <c r="Z17" i="12"/>
  <c r="R9" i="14" s="1"/>
  <c r="R17" i="12"/>
  <c r="M9" i="14" s="1"/>
  <c r="AD17" i="12"/>
  <c r="T9" i="14" s="1"/>
  <c r="Z11" i="12"/>
  <c r="AB59" i="12"/>
  <c r="M70" i="18"/>
  <c r="N70" i="18" s="1"/>
  <c r="Y70" i="18" s="1"/>
  <c r="Z57" i="12"/>
  <c r="L22" i="13" s="1"/>
  <c r="AB56" i="12"/>
  <c r="R56" i="12"/>
  <c r="M48" i="14" s="1"/>
  <c r="AB54" i="12"/>
  <c r="X53" i="12"/>
  <c r="AB52" i="12"/>
  <c r="M63" i="18"/>
  <c r="N63" i="18" s="1"/>
  <c r="Y63" i="18" s="1"/>
  <c r="AB50" i="12"/>
  <c r="R50" i="12"/>
  <c r="M42" i="14" s="1"/>
  <c r="AB48" i="12"/>
  <c r="R47" i="12"/>
  <c r="M39" i="14" s="1"/>
  <c r="C58" i="18"/>
  <c r="D58" i="18" s="1"/>
  <c r="T43" i="12"/>
  <c r="N35" i="14" s="1"/>
  <c r="Z37" i="12"/>
  <c r="R36" i="12"/>
  <c r="M28" i="14" s="1"/>
  <c r="C47" i="18"/>
  <c r="D47" i="18" s="1"/>
  <c r="T29" i="12"/>
  <c r="N21" i="14" s="1"/>
  <c r="E40" i="18"/>
  <c r="F40" i="18" s="1"/>
  <c r="X23" i="12"/>
  <c r="T17" i="12"/>
  <c r="N9" i="14" s="1"/>
  <c r="E28" i="18"/>
  <c r="F28" i="18" s="1"/>
  <c r="U28" i="18" s="1"/>
  <c r="AB15" i="12"/>
  <c r="AB12" i="12"/>
  <c r="M23" i="18"/>
  <c r="N23" i="18" s="1"/>
  <c r="V51" i="12"/>
  <c r="AF51" i="12"/>
  <c r="V58" i="12"/>
  <c r="X50" i="14" s="1"/>
  <c r="AF58" i="12"/>
  <c r="V52" i="12"/>
  <c r="AF52" i="12"/>
  <c r="V46" i="12"/>
  <c r="AF46" i="12"/>
  <c r="X46" i="12"/>
  <c r="Q38" i="14" s="1"/>
  <c r="Z46" i="12"/>
  <c r="AD46" i="12"/>
  <c r="V40" i="12"/>
  <c r="AF40" i="12"/>
  <c r="AD40" i="12"/>
  <c r="T40" i="12"/>
  <c r="N32" i="14" s="1"/>
  <c r="X40" i="12"/>
  <c r="Q32" i="14" s="1"/>
  <c r="V34" i="12"/>
  <c r="AF34" i="12"/>
  <c r="Z34" i="12"/>
  <c r="R34" i="12"/>
  <c r="M26" i="14" s="1"/>
  <c r="AD34" i="12"/>
  <c r="T26" i="14" s="1"/>
  <c r="V28" i="12"/>
  <c r="X20" i="14" s="1"/>
  <c r="AF28" i="12"/>
  <c r="X28" i="12"/>
  <c r="Z28" i="12"/>
  <c r="AD28" i="12"/>
  <c r="V22" i="12"/>
  <c r="X14" i="14" s="1"/>
  <c r="AF22" i="12"/>
  <c r="AD22" i="12"/>
  <c r="T22" i="12"/>
  <c r="N14" i="14" s="1"/>
  <c r="X22" i="12"/>
  <c r="V16" i="12"/>
  <c r="AF16" i="12"/>
  <c r="Z16" i="12"/>
  <c r="R8" i="14" s="1"/>
  <c r="R16" i="12"/>
  <c r="M8" i="14" s="1"/>
  <c r="AD16" i="12"/>
  <c r="T8" i="14" s="1"/>
  <c r="U57" i="15"/>
  <c r="H60" i="12"/>
  <c r="Z59" i="12"/>
  <c r="AD58" i="12"/>
  <c r="X57" i="12"/>
  <c r="T55" i="12"/>
  <c r="N47" i="14" s="1"/>
  <c r="R54" i="12"/>
  <c r="M46" i="14" s="1"/>
  <c r="C65" i="18"/>
  <c r="D65" i="18" s="1"/>
  <c r="Y65" i="18" s="1"/>
  <c r="Z52" i="12"/>
  <c r="J68" i="18"/>
  <c r="W68" i="18" s="1"/>
  <c r="T49" i="12"/>
  <c r="N41" i="14" s="1"/>
  <c r="R48" i="12"/>
  <c r="M40" i="14" s="1"/>
  <c r="C59" i="18"/>
  <c r="D59" i="18" s="1"/>
  <c r="U59" i="18" s="1"/>
  <c r="AB46" i="12"/>
  <c r="M57" i="18"/>
  <c r="N57" i="18" s="1"/>
  <c r="Y57" i="18" s="1"/>
  <c r="Z45" i="12"/>
  <c r="Z27" i="12"/>
  <c r="R26" i="12"/>
  <c r="M18" i="14" s="1"/>
  <c r="AB24" i="12"/>
  <c r="AD21" i="12"/>
  <c r="AD18" i="12"/>
  <c r="T10" i="14" s="1"/>
  <c r="R42" i="12"/>
  <c r="M34" i="14" s="1"/>
  <c r="C53" i="18"/>
  <c r="D53" i="18" s="1"/>
  <c r="Y53" i="18" s="1"/>
  <c r="AB39" i="12"/>
  <c r="M50" i="18"/>
  <c r="N50" i="18" s="1"/>
  <c r="R39" i="12"/>
  <c r="M31" i="14" s="1"/>
  <c r="C50" i="18"/>
  <c r="D50" i="18" s="1"/>
  <c r="T38" i="12"/>
  <c r="N30" i="14" s="1"/>
  <c r="E49" i="18"/>
  <c r="F49" i="18" s="1"/>
  <c r="AB36" i="12"/>
  <c r="M47" i="18"/>
  <c r="N47" i="18" s="1"/>
  <c r="T32" i="12"/>
  <c r="N24" i="14" s="1"/>
  <c r="E43" i="18"/>
  <c r="F43" i="18" s="1"/>
  <c r="U43" i="18" s="1"/>
  <c r="R29" i="12"/>
  <c r="M21" i="14" s="1"/>
  <c r="C40" i="18"/>
  <c r="D40" i="18" s="1"/>
  <c r="T28" i="12"/>
  <c r="N20" i="14" s="1"/>
  <c r="E39" i="18"/>
  <c r="F39" i="18" s="1"/>
  <c r="R24" i="12"/>
  <c r="M16" i="14" s="1"/>
  <c r="C35" i="18"/>
  <c r="D35" i="18" s="1"/>
  <c r="U35" i="18" s="1"/>
  <c r="AB21" i="12"/>
  <c r="M32" i="18"/>
  <c r="N32" i="18" s="1"/>
  <c r="R21" i="12"/>
  <c r="M13" i="14" s="1"/>
  <c r="C32" i="18"/>
  <c r="D32" i="18" s="1"/>
  <c r="U32" i="18" s="1"/>
  <c r="T20" i="12"/>
  <c r="N12" i="14" s="1"/>
  <c r="E31" i="18"/>
  <c r="F31" i="18" s="1"/>
  <c r="U31" i="18" s="1"/>
  <c r="AB18" i="12"/>
  <c r="M29" i="18"/>
  <c r="N29" i="18" s="1"/>
  <c r="Y29" i="18" s="1"/>
  <c r="T14" i="12"/>
  <c r="N6" i="14" s="1"/>
  <c r="E25" i="18"/>
  <c r="F25" i="18" s="1"/>
  <c r="AB47" i="12"/>
  <c r="M58" i="18"/>
  <c r="N58" i="18" s="1"/>
  <c r="Y58" i="18" s="1"/>
  <c r="R46" i="12"/>
  <c r="M38" i="14" s="1"/>
  <c r="C57" i="18"/>
  <c r="D57" i="18" s="1"/>
  <c r="T41" i="12"/>
  <c r="N33" i="14" s="1"/>
  <c r="E52" i="18"/>
  <c r="F52" i="18" s="1"/>
  <c r="AB35" i="12"/>
  <c r="M46" i="18"/>
  <c r="N46" i="18" s="1"/>
  <c r="Y46" i="18" s="1"/>
  <c r="J53" i="18"/>
  <c r="W53" i="18" s="1"/>
  <c r="T34" i="12"/>
  <c r="N26" i="14" s="1"/>
  <c r="E45" i="18"/>
  <c r="F45" i="18" s="1"/>
  <c r="U45" i="18" s="1"/>
  <c r="R32" i="12"/>
  <c r="M24" i="14" s="1"/>
  <c r="C43" i="18"/>
  <c r="D43" i="18" s="1"/>
  <c r="Y43" i="18" s="1"/>
  <c r="AB29" i="12"/>
  <c r="M40" i="18"/>
  <c r="N40" i="18" s="1"/>
  <c r="Y40" i="18" s="1"/>
  <c r="R28" i="12"/>
  <c r="M20" i="14" s="1"/>
  <c r="C39" i="18"/>
  <c r="D39" i="18" s="1"/>
  <c r="T23" i="12"/>
  <c r="N15" i="14" s="1"/>
  <c r="E34" i="18"/>
  <c r="F34" i="18" s="1"/>
  <c r="AB17" i="12"/>
  <c r="M28" i="18"/>
  <c r="N28" i="18" s="1"/>
  <c r="Y28" i="18" s="1"/>
  <c r="T16" i="12"/>
  <c r="N8" i="14" s="1"/>
  <c r="E27" i="18"/>
  <c r="F27" i="18" s="1"/>
  <c r="R14" i="12"/>
  <c r="M6" i="14" s="1"/>
  <c r="C25" i="18"/>
  <c r="D25" i="18" s="1"/>
  <c r="T45" i="12"/>
  <c r="N37" i="14" s="1"/>
  <c r="E56" i="18"/>
  <c r="F56" i="18" s="1"/>
  <c r="AB43" i="12"/>
  <c r="M54" i="18"/>
  <c r="N54" i="18" s="1"/>
  <c r="Y54" i="18" s="1"/>
  <c r="R41" i="12"/>
  <c r="M33" i="14" s="1"/>
  <c r="C52" i="18"/>
  <c r="D52" i="18" s="1"/>
  <c r="Y52" i="18" s="1"/>
  <c r="AB38" i="12"/>
  <c r="M49" i="18"/>
  <c r="N49" i="18" s="1"/>
  <c r="T37" i="12"/>
  <c r="N29" i="14" s="1"/>
  <c r="E48" i="18"/>
  <c r="F48" i="18" s="1"/>
  <c r="U48" i="18" s="1"/>
  <c r="AB28" i="12"/>
  <c r="M39" i="18"/>
  <c r="N39" i="18" s="1"/>
  <c r="T27" i="12"/>
  <c r="N19" i="14" s="1"/>
  <c r="E38" i="18"/>
  <c r="F38" i="18" s="1"/>
  <c r="AB25" i="12"/>
  <c r="M36" i="18"/>
  <c r="N36" i="18" s="1"/>
  <c r="R23" i="12"/>
  <c r="M15" i="14" s="1"/>
  <c r="C34" i="18"/>
  <c r="D34" i="18" s="1"/>
  <c r="Y34" i="18" s="1"/>
  <c r="AB20" i="12"/>
  <c r="M31" i="18"/>
  <c r="N31" i="18" s="1"/>
  <c r="Y31" i="18" s="1"/>
  <c r="T19" i="12"/>
  <c r="N11" i="14" s="1"/>
  <c r="E30" i="18"/>
  <c r="F30" i="18" s="1"/>
  <c r="U30" i="18" s="1"/>
  <c r="R45" i="12"/>
  <c r="M37" i="14" s="1"/>
  <c r="C56" i="18"/>
  <c r="D56" i="18" s="1"/>
  <c r="Y56" i="18" s="1"/>
  <c r="J61" i="18"/>
  <c r="W61" i="18" s="1"/>
  <c r="AB34" i="12"/>
  <c r="M45" i="18"/>
  <c r="N45" i="18" s="1"/>
  <c r="Y45" i="18" s="1"/>
  <c r="J52" i="18"/>
  <c r="W52" i="18" s="1"/>
  <c r="AB31" i="12"/>
  <c r="M42" i="18"/>
  <c r="N42" i="18" s="1"/>
  <c r="R31" i="12"/>
  <c r="M23" i="14" s="1"/>
  <c r="C42" i="18"/>
  <c r="D42" i="18" s="1"/>
  <c r="U42" i="18" s="1"/>
  <c r="R27" i="12"/>
  <c r="M19" i="14" s="1"/>
  <c r="C38" i="18"/>
  <c r="D38" i="18" s="1"/>
  <c r="Y38" i="18" s="1"/>
  <c r="AB16" i="12"/>
  <c r="M27" i="18"/>
  <c r="N27" i="18" s="1"/>
  <c r="AB13" i="12"/>
  <c r="M24" i="18"/>
  <c r="N24" i="18" s="1"/>
  <c r="R13" i="12"/>
  <c r="M5" i="14" s="1"/>
  <c r="C24" i="18"/>
  <c r="D24" i="18" s="1"/>
  <c r="T12" i="12"/>
  <c r="N4" i="14" s="1"/>
  <c r="E23" i="18"/>
  <c r="F23" i="18" s="1"/>
  <c r="T44" i="12"/>
  <c r="N36" i="14" s="1"/>
  <c r="E55" i="18"/>
  <c r="F55" i="18" s="1"/>
  <c r="U55" i="18" s="1"/>
  <c r="AB40" i="12"/>
  <c r="M51" i="18"/>
  <c r="N51" i="18" s="1"/>
  <c r="R40" i="12"/>
  <c r="M32" i="14" s="1"/>
  <c r="C51" i="18"/>
  <c r="D51" i="18" s="1"/>
  <c r="AB37" i="12"/>
  <c r="M48" i="18"/>
  <c r="N48" i="18" s="1"/>
  <c r="Y48" i="18" s="1"/>
  <c r="T36" i="12"/>
  <c r="N28" i="14" s="1"/>
  <c r="E47" i="18"/>
  <c r="F47" i="18" s="1"/>
  <c r="U47" i="18" s="1"/>
  <c r="T33" i="12"/>
  <c r="N25" i="14" s="1"/>
  <c r="E44" i="18"/>
  <c r="F44" i="18" s="1"/>
  <c r="U44" i="18" s="1"/>
  <c r="T26" i="12"/>
  <c r="N18" i="14" s="1"/>
  <c r="E37" i="18"/>
  <c r="F37" i="18" s="1"/>
  <c r="U37" i="18" s="1"/>
  <c r="AB22" i="12"/>
  <c r="M33" i="18"/>
  <c r="N33" i="18" s="1"/>
  <c r="R22" i="12"/>
  <c r="M14" i="14" s="1"/>
  <c r="C33" i="18"/>
  <c r="D33" i="18" s="1"/>
  <c r="AB19" i="12"/>
  <c r="M30" i="18"/>
  <c r="N30" i="18" s="1"/>
  <c r="Y30" i="18" s="1"/>
  <c r="J37" i="18"/>
  <c r="W37" i="18" s="1"/>
  <c r="T18" i="12"/>
  <c r="N10" i="14" s="1"/>
  <c r="E29" i="18"/>
  <c r="F29" i="18" s="1"/>
  <c r="U29" i="18" s="1"/>
  <c r="T15" i="12"/>
  <c r="N7" i="14" s="1"/>
  <c r="E26" i="18"/>
  <c r="F26" i="18" s="1"/>
  <c r="U26" i="18" s="1"/>
  <c r="R12" i="12"/>
  <c r="M4" i="14" s="1"/>
  <c r="C23" i="18"/>
  <c r="D23" i="18" s="1"/>
  <c r="P24" i="14"/>
  <c r="P6" i="14"/>
  <c r="T28" i="14"/>
  <c r="P37" i="14"/>
  <c r="P5" i="14"/>
  <c r="T50" i="14"/>
  <c r="T47" i="14"/>
  <c r="T44" i="14"/>
  <c r="T25" i="14"/>
  <c r="T6" i="14"/>
  <c r="T45" i="14"/>
  <c r="P35" i="14"/>
  <c r="T39" i="14"/>
  <c r="T31" i="14"/>
  <c r="P48" i="14"/>
  <c r="P40" i="14"/>
  <c r="T41" i="14"/>
  <c r="T38" i="14"/>
  <c r="T33" i="14"/>
  <c r="T30" i="14"/>
  <c r="T27" i="14"/>
  <c r="T13" i="14"/>
  <c r="T11" i="14"/>
  <c r="P52" i="14"/>
  <c r="T20" i="14"/>
  <c r="T24" i="14"/>
  <c r="T21" i="14"/>
  <c r="T5" i="14"/>
  <c r="L18" i="13"/>
  <c r="P3" i="14"/>
  <c r="Q34" i="14"/>
  <c r="Q15" i="14"/>
  <c r="Q5" i="14"/>
  <c r="Q48" i="14"/>
  <c r="Q27" i="14"/>
  <c r="Q46" i="14"/>
  <c r="Q52" i="14"/>
  <c r="Q25" i="14"/>
  <c r="Q26" i="14"/>
  <c r="Q24" i="14"/>
  <c r="Q22" i="14"/>
  <c r="Q16" i="14"/>
  <c r="Q14" i="14"/>
  <c r="Q51" i="14"/>
  <c r="Q49" i="14"/>
  <c r="Q47" i="14"/>
  <c r="Q45" i="14"/>
  <c r="Q43" i="14"/>
  <c r="Q41" i="14"/>
  <c r="Q12" i="14"/>
  <c r="Q8" i="14"/>
  <c r="Q6" i="14"/>
  <c r="Q4" i="14"/>
  <c r="Q42" i="14"/>
  <c r="Q40" i="14"/>
  <c r="Q28" i="14"/>
  <c r="Q35" i="14"/>
  <c r="Q33" i="14"/>
  <c r="Q31" i="14"/>
  <c r="Q29" i="14"/>
  <c r="O5" i="14"/>
  <c r="X44" i="14"/>
  <c r="O25" i="14"/>
  <c r="X15" i="14"/>
  <c r="X45" i="14"/>
  <c r="X18" i="14"/>
  <c r="O30" i="14"/>
  <c r="O40" i="14"/>
  <c r="O16" i="14"/>
  <c r="O4" i="14"/>
  <c r="X26" i="14"/>
  <c r="X12" i="14"/>
  <c r="O36" i="14"/>
  <c r="X38" i="14"/>
  <c r="X22" i="14"/>
  <c r="X9" i="14"/>
  <c r="X8" i="14"/>
  <c r="X52" i="14"/>
  <c r="O6" i="14"/>
  <c r="O41" i="14"/>
  <c r="O17" i="14"/>
  <c r="O10" i="14"/>
  <c r="X42" i="14"/>
  <c r="X24" i="14"/>
  <c r="O47" i="14"/>
  <c r="G97" i="10"/>
  <c r="M96" i="10"/>
  <c r="R108" i="10"/>
  <c r="R97" i="10"/>
  <c r="S108" i="10"/>
  <c r="L97" i="10"/>
  <c r="R104" i="10"/>
  <c r="S104" i="10"/>
  <c r="S105" i="10"/>
  <c r="R106" i="10"/>
  <c r="S106" i="10"/>
  <c r="R107" i="10"/>
  <c r="R105" i="10"/>
  <c r="S107" i="10"/>
  <c r="H97" i="10"/>
  <c r="M97" i="10"/>
  <c r="S97" i="10"/>
  <c r="O98" i="10"/>
  <c r="J97" i="10"/>
  <c r="N96" i="10"/>
  <c r="N97" i="10"/>
  <c r="J105" i="10"/>
  <c r="G96" i="10"/>
  <c r="O96" i="10"/>
  <c r="S96" i="10"/>
  <c r="H96" i="10"/>
  <c r="I106" i="10"/>
  <c r="L96" i="10"/>
  <c r="O106" i="10"/>
  <c r="H104" i="10"/>
  <c r="I104" i="10"/>
  <c r="I96" i="10"/>
  <c r="J104" i="10"/>
  <c r="N106" i="10"/>
  <c r="R96" i="10"/>
  <c r="K96" i="10"/>
  <c r="I105" i="10"/>
  <c r="M104" i="10"/>
  <c r="M105" i="10"/>
  <c r="N104" i="10"/>
  <c r="F104" i="10"/>
  <c r="J107" i="10"/>
  <c r="N98" i="10"/>
  <c r="G104" i="10"/>
  <c r="O104" i="10"/>
  <c r="H106" i="10"/>
  <c r="O107" i="10"/>
  <c r="N105" i="10"/>
  <c r="J108" i="10"/>
  <c r="I98" i="10"/>
  <c r="R98" i="10"/>
  <c r="G105" i="10"/>
  <c r="O105" i="10"/>
  <c r="R95" i="10"/>
  <c r="T95" i="10" s="1"/>
  <c r="K95" i="10"/>
  <c r="J98" i="10"/>
  <c r="L104" i="10"/>
  <c r="H105" i="10"/>
  <c r="I107" i="10"/>
  <c r="M98" i="10"/>
  <c r="O99" i="10"/>
  <c r="S98" i="10"/>
  <c r="R99" i="10"/>
  <c r="S99" i="10"/>
  <c r="I97" i="10"/>
  <c r="J106" i="10"/>
  <c r="K107" i="10"/>
  <c r="F108" i="10"/>
  <c r="L108" i="10"/>
  <c r="K106" i="10"/>
  <c r="F107" i="10"/>
  <c r="L107" i="10"/>
  <c r="G108" i="10"/>
  <c r="M108" i="10"/>
  <c r="K105" i="10"/>
  <c r="F106" i="10"/>
  <c r="L106" i="10"/>
  <c r="G107" i="10"/>
  <c r="M107" i="10"/>
  <c r="H108" i="10"/>
  <c r="N108" i="10"/>
  <c r="K108" i="10"/>
  <c r="F105" i="10"/>
  <c r="G106" i="10"/>
  <c r="H107" i="10"/>
  <c r="I108" i="10"/>
  <c r="F95" i="10"/>
  <c r="L95" i="10"/>
  <c r="G95" i="10"/>
  <c r="M95" i="10"/>
  <c r="H95" i="10"/>
  <c r="K98" i="10"/>
  <c r="F99" i="10"/>
  <c r="L99" i="10"/>
  <c r="I95" i="10"/>
  <c r="O95" i="10"/>
  <c r="J96" i="10"/>
  <c r="K97" i="10"/>
  <c r="F98" i="10"/>
  <c r="L98" i="10"/>
  <c r="G99" i="10"/>
  <c r="M99" i="10"/>
  <c r="K99" i="10"/>
  <c r="N95" i="10"/>
  <c r="J95" i="10"/>
  <c r="F97" i="10"/>
  <c r="G98" i="10"/>
  <c r="H99" i="10"/>
  <c r="N99" i="10"/>
  <c r="I99" i="10"/>
  <c r="G14" i="12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11" i="11"/>
  <c r="R20" i="13" l="1"/>
  <c r="Y24" i="18"/>
  <c r="Y42" i="18"/>
  <c r="Y39" i="18"/>
  <c r="Y47" i="18"/>
  <c r="U53" i="18"/>
  <c r="Z49" i="18"/>
  <c r="V49" i="18"/>
  <c r="AA49" i="18"/>
  <c r="X49" i="18"/>
  <c r="J34" i="18"/>
  <c r="W34" i="18" s="1"/>
  <c r="Z27" i="18"/>
  <c r="V27" i="18"/>
  <c r="W27" i="18"/>
  <c r="X27" i="18"/>
  <c r="AA27" i="18"/>
  <c r="Z33" i="18"/>
  <c r="V33" i="18"/>
  <c r="AA33" i="18"/>
  <c r="X33" i="18"/>
  <c r="Z51" i="18"/>
  <c r="V51" i="18"/>
  <c r="X51" i="18"/>
  <c r="AA51" i="18"/>
  <c r="U23" i="18"/>
  <c r="Y27" i="18"/>
  <c r="Y49" i="18"/>
  <c r="U56" i="18"/>
  <c r="Z47" i="18"/>
  <c r="V47" i="18"/>
  <c r="AA47" i="18"/>
  <c r="X47" i="18"/>
  <c r="U58" i="18"/>
  <c r="Z41" i="18"/>
  <c r="V41" i="18"/>
  <c r="X41" i="18"/>
  <c r="AA41" i="18"/>
  <c r="Z68" i="18"/>
  <c r="V68" i="18"/>
  <c r="X68" i="18"/>
  <c r="AA68" i="18"/>
  <c r="Z71" i="18"/>
  <c r="V71" i="18"/>
  <c r="AA71" i="18"/>
  <c r="X71" i="18"/>
  <c r="O29" i="14"/>
  <c r="J46" i="19"/>
  <c r="J68" i="19" s="1"/>
  <c r="Z69" i="18"/>
  <c r="V69" i="18"/>
  <c r="AA69" i="18"/>
  <c r="X69" i="18"/>
  <c r="Z30" i="18"/>
  <c r="V30" i="18"/>
  <c r="X30" i="18"/>
  <c r="AA30" i="18"/>
  <c r="Z54" i="18"/>
  <c r="V54" i="18"/>
  <c r="X54" i="18"/>
  <c r="AA54" i="18"/>
  <c r="Z56" i="18"/>
  <c r="V56" i="18"/>
  <c r="AA56" i="18"/>
  <c r="X56" i="18"/>
  <c r="Z36" i="18"/>
  <c r="V36" i="18"/>
  <c r="AA36" i="18"/>
  <c r="X36" i="18"/>
  <c r="Y33" i="18"/>
  <c r="Y51" i="18"/>
  <c r="Z24" i="18"/>
  <c r="V24" i="18"/>
  <c r="AA24" i="18"/>
  <c r="W24" i="18"/>
  <c r="X24" i="18"/>
  <c r="J43" i="18"/>
  <c r="W43" i="18" s="1"/>
  <c r="Z52" i="18"/>
  <c r="V52" i="18"/>
  <c r="AA52" i="18"/>
  <c r="X52" i="18"/>
  <c r="Z25" i="18"/>
  <c r="V25" i="18"/>
  <c r="X25" i="18"/>
  <c r="AA25" i="18"/>
  <c r="W25" i="18"/>
  <c r="U34" i="18"/>
  <c r="Z43" i="18"/>
  <c r="V43" i="18"/>
  <c r="X43" i="18"/>
  <c r="AA43" i="18"/>
  <c r="Z65" i="18"/>
  <c r="V65" i="18"/>
  <c r="AA65" i="18"/>
  <c r="X65" i="18"/>
  <c r="Z44" i="18"/>
  <c r="V44" i="18"/>
  <c r="X44" i="18"/>
  <c r="AA44" i="18"/>
  <c r="Z29" i="18"/>
  <c r="V29" i="18"/>
  <c r="AA29" i="18"/>
  <c r="X29" i="18"/>
  <c r="W29" i="18"/>
  <c r="Z55" i="18"/>
  <c r="V55" i="18"/>
  <c r="X55" i="18"/>
  <c r="AA55" i="18"/>
  <c r="Z61" i="18"/>
  <c r="V61" i="18"/>
  <c r="X61" i="18"/>
  <c r="AA61" i="18"/>
  <c r="Z46" i="18"/>
  <c r="V46" i="18"/>
  <c r="X46" i="18"/>
  <c r="AA46" i="18"/>
  <c r="Z45" i="18"/>
  <c r="V45" i="18"/>
  <c r="X45" i="18"/>
  <c r="AA45" i="18"/>
  <c r="U69" i="18"/>
  <c r="Y44" i="18"/>
  <c r="U51" i="18"/>
  <c r="Z50" i="18"/>
  <c r="V50" i="18"/>
  <c r="AA50" i="18"/>
  <c r="X50" i="18"/>
  <c r="T19" i="14"/>
  <c r="Z23" i="18"/>
  <c r="V23" i="18"/>
  <c r="W23" i="18"/>
  <c r="X23" i="18"/>
  <c r="AA23" i="18"/>
  <c r="Z38" i="18"/>
  <c r="V38" i="18"/>
  <c r="X38" i="18"/>
  <c r="AA38" i="18"/>
  <c r="Y36" i="18"/>
  <c r="U52" i="18"/>
  <c r="U25" i="18"/>
  <c r="Z32" i="18"/>
  <c r="V32" i="18"/>
  <c r="X32" i="18"/>
  <c r="AA32" i="18"/>
  <c r="U39" i="18"/>
  <c r="Y50" i="18"/>
  <c r="Z59" i="18"/>
  <c r="V59" i="18"/>
  <c r="AA59" i="18"/>
  <c r="X59" i="18"/>
  <c r="X33" i="14"/>
  <c r="K46" i="19"/>
  <c r="K68" i="19" s="1"/>
  <c r="Z62" i="18"/>
  <c r="V62" i="18"/>
  <c r="X62" i="18"/>
  <c r="AA62" i="18"/>
  <c r="Z26" i="18"/>
  <c r="V26" i="18"/>
  <c r="W26" i="18"/>
  <c r="X26" i="18"/>
  <c r="AA26" i="18"/>
  <c r="U71" i="18"/>
  <c r="C49" i="15"/>
  <c r="Z60" i="18"/>
  <c r="V60" i="18"/>
  <c r="AA60" i="18"/>
  <c r="X60" i="18"/>
  <c r="Z64" i="18"/>
  <c r="V64" i="18"/>
  <c r="AA64" i="18"/>
  <c r="X64" i="18"/>
  <c r="Z31" i="18"/>
  <c r="V31" i="18"/>
  <c r="AA31" i="18"/>
  <c r="X31" i="18"/>
  <c r="J55" i="18"/>
  <c r="W55" i="18" s="1"/>
  <c r="Z48" i="18"/>
  <c r="V48" i="18"/>
  <c r="AA48" i="18"/>
  <c r="X48" i="18"/>
  <c r="U50" i="18"/>
  <c r="U54" i="18"/>
  <c r="Y64" i="18"/>
  <c r="Y25" i="18"/>
  <c r="Z34" i="18"/>
  <c r="V34" i="18"/>
  <c r="X34" i="18"/>
  <c r="AA34" i="18"/>
  <c r="Z35" i="18"/>
  <c r="V35" i="18"/>
  <c r="AA35" i="18"/>
  <c r="X35" i="18"/>
  <c r="P19" i="14"/>
  <c r="U27" i="18"/>
  <c r="Z39" i="18"/>
  <c r="V39" i="18"/>
  <c r="AA39" i="18"/>
  <c r="X39" i="18"/>
  <c r="Y23" i="18"/>
  <c r="U40" i="18"/>
  <c r="Z58" i="18"/>
  <c r="V58" i="18"/>
  <c r="X58" i="18"/>
  <c r="AA58" i="18"/>
  <c r="O21" i="14"/>
  <c r="H46" i="19"/>
  <c r="H68" i="19" s="1"/>
  <c r="Z70" i="18"/>
  <c r="V70" i="18"/>
  <c r="X70" i="18"/>
  <c r="AA70" i="18"/>
  <c r="Z66" i="18"/>
  <c r="V66" i="18"/>
  <c r="AA66" i="18"/>
  <c r="X66" i="18"/>
  <c r="J44" i="18"/>
  <c r="W44" i="18" s="1"/>
  <c r="Z37" i="18"/>
  <c r="V37" i="18"/>
  <c r="AA37" i="18"/>
  <c r="X37" i="18"/>
  <c r="Y55" i="18"/>
  <c r="Y68" i="18"/>
  <c r="U60" i="18"/>
  <c r="Y71" i="18"/>
  <c r="Y35" i="18"/>
  <c r="U65" i="18"/>
  <c r="G12" i="12"/>
  <c r="Z42" i="18"/>
  <c r="V42" i="18"/>
  <c r="AA42" i="18"/>
  <c r="X42" i="18"/>
  <c r="U38" i="18"/>
  <c r="J56" i="18"/>
  <c r="W56" i="18" s="1"/>
  <c r="Z57" i="18"/>
  <c r="V57" i="18"/>
  <c r="AA57" i="18"/>
  <c r="X57" i="18"/>
  <c r="Y32" i="18"/>
  <c r="Z40" i="18"/>
  <c r="V40" i="18"/>
  <c r="AA40" i="18"/>
  <c r="X40" i="18"/>
  <c r="U49" i="18"/>
  <c r="Z53" i="18"/>
  <c r="V53" i="18"/>
  <c r="AA53" i="18"/>
  <c r="X53" i="18"/>
  <c r="R40" i="14"/>
  <c r="U57" i="18"/>
  <c r="U68" i="18"/>
  <c r="C8" i="15"/>
  <c r="M3" i="14"/>
  <c r="Z67" i="18"/>
  <c r="V67" i="18"/>
  <c r="AA67" i="18"/>
  <c r="X67" i="18"/>
  <c r="J35" i="18"/>
  <c r="W35" i="18" s="1"/>
  <c r="Z28" i="18"/>
  <c r="V28" i="18"/>
  <c r="X28" i="18"/>
  <c r="W28" i="18"/>
  <c r="AA28" i="18"/>
  <c r="J70" i="18"/>
  <c r="W70" i="18" s="1"/>
  <c r="Z63" i="18"/>
  <c r="V63" i="18"/>
  <c r="X63" i="18"/>
  <c r="AA63" i="18"/>
  <c r="Y59" i="18"/>
  <c r="U24" i="18"/>
  <c r="Y26" i="18"/>
  <c r="U62" i="18"/>
  <c r="U33" i="18"/>
  <c r="Y37" i="18"/>
  <c r="J67" i="18"/>
  <c r="W67" i="18" s="1"/>
  <c r="J38" i="18"/>
  <c r="W38" i="18" s="1"/>
  <c r="J62" i="18"/>
  <c r="W62" i="18" s="1"/>
  <c r="J33" i="12"/>
  <c r="G21" i="12"/>
  <c r="J71" i="18"/>
  <c r="W71" i="18" s="1"/>
  <c r="Q44" i="14"/>
  <c r="G18" i="12"/>
  <c r="G16" i="12"/>
  <c r="G15" i="12"/>
  <c r="J41" i="18"/>
  <c r="W41" i="18" s="1"/>
  <c r="E23" i="12"/>
  <c r="AJ23" i="12" s="1"/>
  <c r="I20" i="15"/>
  <c r="U25" i="15"/>
  <c r="H28" i="12"/>
  <c r="L8" i="13"/>
  <c r="O32" i="14"/>
  <c r="O49" i="15"/>
  <c r="Y44" i="14"/>
  <c r="J59" i="12"/>
  <c r="AA56" i="15"/>
  <c r="S51" i="14"/>
  <c r="R16" i="14"/>
  <c r="G24" i="12"/>
  <c r="E31" i="12"/>
  <c r="AJ31" i="12" s="1"/>
  <c r="I28" i="15"/>
  <c r="X31" i="14"/>
  <c r="J49" i="12"/>
  <c r="AA46" i="15"/>
  <c r="S41" i="14"/>
  <c r="C17" i="15"/>
  <c r="R24" i="14"/>
  <c r="G32" i="12"/>
  <c r="I44" i="12"/>
  <c r="T36" i="14"/>
  <c r="E15" i="12"/>
  <c r="AJ15" i="12" s="1"/>
  <c r="I12" i="15"/>
  <c r="J22" i="12"/>
  <c r="AA19" i="15"/>
  <c r="S14" i="14"/>
  <c r="E33" i="12"/>
  <c r="AJ33" i="12" s="1"/>
  <c r="I30" i="15"/>
  <c r="J40" i="12"/>
  <c r="L16" i="13"/>
  <c r="AA37" i="15"/>
  <c r="S32" i="14"/>
  <c r="J31" i="18"/>
  <c r="W31" i="18" s="1"/>
  <c r="C24" i="15"/>
  <c r="C42" i="15"/>
  <c r="C20" i="15"/>
  <c r="J28" i="12"/>
  <c r="AA25" i="15"/>
  <c r="S20" i="14"/>
  <c r="C38" i="15"/>
  <c r="C11" i="15"/>
  <c r="C29" i="15"/>
  <c r="J64" i="18"/>
  <c r="W64" i="18" s="1"/>
  <c r="C18" i="15"/>
  <c r="J47" i="18"/>
  <c r="W47" i="18" s="1"/>
  <c r="J36" i="12"/>
  <c r="AA33" i="15"/>
  <c r="S28" i="14"/>
  <c r="J39" i="12"/>
  <c r="AA36" i="15"/>
  <c r="S31" i="14"/>
  <c r="J24" i="12"/>
  <c r="AA21" i="15"/>
  <c r="S16" i="14"/>
  <c r="J66" i="18"/>
  <c r="W66" i="18" s="1"/>
  <c r="R44" i="14"/>
  <c r="G52" i="12"/>
  <c r="C13" i="15"/>
  <c r="P14" i="14"/>
  <c r="I22" i="12"/>
  <c r="T14" i="14"/>
  <c r="O25" i="15"/>
  <c r="Y20" i="14"/>
  <c r="O26" i="14"/>
  <c r="P38" i="14"/>
  <c r="I46" i="12"/>
  <c r="O44" i="14"/>
  <c r="J12" i="12"/>
  <c r="AA9" i="15"/>
  <c r="S4" i="14"/>
  <c r="E29" i="12"/>
  <c r="AJ29" i="12" s="1"/>
  <c r="I26" i="15"/>
  <c r="C44" i="15"/>
  <c r="J52" i="12"/>
  <c r="AA49" i="15"/>
  <c r="S44" i="14"/>
  <c r="R49" i="14"/>
  <c r="G57" i="12"/>
  <c r="O14" i="15"/>
  <c r="Y9" i="14"/>
  <c r="O15" i="14"/>
  <c r="P27" i="14"/>
  <c r="I35" i="12"/>
  <c r="P33" i="14"/>
  <c r="I41" i="12"/>
  <c r="O44" i="15"/>
  <c r="Y39" i="14"/>
  <c r="U30" i="15"/>
  <c r="H33" i="12"/>
  <c r="C30" i="15"/>
  <c r="E47" i="12"/>
  <c r="AJ47" i="12" s="1"/>
  <c r="I44" i="15"/>
  <c r="T42" i="14"/>
  <c r="I50" i="12"/>
  <c r="U52" i="15"/>
  <c r="H55" i="12"/>
  <c r="S22" i="13" s="1"/>
  <c r="J60" i="12"/>
  <c r="AA57" i="15"/>
  <c r="S52" i="14"/>
  <c r="X4" i="14"/>
  <c r="U21" i="15"/>
  <c r="H24" i="12"/>
  <c r="U27" i="15"/>
  <c r="H30" i="12"/>
  <c r="U33" i="15"/>
  <c r="H36" i="12"/>
  <c r="E42" i="12"/>
  <c r="AJ42" i="12" s="1"/>
  <c r="I39" i="15"/>
  <c r="O46" i="14"/>
  <c r="X46" i="14"/>
  <c r="U40" i="15"/>
  <c r="H43" i="12"/>
  <c r="J30" i="12"/>
  <c r="AA27" i="15"/>
  <c r="S22" i="14"/>
  <c r="O19" i="14"/>
  <c r="X19" i="14"/>
  <c r="E52" i="12"/>
  <c r="AJ52" i="12" s="1"/>
  <c r="I49" i="15"/>
  <c r="E13" i="12"/>
  <c r="AJ13" i="12" s="1"/>
  <c r="I10" i="15"/>
  <c r="P11" i="14"/>
  <c r="I19" i="12"/>
  <c r="C22" i="15"/>
  <c r="P23" i="14"/>
  <c r="I31" i="12"/>
  <c r="T23" i="14"/>
  <c r="C34" i="15"/>
  <c r="E53" i="12"/>
  <c r="I50" i="15"/>
  <c r="X7" i="14"/>
  <c r="O7" i="14"/>
  <c r="J33" i="18"/>
  <c r="W33" i="18" s="1"/>
  <c r="U47" i="15"/>
  <c r="H50" i="12"/>
  <c r="R50" i="14"/>
  <c r="G58" i="12"/>
  <c r="I26" i="12"/>
  <c r="T18" i="14"/>
  <c r="U29" i="15"/>
  <c r="H32" i="12"/>
  <c r="U35" i="15"/>
  <c r="H38" i="12"/>
  <c r="O41" i="15"/>
  <c r="Y36" i="14"/>
  <c r="O54" i="15"/>
  <c r="Y49" i="14"/>
  <c r="J45" i="18"/>
  <c r="W45" i="18" s="1"/>
  <c r="J50" i="18"/>
  <c r="W50" i="18" s="1"/>
  <c r="E14" i="12"/>
  <c r="AJ14" i="12" s="1"/>
  <c r="I11" i="15"/>
  <c r="E28" i="12"/>
  <c r="AJ28" i="12" s="1"/>
  <c r="I25" i="15"/>
  <c r="O31" i="15"/>
  <c r="Y26" i="14"/>
  <c r="J65" i="18"/>
  <c r="W65" i="18" s="1"/>
  <c r="O20" i="15"/>
  <c r="Y15" i="14"/>
  <c r="O51" i="14"/>
  <c r="R28" i="14"/>
  <c r="G36" i="12"/>
  <c r="C15" i="15"/>
  <c r="T17" i="14"/>
  <c r="I25" i="12"/>
  <c r="X32" i="14"/>
  <c r="O31" i="14"/>
  <c r="P36" i="14"/>
  <c r="P17" i="14"/>
  <c r="C10" i="15"/>
  <c r="J49" i="18"/>
  <c r="W49" i="18" s="1"/>
  <c r="J46" i="18"/>
  <c r="W46" i="18" s="1"/>
  <c r="C43" i="15"/>
  <c r="C26" i="15"/>
  <c r="J60" i="18"/>
  <c r="W60" i="18" s="1"/>
  <c r="C23" i="15"/>
  <c r="C45" i="15"/>
  <c r="O19" i="15"/>
  <c r="Y14" i="14"/>
  <c r="O20" i="14"/>
  <c r="U37" i="15"/>
  <c r="H40" i="12"/>
  <c r="L20" i="13"/>
  <c r="R38" i="14"/>
  <c r="G46" i="12"/>
  <c r="O55" i="15"/>
  <c r="Y50" i="14"/>
  <c r="J15" i="12"/>
  <c r="AA12" i="15"/>
  <c r="S7" i="14"/>
  <c r="J54" i="18"/>
  <c r="W54" i="18" s="1"/>
  <c r="U50" i="15"/>
  <c r="H53" i="12"/>
  <c r="G11" i="12"/>
  <c r="R3" i="14"/>
  <c r="O9" i="14"/>
  <c r="P21" i="14"/>
  <c r="I29" i="12"/>
  <c r="C32" i="15"/>
  <c r="J41" i="12"/>
  <c r="AA38" i="15"/>
  <c r="S33" i="14"/>
  <c r="O39" i="14"/>
  <c r="X39" i="14"/>
  <c r="P25" i="14"/>
  <c r="I33" i="12"/>
  <c r="E48" i="12"/>
  <c r="I45" i="15"/>
  <c r="R43" i="14"/>
  <c r="G51" i="12"/>
  <c r="U8" i="15"/>
  <c r="H11" i="12"/>
  <c r="P16" i="14"/>
  <c r="I24" i="12"/>
  <c r="E30" i="12"/>
  <c r="AJ30" i="12" s="1"/>
  <c r="I27" i="15"/>
  <c r="O33" i="15"/>
  <c r="Y28" i="14"/>
  <c r="O39" i="15"/>
  <c r="Y34" i="14"/>
  <c r="O8" i="15"/>
  <c r="Y3" i="14"/>
  <c r="O40" i="15"/>
  <c r="Y35" i="14"/>
  <c r="U42" i="15"/>
  <c r="H45" i="12"/>
  <c r="J58" i="12"/>
  <c r="AA55" i="15"/>
  <c r="S50" i="14"/>
  <c r="J45" i="12"/>
  <c r="AA42" i="15"/>
  <c r="S37" i="14"/>
  <c r="J26" i="12"/>
  <c r="AA23" i="15"/>
  <c r="S18" i="14"/>
  <c r="E59" i="12"/>
  <c r="AJ59" i="12" s="1"/>
  <c r="I56" i="15"/>
  <c r="C16" i="15"/>
  <c r="R17" i="14"/>
  <c r="G25" i="12"/>
  <c r="R23" i="14"/>
  <c r="G31" i="12"/>
  <c r="O34" i="15"/>
  <c r="Y29" i="14"/>
  <c r="R31" i="14"/>
  <c r="G39" i="12"/>
  <c r="C12" i="15"/>
  <c r="J55" i="12"/>
  <c r="S18" i="13" s="1"/>
  <c r="AA52" i="15"/>
  <c r="S47" i="14"/>
  <c r="U11" i="15"/>
  <c r="H14" i="12"/>
  <c r="U17" i="15"/>
  <c r="H20" i="12"/>
  <c r="O23" i="15"/>
  <c r="Y18" i="14"/>
  <c r="O29" i="15"/>
  <c r="Y24" i="14"/>
  <c r="O35" i="15"/>
  <c r="Y30" i="14"/>
  <c r="X36" i="14"/>
  <c r="E35" i="12"/>
  <c r="AJ35" i="12" s="1"/>
  <c r="I32" i="15"/>
  <c r="X49" i="14"/>
  <c r="E12" i="12"/>
  <c r="I9" i="15"/>
  <c r="J59" i="18"/>
  <c r="W59" i="18" s="1"/>
  <c r="J39" i="18"/>
  <c r="W39" i="18" s="1"/>
  <c r="P13" i="14"/>
  <c r="I21" i="12"/>
  <c r="P8" i="14"/>
  <c r="I16" i="12"/>
  <c r="U14" i="15"/>
  <c r="H17" i="12"/>
  <c r="J51" i="18"/>
  <c r="W51" i="18" s="1"/>
  <c r="O9" i="15"/>
  <c r="Y4" i="14"/>
  <c r="R22" i="14"/>
  <c r="G30" i="12"/>
  <c r="P34" i="14"/>
  <c r="I42" i="12"/>
  <c r="T34" i="14"/>
  <c r="R35" i="14"/>
  <c r="G43" i="12"/>
  <c r="O24" i="15"/>
  <c r="Y19" i="14"/>
  <c r="U55" i="15"/>
  <c r="H58" i="12"/>
  <c r="U16" i="15"/>
  <c r="H19" i="12"/>
  <c r="Q11" i="14"/>
  <c r="P29" i="14"/>
  <c r="I37" i="12"/>
  <c r="O12" i="15"/>
  <c r="Y7" i="14"/>
  <c r="C52" i="15"/>
  <c r="J14" i="12"/>
  <c r="AA11" i="15"/>
  <c r="S6" i="14"/>
  <c r="U23" i="15"/>
  <c r="H26" i="12"/>
  <c r="R30" i="14"/>
  <c r="G38" i="12"/>
  <c r="X48" i="14"/>
  <c r="O13" i="14"/>
  <c r="X13" i="14"/>
  <c r="O48" i="14"/>
  <c r="X51" i="14"/>
  <c r="Q20" i="14"/>
  <c r="E18" i="12"/>
  <c r="I15" i="15"/>
  <c r="J19" i="12"/>
  <c r="AA16" i="15"/>
  <c r="S11" i="14"/>
  <c r="E26" i="12"/>
  <c r="AJ26" i="12" s="1"/>
  <c r="I23" i="15"/>
  <c r="E36" i="12"/>
  <c r="AJ36" i="12" s="1"/>
  <c r="I33" i="15"/>
  <c r="J37" i="12"/>
  <c r="AA34" i="15"/>
  <c r="S29" i="14"/>
  <c r="E44" i="12"/>
  <c r="AJ44" i="12" s="1"/>
  <c r="I41" i="15"/>
  <c r="C28" i="15"/>
  <c r="J25" i="12"/>
  <c r="AA22" i="15"/>
  <c r="S17" i="14"/>
  <c r="J43" i="12"/>
  <c r="AA40" i="15"/>
  <c r="S35" i="14"/>
  <c r="E16" i="12"/>
  <c r="AJ16" i="12" s="1"/>
  <c r="I13" i="15"/>
  <c r="C25" i="15"/>
  <c r="E34" i="12"/>
  <c r="AJ34" i="12" s="1"/>
  <c r="I31" i="15"/>
  <c r="J35" i="12"/>
  <c r="AA32" i="15"/>
  <c r="S27" i="14"/>
  <c r="J18" i="12"/>
  <c r="AA15" i="15"/>
  <c r="S10" i="14"/>
  <c r="J21" i="12"/>
  <c r="AA18" i="15"/>
  <c r="S13" i="14"/>
  <c r="E38" i="12"/>
  <c r="AJ38" i="12" s="1"/>
  <c r="I35" i="15"/>
  <c r="C39" i="15"/>
  <c r="R19" i="14"/>
  <c r="G27" i="12"/>
  <c r="C51" i="15"/>
  <c r="U54" i="15"/>
  <c r="H57" i="12"/>
  <c r="O13" i="15"/>
  <c r="Y8" i="14"/>
  <c r="O14" i="14"/>
  <c r="P26" i="14"/>
  <c r="I34" i="12"/>
  <c r="E40" i="12"/>
  <c r="A40" i="11" s="1"/>
  <c r="L14" i="13"/>
  <c r="I37" i="15"/>
  <c r="U43" i="15"/>
  <c r="H46" i="12"/>
  <c r="O50" i="14"/>
  <c r="C33" i="15"/>
  <c r="J48" i="12"/>
  <c r="AA45" i="15"/>
  <c r="S40" i="14"/>
  <c r="P9" i="14"/>
  <c r="I17" i="12"/>
  <c r="P15" i="14"/>
  <c r="I23" i="12"/>
  <c r="T15" i="14"/>
  <c r="R21" i="14"/>
  <c r="G29" i="12"/>
  <c r="G35" i="12"/>
  <c r="R27" i="14"/>
  <c r="R33" i="14"/>
  <c r="G41" i="12"/>
  <c r="O50" i="15"/>
  <c r="Y45" i="14"/>
  <c r="O30" i="15"/>
  <c r="Y25" i="14"/>
  <c r="T40" i="14"/>
  <c r="I48" i="12"/>
  <c r="E56" i="12"/>
  <c r="I53" i="15"/>
  <c r="U15" i="15"/>
  <c r="H18" i="12"/>
  <c r="E24" i="12"/>
  <c r="AJ24" i="12" s="1"/>
  <c r="I21" i="15"/>
  <c r="T22" i="14"/>
  <c r="I30" i="12"/>
  <c r="X28" i="14"/>
  <c r="AC37" i="13"/>
  <c r="X34" i="14"/>
  <c r="X3" i="14"/>
  <c r="O3" i="14"/>
  <c r="X35" i="14"/>
  <c r="U24" i="15"/>
  <c r="H27" i="12"/>
  <c r="O42" i="15"/>
  <c r="Y37" i="14"/>
  <c r="J48" i="18"/>
  <c r="W48" i="18" s="1"/>
  <c r="R41" i="14"/>
  <c r="G49" i="12"/>
  <c r="O16" i="15"/>
  <c r="Y11" i="14"/>
  <c r="U22" i="15"/>
  <c r="H25" i="12"/>
  <c r="O28" i="15"/>
  <c r="Y23" i="14"/>
  <c r="X29" i="14"/>
  <c r="U36" i="15"/>
  <c r="H39" i="12"/>
  <c r="J51" i="12"/>
  <c r="AA48" i="15"/>
  <c r="S43" i="14"/>
  <c r="U53" i="15"/>
  <c r="H56" i="12"/>
  <c r="E60" i="12"/>
  <c r="AJ60" i="12" s="1"/>
  <c r="I57" i="15"/>
  <c r="O11" i="15"/>
  <c r="Y6" i="14"/>
  <c r="O17" i="15"/>
  <c r="Y12" i="14"/>
  <c r="O18" i="14"/>
  <c r="O24" i="14"/>
  <c r="X30" i="14"/>
  <c r="O47" i="15"/>
  <c r="Y42" i="14"/>
  <c r="U18" i="15"/>
  <c r="H21" i="12"/>
  <c r="Q13" i="14"/>
  <c r="J46" i="12"/>
  <c r="AA43" i="15"/>
  <c r="S38" i="14"/>
  <c r="E22" i="12"/>
  <c r="AJ22" i="12" s="1"/>
  <c r="I19" i="15"/>
  <c r="O27" i="14"/>
  <c r="R25" i="14"/>
  <c r="G33" i="12"/>
  <c r="P51" i="14"/>
  <c r="I59" i="12"/>
  <c r="T51" i="14"/>
  <c r="Q18" i="14"/>
  <c r="T46" i="14"/>
  <c r="P46" i="14"/>
  <c r="P49" i="14"/>
  <c r="J30" i="18"/>
  <c r="W30" i="18" s="1"/>
  <c r="J40" i="18"/>
  <c r="W40" i="18" s="1"/>
  <c r="J58" i="18"/>
  <c r="W58" i="18" s="1"/>
  <c r="J13" i="12"/>
  <c r="AA10" i="15"/>
  <c r="S5" i="14"/>
  <c r="J17" i="12"/>
  <c r="AA14" i="15"/>
  <c r="S9" i="14"/>
  <c r="J47" i="12"/>
  <c r="AA44" i="15"/>
  <c r="S39" i="14"/>
  <c r="J42" i="18"/>
  <c r="W42" i="18" s="1"/>
  <c r="E32" i="12"/>
  <c r="AJ32" i="12" s="1"/>
  <c r="I29" i="15"/>
  <c r="J57" i="18"/>
  <c r="W57" i="18" s="1"/>
  <c r="R37" i="14"/>
  <c r="G45" i="12"/>
  <c r="E49" i="12"/>
  <c r="AJ49" i="12" s="1"/>
  <c r="I46" i="15"/>
  <c r="O8" i="14"/>
  <c r="P20" i="14"/>
  <c r="I28" i="12"/>
  <c r="C31" i="15"/>
  <c r="P32" i="14"/>
  <c r="I40" i="12"/>
  <c r="R16" i="13" s="1"/>
  <c r="T32" i="14"/>
  <c r="O43" i="15"/>
  <c r="Y38" i="14"/>
  <c r="O48" i="15"/>
  <c r="Y43" i="14"/>
  <c r="E17" i="12"/>
  <c r="AJ17" i="12" s="1"/>
  <c r="I14" i="15"/>
  <c r="R29" i="14"/>
  <c r="G37" i="12"/>
  <c r="C47" i="15"/>
  <c r="J54" i="12"/>
  <c r="AA51" i="15"/>
  <c r="S46" i="14"/>
  <c r="C14" i="15"/>
  <c r="J23" i="12"/>
  <c r="AA20" i="15"/>
  <c r="S15" i="14"/>
  <c r="U26" i="15"/>
  <c r="H29" i="12"/>
  <c r="Q21" i="14"/>
  <c r="U32" i="15"/>
  <c r="H35" i="12"/>
  <c r="O38" i="15"/>
  <c r="Y33" i="14"/>
  <c r="O45" i="14"/>
  <c r="X25" i="14"/>
  <c r="J44" i="12"/>
  <c r="AA41" i="15"/>
  <c r="S36" i="14"/>
  <c r="U46" i="15"/>
  <c r="H49" i="12"/>
  <c r="P44" i="14"/>
  <c r="I52" i="12"/>
  <c r="T48" i="14"/>
  <c r="I56" i="12"/>
  <c r="U9" i="15"/>
  <c r="H12" i="12"/>
  <c r="O15" i="15"/>
  <c r="Y10" i="14"/>
  <c r="O21" i="15"/>
  <c r="Y16" i="14"/>
  <c r="O27" i="15"/>
  <c r="Y22" i="14"/>
  <c r="R34" i="14"/>
  <c r="G42" i="12"/>
  <c r="O45" i="15"/>
  <c r="Y40" i="14"/>
  <c r="T35" i="14"/>
  <c r="I43" i="12"/>
  <c r="O52" i="15"/>
  <c r="Y47" i="14"/>
  <c r="O37" i="14"/>
  <c r="X37" i="14"/>
  <c r="C27" i="15"/>
  <c r="J69" i="18"/>
  <c r="W69" i="18" s="1"/>
  <c r="C54" i="15"/>
  <c r="C57" i="15"/>
  <c r="O10" i="15"/>
  <c r="Y5" i="14"/>
  <c r="X11" i="14"/>
  <c r="O22" i="15"/>
  <c r="Y17" i="14"/>
  <c r="X23" i="14"/>
  <c r="O46" i="15"/>
  <c r="Y41" i="14"/>
  <c r="E51" i="12"/>
  <c r="I48" i="15"/>
  <c r="U12" i="15"/>
  <c r="H15" i="12"/>
  <c r="E39" i="12"/>
  <c r="AJ39" i="12" s="1"/>
  <c r="I36" i="15"/>
  <c r="E46" i="12"/>
  <c r="I43" i="15"/>
  <c r="C50" i="15"/>
  <c r="E11" i="12"/>
  <c r="AJ11" i="12" s="1"/>
  <c r="I8" i="15"/>
  <c r="X6" i="14"/>
  <c r="O12" i="14"/>
  <c r="P30" i="14"/>
  <c r="I38" i="12"/>
  <c r="G44" i="12"/>
  <c r="R36" i="14"/>
  <c r="O42" i="14"/>
  <c r="E21" i="12"/>
  <c r="AJ21" i="12" s="1"/>
  <c r="I18" i="15"/>
  <c r="J63" i="18"/>
  <c r="W63" i="18" s="1"/>
  <c r="J32" i="18"/>
  <c r="W32" i="18" s="1"/>
  <c r="R51" i="14"/>
  <c r="G59" i="12"/>
  <c r="J56" i="12"/>
  <c r="AA53" i="15"/>
  <c r="S48" i="14"/>
  <c r="X21" i="14"/>
  <c r="U44" i="15"/>
  <c r="H47" i="12"/>
  <c r="E50" i="12"/>
  <c r="I47" i="15"/>
  <c r="O51" i="15"/>
  <c r="Y46" i="14"/>
  <c r="Q9" i="14"/>
  <c r="T49" i="14"/>
  <c r="C9" i="15"/>
  <c r="C19" i="15"/>
  <c r="L12" i="13"/>
  <c r="C37" i="15"/>
  <c r="J16" i="12"/>
  <c r="AA13" i="15"/>
  <c r="S8" i="14"/>
  <c r="J31" i="12"/>
  <c r="AA28" i="15"/>
  <c r="S23" i="14"/>
  <c r="J34" i="12"/>
  <c r="AA31" i="15"/>
  <c r="S26" i="14"/>
  <c r="E19" i="12"/>
  <c r="I16" i="15"/>
  <c r="J20" i="12"/>
  <c r="AA17" i="15"/>
  <c r="S12" i="14"/>
  <c r="E27" i="12"/>
  <c r="AJ27" i="12" s="1"/>
  <c r="I24" i="15"/>
  <c r="E37" i="12"/>
  <c r="AJ37" i="12" s="1"/>
  <c r="I34" i="15"/>
  <c r="J38" i="12"/>
  <c r="AA35" i="15"/>
  <c r="S30" i="14"/>
  <c r="E45" i="12"/>
  <c r="I42" i="15"/>
  <c r="J29" i="12"/>
  <c r="AA26" i="15"/>
  <c r="S21" i="14"/>
  <c r="E41" i="12"/>
  <c r="AJ41" i="12" s="1"/>
  <c r="I38" i="15"/>
  <c r="E20" i="12"/>
  <c r="I17" i="15"/>
  <c r="C21" i="15"/>
  <c r="C36" i="15"/>
  <c r="P10" i="14"/>
  <c r="I18" i="12"/>
  <c r="E55" i="12"/>
  <c r="I52" i="15"/>
  <c r="P50" i="14"/>
  <c r="I58" i="12"/>
  <c r="U19" i="15"/>
  <c r="H22" i="12"/>
  <c r="R20" i="14"/>
  <c r="G28" i="12"/>
  <c r="R26" i="14"/>
  <c r="G34" i="12"/>
  <c r="O37" i="15"/>
  <c r="L10" i="13"/>
  <c r="Y32" i="14"/>
  <c r="O38" i="14"/>
  <c r="O43" i="14"/>
  <c r="X43" i="14"/>
  <c r="U20" i="15"/>
  <c r="H23" i="12"/>
  <c r="E43" i="12"/>
  <c r="I40" i="15"/>
  <c r="J50" i="12"/>
  <c r="AA47" i="15"/>
  <c r="S42" i="14"/>
  <c r="C53" i="15"/>
  <c r="R15" i="14"/>
  <c r="G23" i="12"/>
  <c r="O26" i="15"/>
  <c r="Y21" i="14"/>
  <c r="O32" i="15"/>
  <c r="Y27" i="14"/>
  <c r="O33" i="14"/>
  <c r="O56" i="15"/>
  <c r="Y51" i="14"/>
  <c r="U28" i="15"/>
  <c r="H31" i="12"/>
  <c r="T37" i="14"/>
  <c r="I45" i="12"/>
  <c r="E54" i="12"/>
  <c r="AJ54" i="12" s="1"/>
  <c r="I51" i="15"/>
  <c r="P4" i="14"/>
  <c r="I12" i="12"/>
  <c r="T4" i="14"/>
  <c r="X10" i="14"/>
  <c r="X16" i="14"/>
  <c r="O22" i="14"/>
  <c r="U39" i="15"/>
  <c r="H42" i="12"/>
  <c r="X40" i="14"/>
  <c r="C40" i="15"/>
  <c r="X47" i="14"/>
  <c r="J27" i="12"/>
  <c r="AA24" i="15"/>
  <c r="S19" i="14"/>
  <c r="J36" i="18"/>
  <c r="W36" i="18" s="1"/>
  <c r="C48" i="15"/>
  <c r="J57" i="12"/>
  <c r="AA54" i="15"/>
  <c r="S49" i="14"/>
  <c r="X5" i="14"/>
  <c r="E25" i="12"/>
  <c r="I22" i="15"/>
  <c r="X17" i="14"/>
  <c r="U34" i="15"/>
  <c r="H37" i="12"/>
  <c r="X41" i="14"/>
  <c r="T43" i="14"/>
  <c r="I51" i="12"/>
  <c r="C55" i="15"/>
  <c r="P7" i="14"/>
  <c r="I15" i="12"/>
  <c r="T7" i="14"/>
  <c r="O36" i="15"/>
  <c r="Y31" i="14"/>
  <c r="J53" i="12"/>
  <c r="AA50" i="15"/>
  <c r="S45" i="14"/>
  <c r="E57" i="12"/>
  <c r="AJ57" i="12" s="1"/>
  <c r="I54" i="15"/>
  <c r="P12" i="14"/>
  <c r="I20" i="12"/>
  <c r="T12" i="14"/>
  <c r="R18" i="14"/>
  <c r="G26" i="12"/>
  <c r="J32" i="12"/>
  <c r="AA29" i="15"/>
  <c r="S24" i="14"/>
  <c r="C35" i="15"/>
  <c r="U41" i="15"/>
  <c r="H44" i="12"/>
  <c r="Q36" i="14"/>
  <c r="O53" i="15"/>
  <c r="Y48" i="14"/>
  <c r="O18" i="15"/>
  <c r="Y13" i="14"/>
  <c r="G13" i="12"/>
  <c r="G22" i="12"/>
  <c r="G20" i="12"/>
  <c r="G19" i="12"/>
  <c r="G17" i="12"/>
  <c r="F42" i="12"/>
  <c r="AI42" i="12" s="1"/>
  <c r="M36" i="19" s="1"/>
  <c r="A38" i="11"/>
  <c r="A14" i="11"/>
  <c r="F11" i="12"/>
  <c r="AI11" i="12" s="1"/>
  <c r="A47" i="11"/>
  <c r="A29" i="11"/>
  <c r="A23" i="11"/>
  <c r="AC7" i="13"/>
  <c r="F12" i="12"/>
  <c r="F43" i="12"/>
  <c r="AI43" i="12" s="1"/>
  <c r="F46" i="12"/>
  <c r="F16" i="12"/>
  <c r="AI16" i="12" s="1"/>
  <c r="A30" i="11"/>
  <c r="F25" i="12"/>
  <c r="F38" i="12"/>
  <c r="F26" i="12"/>
  <c r="F37" i="12"/>
  <c r="F48" i="12"/>
  <c r="AI48" i="12" s="1"/>
  <c r="F30" i="12"/>
  <c r="F24" i="12"/>
  <c r="AI24" i="12" s="1"/>
  <c r="G36" i="19" s="1"/>
  <c r="F52" i="12"/>
  <c r="AI52" i="12" s="1"/>
  <c r="F28" i="12"/>
  <c r="AI28" i="12" s="1"/>
  <c r="F60" i="12"/>
  <c r="A58" i="11"/>
  <c r="A22" i="11"/>
  <c r="A55" i="11"/>
  <c r="A43" i="11"/>
  <c r="A31" i="11"/>
  <c r="A60" i="11"/>
  <c r="A42" i="11"/>
  <c r="A15" i="11"/>
  <c r="A37" i="11"/>
  <c r="A13" i="11"/>
  <c r="A36" i="11"/>
  <c r="F50" i="12"/>
  <c r="AI50" i="12" s="1"/>
  <c r="AC9" i="13"/>
  <c r="T97" i="10"/>
  <c r="T105" i="10"/>
  <c r="T104" i="10"/>
  <c r="T108" i="10"/>
  <c r="T106" i="10"/>
  <c r="T107" i="10"/>
  <c r="T96" i="10"/>
  <c r="T98" i="10"/>
  <c r="T99" i="10"/>
  <c r="B3" i="10"/>
  <c r="B4" i="10"/>
  <c r="B5" i="10"/>
  <c r="B6" i="10"/>
  <c r="B7" i="10"/>
  <c r="B8" i="10"/>
  <c r="B9" i="10"/>
  <c r="B10" i="10"/>
  <c r="B11" i="10"/>
  <c r="B2" i="10"/>
  <c r="E21" i="10"/>
  <c r="E22" i="10"/>
  <c r="E23" i="10"/>
  <c r="E24" i="10"/>
  <c r="E20" i="10"/>
  <c r="E29" i="10"/>
  <c r="E30" i="10"/>
  <c r="E31" i="10"/>
  <c r="E32" i="10"/>
  <c r="E33" i="10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G44" i="11" s="1"/>
  <c r="Q44" i="11" s="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11" i="11"/>
  <c r="G32" i="11"/>
  <c r="Q32" i="11" s="1"/>
  <c r="C11" i="12"/>
  <c r="C12" i="12"/>
  <c r="W4" i="14" s="1"/>
  <c r="C13" i="12"/>
  <c r="W5" i="14" s="1"/>
  <c r="C14" i="12"/>
  <c r="C15" i="12"/>
  <c r="W7" i="14" s="1"/>
  <c r="C16" i="12"/>
  <c r="W8" i="14" s="1"/>
  <c r="C17" i="12"/>
  <c r="W9" i="14" s="1"/>
  <c r="C18" i="12"/>
  <c r="W10" i="14" s="1"/>
  <c r="C19" i="12"/>
  <c r="W11" i="14" s="1"/>
  <c r="C20" i="12"/>
  <c r="C21" i="12"/>
  <c r="W13" i="14" s="1"/>
  <c r="C22" i="12"/>
  <c r="C23" i="12"/>
  <c r="W15" i="14" s="1"/>
  <c r="C24" i="12"/>
  <c r="W16" i="14" s="1"/>
  <c r="C25" i="12"/>
  <c r="W17" i="14" s="1"/>
  <c r="C26" i="12"/>
  <c r="C27" i="12"/>
  <c r="C28" i="12"/>
  <c r="C29" i="12"/>
  <c r="W21" i="14" s="1"/>
  <c r="C30" i="12"/>
  <c r="W22" i="14" s="1"/>
  <c r="C31" i="12"/>
  <c r="W23" i="14" s="1"/>
  <c r="C32" i="12"/>
  <c r="W24" i="14" s="1"/>
  <c r="C33" i="12"/>
  <c r="W25" i="14" s="1"/>
  <c r="C34" i="12"/>
  <c r="W26" i="14" s="1"/>
  <c r="C35" i="12"/>
  <c r="W27" i="14" s="1"/>
  <c r="C36" i="12"/>
  <c r="W28" i="14" s="1"/>
  <c r="C37" i="12"/>
  <c r="W29" i="14" s="1"/>
  <c r="C38" i="12"/>
  <c r="C39" i="12"/>
  <c r="W31" i="14" s="1"/>
  <c r="C40" i="12"/>
  <c r="C41" i="12"/>
  <c r="W33" i="14" s="1"/>
  <c r="C42" i="12"/>
  <c r="W34" i="14" s="1"/>
  <c r="C43" i="12"/>
  <c r="W35" i="14" s="1"/>
  <c r="C44" i="12"/>
  <c r="W36" i="14" s="1"/>
  <c r="C45" i="12"/>
  <c r="W37" i="14" s="1"/>
  <c r="C46" i="12"/>
  <c r="W38" i="14" s="1"/>
  <c r="C47" i="12"/>
  <c r="W39" i="14" s="1"/>
  <c r="C48" i="12"/>
  <c r="C49" i="12"/>
  <c r="W41" i="14" s="1"/>
  <c r="C50" i="12"/>
  <c r="C51" i="12"/>
  <c r="W43" i="14" s="1"/>
  <c r="C52" i="12"/>
  <c r="W44" i="14" s="1"/>
  <c r="C53" i="12"/>
  <c r="W45" i="14" s="1"/>
  <c r="C54" i="12"/>
  <c r="W46" i="14" s="1"/>
  <c r="C55" i="12"/>
  <c r="W47" i="14" s="1"/>
  <c r="C56" i="12"/>
  <c r="C57" i="12"/>
  <c r="W49" i="14" s="1"/>
  <c r="C58" i="12"/>
  <c r="W50" i="14" s="1"/>
  <c r="C59" i="12"/>
  <c r="W51" i="14" s="1"/>
  <c r="C60" i="12"/>
  <c r="Q20" i="13" l="1"/>
  <c r="A57" i="11"/>
  <c r="A41" i="11"/>
  <c r="A32" i="11"/>
  <c r="D11" i="12"/>
  <c r="AD6" i="13" s="1"/>
  <c r="A34" i="11"/>
  <c r="AJ55" i="12"/>
  <c r="S12" i="13"/>
  <c r="A39" i="11"/>
  <c r="A33" i="11"/>
  <c r="AC39" i="13"/>
  <c r="A44" i="11"/>
  <c r="A25" i="11"/>
  <c r="AJ25" i="12"/>
  <c r="A48" i="11"/>
  <c r="AJ48" i="12"/>
  <c r="AC38" i="13"/>
  <c r="AJ43" i="12"/>
  <c r="A18" i="11"/>
  <c r="AJ18" i="12"/>
  <c r="A27" i="11"/>
  <c r="A24" i="11"/>
  <c r="K18" i="14"/>
  <c r="AI26" i="12"/>
  <c r="L38" i="14"/>
  <c r="AI46" i="12"/>
  <c r="A35" i="11"/>
  <c r="A59" i="11"/>
  <c r="A12" i="11"/>
  <c r="AJ12" i="12"/>
  <c r="A17" i="11"/>
  <c r="A51" i="11"/>
  <c r="AJ51" i="12"/>
  <c r="A50" i="11"/>
  <c r="AJ50" i="12"/>
  <c r="A53" i="11"/>
  <c r="AJ53" i="12"/>
  <c r="L52" i="14"/>
  <c r="AI60" i="12"/>
  <c r="A19" i="11"/>
  <c r="AJ19" i="12"/>
  <c r="A49" i="11"/>
  <c r="L30" i="14"/>
  <c r="AI38" i="12"/>
  <c r="A21" i="11"/>
  <c r="G30" i="11"/>
  <c r="Q30" i="11" s="1"/>
  <c r="A54" i="11"/>
  <c r="A28" i="11"/>
  <c r="L22" i="14"/>
  <c r="AI30" i="12"/>
  <c r="I36" i="19" s="1"/>
  <c r="A45" i="11"/>
  <c r="AJ45" i="12"/>
  <c r="AJ40" i="12"/>
  <c r="L29" i="14"/>
  <c r="AI37" i="12"/>
  <c r="A56" i="11"/>
  <c r="AJ56" i="12"/>
  <c r="K4" i="14"/>
  <c r="AI12" i="12"/>
  <c r="A46" i="11"/>
  <c r="AJ46" i="12"/>
  <c r="A11" i="11"/>
  <c r="A16" i="11"/>
  <c r="A52" i="11"/>
  <c r="L17" i="14"/>
  <c r="AI25" i="12"/>
  <c r="A26" i="11"/>
  <c r="A20" i="11"/>
  <c r="AJ20" i="12"/>
  <c r="Q16" i="13"/>
  <c r="D50" i="12"/>
  <c r="K42" i="14"/>
  <c r="D28" i="12"/>
  <c r="AD23" i="13" s="1"/>
  <c r="K20" i="14"/>
  <c r="D52" i="12"/>
  <c r="K44" i="14"/>
  <c r="L44" i="14"/>
  <c r="D16" i="12"/>
  <c r="AD11" i="13" s="1"/>
  <c r="K8" i="14"/>
  <c r="D43" i="12"/>
  <c r="AD38" i="13" s="1"/>
  <c r="K35" i="14"/>
  <c r="D42" i="12"/>
  <c r="AD37" i="13" s="1"/>
  <c r="K34" i="14"/>
  <c r="L20" i="14"/>
  <c r="G26" i="11"/>
  <c r="Q26" i="11" s="1"/>
  <c r="W18" i="14"/>
  <c r="D24" i="12"/>
  <c r="AD19" i="13" s="1"/>
  <c r="K16" i="14"/>
  <c r="D46" i="12"/>
  <c r="K38" i="14"/>
  <c r="L16" i="14"/>
  <c r="L18" i="14"/>
  <c r="G50" i="11"/>
  <c r="Q50" i="11" s="1"/>
  <c r="W42" i="14"/>
  <c r="G14" i="11"/>
  <c r="Q14" i="11" s="1"/>
  <c r="W6" i="14"/>
  <c r="G22" i="11"/>
  <c r="Q22" i="11" s="1"/>
  <c r="W14" i="14"/>
  <c r="G27" i="11"/>
  <c r="Q27" i="11" s="1"/>
  <c r="W19" i="14"/>
  <c r="G56" i="11"/>
  <c r="Q56" i="11" s="1"/>
  <c r="W48" i="14"/>
  <c r="G38" i="11"/>
  <c r="Q38" i="11" s="1"/>
  <c r="W30" i="14"/>
  <c r="G20" i="11"/>
  <c r="Q20" i="11" s="1"/>
  <c r="W12" i="14"/>
  <c r="D30" i="12"/>
  <c r="AD25" i="13" s="1"/>
  <c r="K22" i="14"/>
  <c r="D38" i="12"/>
  <c r="AD33" i="13" s="1"/>
  <c r="K30" i="14"/>
  <c r="K3" i="14"/>
  <c r="L3" i="14"/>
  <c r="G60" i="11"/>
  <c r="Q60" i="11" s="1"/>
  <c r="W52" i="14"/>
  <c r="G48" i="11"/>
  <c r="Q48" i="11" s="1"/>
  <c r="W40" i="14"/>
  <c r="D48" i="12"/>
  <c r="K40" i="14"/>
  <c r="L4" i="14"/>
  <c r="L42" i="14"/>
  <c r="L34" i="14"/>
  <c r="L8" i="14"/>
  <c r="W32" i="14"/>
  <c r="G28" i="11"/>
  <c r="Q28" i="11" s="1"/>
  <c r="W20" i="14"/>
  <c r="G11" i="11"/>
  <c r="Q11" i="11" s="1"/>
  <c r="W3" i="14"/>
  <c r="D60" i="12"/>
  <c r="K52" i="14"/>
  <c r="D37" i="12"/>
  <c r="AD32" i="13" s="1"/>
  <c r="K29" i="14"/>
  <c r="D25" i="12"/>
  <c r="AD20" i="13" s="1"/>
  <c r="K17" i="14"/>
  <c r="L35" i="14"/>
  <c r="L40" i="14"/>
  <c r="AC36" i="13"/>
  <c r="AC16" i="13"/>
  <c r="AC33" i="13"/>
  <c r="AC21" i="13"/>
  <c r="AC34" i="13"/>
  <c r="AC30" i="13"/>
  <c r="AC6" i="13"/>
  <c r="AC27" i="13"/>
  <c r="AC18" i="13"/>
  <c r="AC15" i="13"/>
  <c r="G55" i="11"/>
  <c r="Q55" i="11" s="1"/>
  <c r="G49" i="11"/>
  <c r="Q49" i="11" s="1"/>
  <c r="G43" i="11"/>
  <c r="Q43" i="11" s="1"/>
  <c r="G37" i="11"/>
  <c r="Q37" i="11" s="1"/>
  <c r="G31" i="11"/>
  <c r="Q31" i="11" s="1"/>
  <c r="G25" i="11"/>
  <c r="Q25" i="11" s="1"/>
  <c r="G19" i="11"/>
  <c r="Q19" i="11" s="1"/>
  <c r="G13" i="11"/>
  <c r="Q13" i="11" s="1"/>
  <c r="D12" i="12"/>
  <c r="AD7" i="13" s="1"/>
  <c r="AC12" i="13"/>
  <c r="D26" i="12"/>
  <c r="AD21" i="13" s="1"/>
  <c r="AC45" i="13"/>
  <c r="AC24" i="13"/>
  <c r="F34" i="12"/>
  <c r="AI34" i="12" s="1"/>
  <c r="AC25" i="13"/>
  <c r="AC14" i="13"/>
  <c r="AC28" i="13"/>
  <c r="AC19" i="13"/>
  <c r="AC40" i="13"/>
  <c r="AC8" i="13"/>
  <c r="F32" i="12"/>
  <c r="AI32" i="12" s="1"/>
  <c r="F31" i="12"/>
  <c r="AI31" i="12" s="1"/>
  <c r="AC22" i="13"/>
  <c r="F54" i="12"/>
  <c r="AI54" i="12" s="1"/>
  <c r="F59" i="12"/>
  <c r="AI59" i="12" s="1"/>
  <c r="G53" i="11"/>
  <c r="Q53" i="11" s="1"/>
  <c r="F58" i="12"/>
  <c r="AI58" i="12" s="1"/>
  <c r="F51" i="12"/>
  <c r="AI51" i="12" s="1"/>
  <c r="F27" i="12"/>
  <c r="AI27" i="12" s="1"/>
  <c r="H36" i="19" s="1"/>
  <c r="D27" i="12"/>
  <c r="AD22" i="13" s="1"/>
  <c r="F35" i="12"/>
  <c r="AI35" i="12" s="1"/>
  <c r="F39" i="12"/>
  <c r="AI39" i="12" s="1"/>
  <c r="L36" i="19" s="1"/>
  <c r="G46" i="11"/>
  <c r="Q46" i="11" s="1"/>
  <c r="F13" i="12"/>
  <c r="AI13" i="12" s="1"/>
  <c r="F20" i="12"/>
  <c r="AI20" i="12" s="1"/>
  <c r="AC10" i="13"/>
  <c r="AC29" i="13"/>
  <c r="F36" i="12"/>
  <c r="AI36" i="12" s="1"/>
  <c r="K36" i="19" s="1"/>
  <c r="F47" i="12"/>
  <c r="AI47" i="12" s="1"/>
  <c r="F57" i="12"/>
  <c r="AI57" i="12" s="1"/>
  <c r="AC32" i="13"/>
  <c r="AC13" i="13"/>
  <c r="F21" i="12"/>
  <c r="AC35" i="13"/>
  <c r="F41" i="12"/>
  <c r="AI41" i="12" s="1"/>
  <c r="F44" i="12"/>
  <c r="AI44" i="12" s="1"/>
  <c r="G51" i="11"/>
  <c r="Q51" i="11" s="1"/>
  <c r="G45" i="11"/>
  <c r="Q45" i="11" s="1"/>
  <c r="F23" i="12"/>
  <c r="AI23" i="12" s="1"/>
  <c r="F14" i="12"/>
  <c r="AI14" i="12" s="1"/>
  <c r="F22" i="12"/>
  <c r="AI22" i="12" s="1"/>
  <c r="F45" i="12"/>
  <c r="AI45" i="12" s="1"/>
  <c r="F53" i="12"/>
  <c r="AI53" i="12" s="1"/>
  <c r="F40" i="12"/>
  <c r="AI40" i="12" s="1"/>
  <c r="F15" i="12"/>
  <c r="AI15" i="12" s="1"/>
  <c r="D36" i="19" s="1"/>
  <c r="F17" i="12"/>
  <c r="AI17" i="12" s="1"/>
  <c r="F19" i="12"/>
  <c r="AI19" i="12" s="1"/>
  <c r="AC31" i="13"/>
  <c r="G54" i="11"/>
  <c r="Q54" i="11" s="1"/>
  <c r="G42" i="11"/>
  <c r="Q42" i="11" s="1"/>
  <c r="G36" i="11"/>
  <c r="Q36" i="11" s="1"/>
  <c r="G24" i="11"/>
  <c r="Q24" i="11" s="1"/>
  <c r="G18" i="11"/>
  <c r="Q18" i="11" s="1"/>
  <c r="G12" i="11"/>
  <c r="Q12" i="11" s="1"/>
  <c r="F56" i="12"/>
  <c r="AI56" i="12" s="1"/>
  <c r="F49" i="12"/>
  <c r="AI49" i="12" s="1"/>
  <c r="F33" i="12"/>
  <c r="AI33" i="12" s="1"/>
  <c r="J36" i="19" s="1"/>
  <c r="AC11" i="13"/>
  <c r="F18" i="12"/>
  <c r="AI18" i="12" s="1"/>
  <c r="E36" i="19" s="1"/>
  <c r="F29" i="12"/>
  <c r="AI29" i="12" s="1"/>
  <c r="AC20" i="13"/>
  <c r="AC23" i="13"/>
  <c r="F55" i="12"/>
  <c r="AC26" i="13"/>
  <c r="AC17" i="13"/>
  <c r="B2" i="11"/>
  <c r="C2" i="11" s="1"/>
  <c r="D2" i="11" s="1"/>
  <c r="E2" i="11" s="1"/>
  <c r="G59" i="11"/>
  <c r="Q59" i="11" s="1"/>
  <c r="G47" i="11"/>
  <c r="Q47" i="11" s="1"/>
  <c r="G41" i="11"/>
  <c r="Q41" i="11" s="1"/>
  <c r="G35" i="11"/>
  <c r="Q35" i="11" s="1"/>
  <c r="G29" i="11"/>
  <c r="Q29" i="11" s="1"/>
  <c r="G23" i="11"/>
  <c r="Q23" i="11" s="1"/>
  <c r="G17" i="11"/>
  <c r="Q17" i="11" s="1"/>
  <c r="G58" i="11"/>
  <c r="Q58" i="11" s="1"/>
  <c r="G52" i="11"/>
  <c r="Q52" i="11" s="1"/>
  <c r="G40" i="11"/>
  <c r="G34" i="11"/>
  <c r="Q34" i="11" s="1"/>
  <c r="G16" i="11"/>
  <c r="Q16" i="11" s="1"/>
  <c r="G57" i="11"/>
  <c r="Q57" i="11" s="1"/>
  <c r="G39" i="11"/>
  <c r="Q39" i="11" s="1"/>
  <c r="G33" i="11"/>
  <c r="Q33" i="11" s="1"/>
  <c r="G21" i="11"/>
  <c r="Q21" i="11" s="1"/>
  <c r="G15" i="11"/>
  <c r="Q15" i="11" s="1"/>
  <c r="AI55" i="12" l="1"/>
  <c r="S14" i="13"/>
  <c r="M30" i="13"/>
  <c r="O30" i="13" s="1"/>
  <c r="D47" i="12"/>
  <c r="AD45" i="13" s="1"/>
  <c r="D21" i="12"/>
  <c r="AD16" i="13" s="1"/>
  <c r="AI21" i="12"/>
  <c r="F36" i="19" s="1"/>
  <c r="D53" i="12"/>
  <c r="D55" i="12"/>
  <c r="S8" i="13" s="1"/>
  <c r="K47" i="14"/>
  <c r="L47" i="14"/>
  <c r="D13" i="12"/>
  <c r="AD8" i="13" s="1"/>
  <c r="K5" i="14"/>
  <c r="L5" i="14"/>
  <c r="D31" i="12"/>
  <c r="AD26" i="13" s="1"/>
  <c r="K23" i="14"/>
  <c r="L23" i="14"/>
  <c r="D49" i="12"/>
  <c r="K41" i="14"/>
  <c r="L41" i="14"/>
  <c r="D40" i="12"/>
  <c r="M29" i="13"/>
  <c r="K32" i="14"/>
  <c r="L32" i="14"/>
  <c r="D23" i="12"/>
  <c r="AD18" i="13" s="1"/>
  <c r="K15" i="14"/>
  <c r="L15" i="14"/>
  <c r="K39" i="14"/>
  <c r="L39" i="14"/>
  <c r="D58" i="12"/>
  <c r="K50" i="14"/>
  <c r="L50" i="14"/>
  <c r="D32" i="12"/>
  <c r="AD27" i="13" s="1"/>
  <c r="K24" i="14"/>
  <c r="L24" i="14"/>
  <c r="D56" i="12"/>
  <c r="K48" i="14"/>
  <c r="L48" i="14"/>
  <c r="K13" i="14"/>
  <c r="L13" i="14"/>
  <c r="D36" i="12"/>
  <c r="AD31" i="13" s="1"/>
  <c r="K28" i="14"/>
  <c r="L28" i="14"/>
  <c r="D39" i="12"/>
  <c r="AD34" i="13" s="1"/>
  <c r="K31" i="14"/>
  <c r="L31" i="14"/>
  <c r="D34" i="12"/>
  <c r="AD29" i="13" s="1"/>
  <c r="K26" i="14"/>
  <c r="L26" i="14"/>
  <c r="D29" i="12"/>
  <c r="AD24" i="13" s="1"/>
  <c r="K21" i="14"/>
  <c r="L21" i="14"/>
  <c r="K45" i="14"/>
  <c r="L45" i="14"/>
  <c r="D35" i="12"/>
  <c r="AD30" i="13" s="1"/>
  <c r="K27" i="14"/>
  <c r="L27" i="14"/>
  <c r="D59" i="12"/>
  <c r="K51" i="14"/>
  <c r="L51" i="14"/>
  <c r="D33" i="12"/>
  <c r="AD28" i="13" s="1"/>
  <c r="K25" i="14"/>
  <c r="L25" i="14"/>
  <c r="D15" i="12"/>
  <c r="AD10" i="13" s="1"/>
  <c r="K7" i="14"/>
  <c r="L7" i="14"/>
  <c r="D51" i="12"/>
  <c r="K43" i="14"/>
  <c r="L43" i="14"/>
  <c r="D18" i="12"/>
  <c r="AD13" i="13" s="1"/>
  <c r="K10" i="14"/>
  <c r="L10" i="14"/>
  <c r="D19" i="12"/>
  <c r="AD14" i="13" s="1"/>
  <c r="K11" i="14"/>
  <c r="L11" i="14"/>
  <c r="D45" i="12"/>
  <c r="AD40" i="13" s="1"/>
  <c r="K37" i="14"/>
  <c r="L37" i="14"/>
  <c r="D44" i="12"/>
  <c r="AD39" i="13" s="1"/>
  <c r="K36" i="14"/>
  <c r="L36" i="14"/>
  <c r="D54" i="12"/>
  <c r="K46" i="14"/>
  <c r="L46" i="14"/>
  <c r="D14" i="12"/>
  <c r="AD9" i="13" s="1"/>
  <c r="K6" i="14"/>
  <c r="L6" i="14"/>
  <c r="Q40" i="11"/>
  <c r="N26" i="13"/>
  <c r="D17" i="12"/>
  <c r="AD12" i="13" s="1"/>
  <c r="K9" i="14"/>
  <c r="L9" i="14"/>
  <c r="D22" i="12"/>
  <c r="AD17" i="13" s="1"/>
  <c r="K14" i="14"/>
  <c r="L14" i="14"/>
  <c r="D41" i="12"/>
  <c r="AD36" i="13" s="1"/>
  <c r="K33" i="14"/>
  <c r="L33" i="14"/>
  <c r="D57" i="12"/>
  <c r="K49" i="14"/>
  <c r="L49" i="14"/>
  <c r="D20" i="12"/>
  <c r="AD15" i="13" s="1"/>
  <c r="K12" i="14"/>
  <c r="L12" i="14"/>
  <c r="K19" i="14"/>
  <c r="L19" i="14"/>
  <c r="E80" i="10"/>
  <c r="F80" i="10" s="1"/>
  <c r="E81" i="10"/>
  <c r="O81" i="10" s="1"/>
  <c r="E82" i="10"/>
  <c r="O82" i="10" s="1"/>
  <c r="E83" i="10"/>
  <c r="E79" i="10"/>
  <c r="O79" i="10" s="1"/>
  <c r="Q32" i="5"/>
  <c r="R32" i="5" s="1"/>
  <c r="Q33" i="5"/>
  <c r="R33" i="5" s="1"/>
  <c r="Q34" i="5"/>
  <c r="R34" i="5" s="1"/>
  <c r="Q35" i="5"/>
  <c r="R35" i="5" s="1"/>
  <c r="Q36" i="5"/>
  <c r="R36" i="5" s="1"/>
  <c r="Q37" i="5"/>
  <c r="R37" i="5" s="1"/>
  <c r="Q38" i="5"/>
  <c r="R38" i="5" s="1"/>
  <c r="Q39" i="5"/>
  <c r="R39" i="5" s="1"/>
  <c r="Q40" i="5"/>
  <c r="R40" i="5" s="1"/>
  <c r="Q41" i="5"/>
  <c r="R41" i="5" s="1"/>
  <c r="Q31" i="5"/>
  <c r="R31" i="5" s="1"/>
  <c r="E71" i="10"/>
  <c r="O71" i="10" s="1"/>
  <c r="E72" i="10"/>
  <c r="O72" i="10" s="1"/>
  <c r="E73" i="10"/>
  <c r="E74" i="10"/>
  <c r="I74" i="10" s="1"/>
  <c r="E70" i="10"/>
  <c r="H70" i="10" s="1"/>
  <c r="H55" i="10"/>
  <c r="F56" i="10"/>
  <c r="G57" i="10"/>
  <c r="H58" i="10"/>
  <c r="O54" i="10"/>
  <c r="AD35" i="13" l="1"/>
  <c r="O29" i="13"/>
  <c r="M31" i="13" s="1"/>
  <c r="G54" i="10"/>
  <c r="H80" i="10"/>
  <c r="I80" i="10"/>
  <c r="K58" i="10"/>
  <c r="O58" i="10"/>
  <c r="J80" i="10"/>
  <c r="N58" i="10"/>
  <c r="N80" i="10"/>
  <c r="M58" i="10"/>
  <c r="F58" i="10"/>
  <c r="G58" i="10"/>
  <c r="J81" i="10"/>
  <c r="M55" i="10"/>
  <c r="I55" i="10"/>
  <c r="G55" i="10"/>
  <c r="O56" i="10"/>
  <c r="F55" i="10"/>
  <c r="O55" i="10"/>
  <c r="M70" i="10"/>
  <c r="N55" i="10"/>
  <c r="L74" i="10"/>
  <c r="N56" i="10"/>
  <c r="G79" i="10"/>
  <c r="M56" i="10"/>
  <c r="H79" i="10"/>
  <c r="H86" i="10" s="1"/>
  <c r="H56" i="10"/>
  <c r="J55" i="10"/>
  <c r="N71" i="10"/>
  <c r="M79" i="10"/>
  <c r="I57" i="10"/>
  <c r="G56" i="10"/>
  <c r="I71" i="10"/>
  <c r="N79" i="10"/>
  <c r="F57" i="10"/>
  <c r="F70" i="10"/>
  <c r="N70" i="10"/>
  <c r="N54" i="10"/>
  <c r="I58" i="10"/>
  <c r="E86" i="10"/>
  <c r="M80" i="10"/>
  <c r="N81" i="10"/>
  <c r="H54" i="10"/>
  <c r="I70" i="10"/>
  <c r="F74" i="10"/>
  <c r="M54" i="10"/>
  <c r="J58" i="10"/>
  <c r="M74" i="10"/>
  <c r="O80" i="10"/>
  <c r="O87" i="10" s="1"/>
  <c r="K57" i="10"/>
  <c r="O57" i="10"/>
  <c r="L55" i="10"/>
  <c r="K55" i="10"/>
  <c r="J72" i="10"/>
  <c r="I54" i="10"/>
  <c r="J73" i="10"/>
  <c r="I79" i="10"/>
  <c r="I81" i="10"/>
  <c r="I56" i="10"/>
  <c r="L57" i="10"/>
  <c r="K74" i="10"/>
  <c r="J54" i="10"/>
  <c r="K56" i="10"/>
  <c r="J71" i="10"/>
  <c r="J82" i="10"/>
  <c r="L80" i="10"/>
  <c r="L56" i="10"/>
  <c r="L54" i="10"/>
  <c r="J56" i="10"/>
  <c r="J70" i="10"/>
  <c r="J74" i="10"/>
  <c r="J83" i="10"/>
  <c r="L58" i="10"/>
  <c r="L70" i="10"/>
  <c r="K54" i="10"/>
  <c r="G74" i="10"/>
  <c r="N74" i="10"/>
  <c r="H74" i="10"/>
  <c r="O70" i="10"/>
  <c r="O86" i="10" s="1"/>
  <c r="J57" i="10"/>
  <c r="N57" i="10"/>
  <c r="H57" i="10"/>
  <c r="M57" i="10"/>
  <c r="F54" i="10"/>
  <c r="O88" i="10"/>
  <c r="K73" i="10"/>
  <c r="F83" i="10"/>
  <c r="L83" i="10"/>
  <c r="E90" i="10"/>
  <c r="F72" i="10"/>
  <c r="K81" i="10"/>
  <c r="F82" i="10"/>
  <c r="L82" i="10"/>
  <c r="G83" i="10"/>
  <c r="M83" i="10"/>
  <c r="E89" i="10"/>
  <c r="K70" i="10"/>
  <c r="F71" i="10"/>
  <c r="F87" i="10" s="1"/>
  <c r="L71" i="10"/>
  <c r="G72" i="10"/>
  <c r="M72" i="10"/>
  <c r="H73" i="10"/>
  <c r="N73" i="10"/>
  <c r="O74" i="10"/>
  <c r="J79" i="10"/>
  <c r="K80" i="10"/>
  <c r="F81" i="10"/>
  <c r="L81" i="10"/>
  <c r="G82" i="10"/>
  <c r="M82" i="10"/>
  <c r="H83" i="10"/>
  <c r="N83" i="10"/>
  <c r="E88" i="10"/>
  <c r="K83" i="10"/>
  <c r="K72" i="10"/>
  <c r="F73" i="10"/>
  <c r="L73" i="10"/>
  <c r="K82" i="10"/>
  <c r="K71" i="10"/>
  <c r="L72" i="10"/>
  <c r="G73" i="10"/>
  <c r="M73" i="10"/>
  <c r="G71" i="10"/>
  <c r="M71" i="10"/>
  <c r="H72" i="10"/>
  <c r="N72" i="10"/>
  <c r="I73" i="10"/>
  <c r="O73" i="10"/>
  <c r="O89" i="10" s="1"/>
  <c r="K79" i="10"/>
  <c r="G81" i="10"/>
  <c r="M81" i="10"/>
  <c r="H82" i="10"/>
  <c r="N82" i="10"/>
  <c r="I83" i="10"/>
  <c r="I90" i="10" s="1"/>
  <c r="O83" i="10"/>
  <c r="E87" i="10"/>
  <c r="G70" i="10"/>
  <c r="H71" i="10"/>
  <c r="I72" i="10"/>
  <c r="F79" i="10"/>
  <c r="L79" i="10"/>
  <c r="G80" i="10"/>
  <c r="H81" i="10"/>
  <c r="I82" i="10"/>
  <c r="K30" i="10"/>
  <c r="I31" i="10"/>
  <c r="L32" i="10"/>
  <c r="O33" i="10"/>
  <c r="I29" i="10"/>
  <c r="O24" i="10"/>
  <c r="K49" i="10"/>
  <c r="O47" i="10"/>
  <c r="J46" i="10"/>
  <c r="K45" i="10"/>
  <c r="M31" i="5"/>
  <c r="N31" i="5" s="1"/>
  <c r="O35" i="13" l="1"/>
  <c r="M33" i="13"/>
  <c r="O33" i="13" s="1"/>
  <c r="M32" i="13"/>
  <c r="M36" i="13" s="1"/>
  <c r="G88" i="10"/>
  <c r="H89" i="10"/>
  <c r="G86" i="10"/>
  <c r="N86" i="10"/>
  <c r="H87" i="10"/>
  <c r="N87" i="10"/>
  <c r="I87" i="10"/>
  <c r="J87" i="10"/>
  <c r="J88" i="10"/>
  <c r="I86" i="10"/>
  <c r="L90" i="10"/>
  <c r="L29" i="10"/>
  <c r="M86" i="10"/>
  <c r="I49" i="10"/>
  <c r="J32" i="10"/>
  <c r="O45" i="10"/>
  <c r="K29" i="10"/>
  <c r="N88" i="10"/>
  <c r="K90" i="10"/>
  <c r="J33" i="10"/>
  <c r="L45" i="10"/>
  <c r="L33" i="10"/>
  <c r="J29" i="10"/>
  <c r="F86" i="10"/>
  <c r="M88" i="10"/>
  <c r="M90" i="10"/>
  <c r="K32" i="10"/>
  <c r="J31" i="10"/>
  <c r="L30" i="10"/>
  <c r="O46" i="10"/>
  <c r="F29" i="10"/>
  <c r="O29" i="10"/>
  <c r="N29" i="10"/>
  <c r="H29" i="10"/>
  <c r="G29" i="10"/>
  <c r="M29" i="10"/>
  <c r="R33" i="10"/>
  <c r="N33" i="10"/>
  <c r="F33" i="10"/>
  <c r="G33" i="10"/>
  <c r="H33" i="10"/>
  <c r="I33" i="10"/>
  <c r="M33" i="10"/>
  <c r="M87" i="10"/>
  <c r="J30" i="10"/>
  <c r="J47" i="10"/>
  <c r="G46" i="10"/>
  <c r="M46" i="10"/>
  <c r="N46" i="10"/>
  <c r="H46" i="10"/>
  <c r="F46" i="10"/>
  <c r="O31" i="10"/>
  <c r="F31" i="10"/>
  <c r="G31" i="10"/>
  <c r="H31" i="10"/>
  <c r="M31" i="10"/>
  <c r="N31" i="10"/>
  <c r="H47" i="10"/>
  <c r="M47" i="10"/>
  <c r="M63" i="10" s="1"/>
  <c r="N47" i="10"/>
  <c r="I47" i="10"/>
  <c r="F47" i="10"/>
  <c r="G47" i="10"/>
  <c r="F30" i="10"/>
  <c r="O30" i="10"/>
  <c r="H30" i="10"/>
  <c r="I30" i="10"/>
  <c r="M30" i="10"/>
  <c r="N30" i="10"/>
  <c r="G30" i="10"/>
  <c r="K47" i="10"/>
  <c r="H48" i="10"/>
  <c r="M48" i="10"/>
  <c r="N48" i="10"/>
  <c r="N64" i="10" s="1"/>
  <c r="F48" i="10"/>
  <c r="J48" i="10"/>
  <c r="I48" i="10"/>
  <c r="O48" i="10"/>
  <c r="G48" i="10"/>
  <c r="L46" i="10"/>
  <c r="L47" i="10"/>
  <c r="K48" i="10"/>
  <c r="K31" i="10"/>
  <c r="G49" i="10"/>
  <c r="N49" i="10"/>
  <c r="O49" i="10"/>
  <c r="H49" i="10"/>
  <c r="M49" i="10"/>
  <c r="F49" i="10"/>
  <c r="L49" i="10"/>
  <c r="K46" i="10"/>
  <c r="I46" i="10"/>
  <c r="M45" i="10"/>
  <c r="J45" i="10"/>
  <c r="I45" i="10"/>
  <c r="H45" i="10"/>
  <c r="G45" i="10"/>
  <c r="N45" i="10"/>
  <c r="F45" i="10"/>
  <c r="N32" i="10"/>
  <c r="F32" i="10"/>
  <c r="H32" i="10"/>
  <c r="I32" i="10"/>
  <c r="M32" i="10"/>
  <c r="G32" i="10"/>
  <c r="F90" i="10"/>
  <c r="L31" i="10"/>
  <c r="K33" i="10"/>
  <c r="L48" i="10"/>
  <c r="O32" i="10"/>
  <c r="J49" i="10"/>
  <c r="G90" i="10"/>
  <c r="L87" i="10"/>
  <c r="J90" i="10"/>
  <c r="J89" i="10"/>
  <c r="J86" i="10"/>
  <c r="I88" i="10"/>
  <c r="L86" i="10"/>
  <c r="N90" i="10"/>
  <c r="K86" i="10"/>
  <c r="N89" i="10"/>
  <c r="K87" i="10"/>
  <c r="H88" i="10"/>
  <c r="O90" i="10"/>
  <c r="H90" i="10"/>
  <c r="L89" i="10"/>
  <c r="F89" i="10"/>
  <c r="K88" i="10"/>
  <c r="L88" i="10"/>
  <c r="F88" i="10"/>
  <c r="M89" i="10"/>
  <c r="G89" i="10"/>
  <c r="I89" i="10"/>
  <c r="G87" i="10"/>
  <c r="K89" i="10"/>
  <c r="F24" i="10"/>
  <c r="L24" i="10"/>
  <c r="N24" i="10"/>
  <c r="J24" i="10"/>
  <c r="K24" i="10"/>
  <c r="G24" i="10"/>
  <c r="M24" i="10"/>
  <c r="H24" i="10"/>
  <c r="I24" i="10"/>
  <c r="J23" i="10"/>
  <c r="G23" i="10"/>
  <c r="H23" i="10"/>
  <c r="K23" i="10"/>
  <c r="F23" i="10"/>
  <c r="L23" i="10"/>
  <c r="M23" i="10"/>
  <c r="N23" i="10"/>
  <c r="I23" i="10"/>
  <c r="O23" i="10"/>
  <c r="H22" i="10"/>
  <c r="N22" i="10"/>
  <c r="F22" i="10"/>
  <c r="M22" i="10"/>
  <c r="I22" i="10"/>
  <c r="O22" i="10"/>
  <c r="J22" i="10"/>
  <c r="K22" i="10"/>
  <c r="L22" i="10"/>
  <c r="G22" i="10"/>
  <c r="M20" i="10"/>
  <c r="G20" i="10"/>
  <c r="I20" i="10"/>
  <c r="H20" i="10"/>
  <c r="L20" i="10"/>
  <c r="F20" i="10"/>
  <c r="K20" i="10"/>
  <c r="J20" i="10"/>
  <c r="O20" i="10"/>
  <c r="N20" i="10"/>
  <c r="F21" i="10"/>
  <c r="L21" i="10"/>
  <c r="I21" i="10"/>
  <c r="G21" i="10"/>
  <c r="M21" i="10"/>
  <c r="H21" i="10"/>
  <c r="N21" i="10"/>
  <c r="O21" i="10"/>
  <c r="J21" i="10"/>
  <c r="K21" i="10"/>
  <c r="E63" i="10"/>
  <c r="E62" i="10"/>
  <c r="E61" i="10"/>
  <c r="E65" i="10"/>
  <c r="E64" i="10"/>
  <c r="S30" i="10"/>
  <c r="R32" i="10"/>
  <c r="S33" i="10"/>
  <c r="R29" i="10"/>
  <c r="M37" i="13" l="1"/>
  <c r="K62" i="10"/>
  <c r="J65" i="10"/>
  <c r="K61" i="10"/>
  <c r="O64" i="10"/>
  <c r="L62" i="10"/>
  <c r="O61" i="10"/>
  <c r="K65" i="10"/>
  <c r="J62" i="10"/>
  <c r="O62" i="10"/>
  <c r="M62" i="10"/>
  <c r="G62" i="10"/>
  <c r="H62" i="10"/>
  <c r="H61" i="10"/>
  <c r="I62" i="10"/>
  <c r="J63" i="10"/>
  <c r="F65" i="10"/>
  <c r="K63" i="10"/>
  <c r="F63" i="10"/>
  <c r="N63" i="10"/>
  <c r="N62" i="10"/>
  <c r="I61" i="10"/>
  <c r="H63" i="10"/>
  <c r="O65" i="10"/>
  <c r="J64" i="10"/>
  <c r="G63" i="10"/>
  <c r="G61" i="10"/>
  <c r="J61" i="10"/>
  <c r="K64" i="10"/>
  <c r="O63" i="10"/>
  <c r="N61" i="10"/>
  <c r="F62" i="10"/>
  <c r="G64" i="10"/>
  <c r="H64" i="10"/>
  <c r="L64" i="10"/>
  <c r="M61" i="10"/>
  <c r="L63" i="10"/>
  <c r="F64" i="10"/>
  <c r="L65" i="10"/>
  <c r="I64" i="10"/>
  <c r="L61" i="10"/>
  <c r="F61" i="10"/>
  <c r="M64" i="10"/>
  <c r="G65" i="10"/>
  <c r="I63" i="10"/>
  <c r="I65" i="10"/>
  <c r="N65" i="10"/>
  <c r="H65" i="10"/>
  <c r="M65" i="10"/>
  <c r="U32" i="10"/>
  <c r="T31" i="10"/>
  <c r="S31" i="10"/>
  <c r="R30" i="10"/>
  <c r="U33" i="10"/>
  <c r="S32" i="10"/>
  <c r="U30" i="10"/>
  <c r="S29" i="10"/>
  <c r="T29" i="10"/>
  <c r="U29" i="10"/>
  <c r="T32" i="10"/>
  <c r="R31" i="10"/>
  <c r="T33" i="10"/>
  <c r="T30" i="10"/>
  <c r="U31" i="10"/>
  <c r="E40" i="10"/>
  <c r="E39" i="10"/>
  <c r="E37" i="10"/>
  <c r="E36" i="10"/>
  <c r="E38" i="10"/>
  <c r="H38" i="10"/>
  <c r="M36" i="10"/>
  <c r="M38" i="10"/>
  <c r="I32" i="5"/>
  <c r="J32" i="5" s="1"/>
  <c r="I33" i="5"/>
  <c r="J33" i="5" s="1"/>
  <c r="I34" i="5"/>
  <c r="J34" i="5" s="1"/>
  <c r="I35" i="5"/>
  <c r="J35" i="5" s="1"/>
  <c r="I36" i="5"/>
  <c r="J36" i="5" s="1"/>
  <c r="I37" i="5"/>
  <c r="J37" i="5" s="1"/>
  <c r="I38" i="5"/>
  <c r="J38" i="5" s="1"/>
  <c r="I39" i="5"/>
  <c r="J39" i="5" s="1"/>
  <c r="J40" i="5"/>
  <c r="I41" i="5"/>
  <c r="J41" i="5" s="1"/>
  <c r="I31" i="5"/>
  <c r="J31" i="5" s="1"/>
  <c r="M41" i="5"/>
  <c r="M32" i="5"/>
  <c r="M33" i="5"/>
  <c r="M34" i="5"/>
  <c r="M35" i="5"/>
  <c r="M36" i="5"/>
  <c r="M37" i="5"/>
  <c r="M38" i="5"/>
  <c r="M39" i="5"/>
  <c r="M40" i="5"/>
  <c r="O31" i="5"/>
  <c r="N35" i="5" l="1"/>
  <c r="O35" i="5" s="1"/>
  <c r="N34" i="5"/>
  <c r="O34" i="5" s="1"/>
  <c r="N39" i="5"/>
  <c r="O39" i="5" s="1"/>
  <c r="N36" i="5"/>
  <c r="O36" i="5" s="1"/>
  <c r="N33" i="5"/>
  <c r="O33" i="5" s="1"/>
  <c r="N32" i="5"/>
  <c r="O32" i="5" s="1"/>
  <c r="N40" i="5"/>
  <c r="O40" i="5" s="1"/>
  <c r="N38" i="5"/>
  <c r="O38" i="5" s="1"/>
  <c r="N37" i="5"/>
  <c r="O37" i="5" s="1"/>
  <c r="N41" i="5"/>
  <c r="O41" i="5" s="1"/>
  <c r="S32" i="5"/>
  <c r="S37" i="5"/>
  <c r="S36" i="5"/>
  <c r="S38" i="5"/>
  <c r="S41" i="5"/>
  <c r="S35" i="5"/>
  <c r="S40" i="5"/>
  <c r="S34" i="5"/>
  <c r="S39" i="5"/>
  <c r="S33" i="5"/>
  <c r="S31" i="5"/>
  <c r="L37" i="10"/>
  <c r="V30" i="10"/>
  <c r="V29" i="10"/>
  <c r="V33" i="10"/>
  <c r="V31" i="10"/>
  <c r="V32" i="10"/>
  <c r="H39" i="10"/>
  <c r="K38" i="10"/>
  <c r="N40" i="10"/>
  <c r="G40" i="10"/>
  <c r="J39" i="10"/>
  <c r="H36" i="10"/>
  <c r="N37" i="10"/>
  <c r="J38" i="10"/>
  <c r="H40" i="10"/>
  <c r="L40" i="10"/>
  <c r="I38" i="10"/>
  <c r="N36" i="10"/>
  <c r="K36" i="10"/>
  <c r="G36" i="10"/>
  <c r="L39" i="10"/>
  <c r="M37" i="10"/>
  <c r="I40" i="10"/>
  <c r="M39" i="10"/>
  <c r="F40" i="10"/>
  <c r="F39" i="10"/>
  <c r="J37" i="10"/>
  <c r="I39" i="10"/>
  <c r="I36" i="10"/>
  <c r="O38" i="10"/>
  <c r="F36" i="10"/>
  <c r="K39" i="10"/>
  <c r="O39" i="10"/>
  <c r="G38" i="10"/>
  <c r="L38" i="10"/>
  <c r="J40" i="10"/>
  <c r="K40" i="10"/>
  <c r="O37" i="10"/>
  <c r="I37" i="10"/>
  <c r="J36" i="10"/>
  <c r="N39" i="10"/>
  <c r="K37" i="10"/>
  <c r="G39" i="10"/>
  <c r="O36" i="10"/>
  <c r="F37" i="10"/>
  <c r="F38" i="10"/>
  <c r="M40" i="10"/>
  <c r="L36" i="10"/>
  <c r="G37" i="10"/>
  <c r="H37" i="10"/>
  <c r="O40" i="10"/>
  <c r="N38" i="10"/>
  <c r="Q21" i="5"/>
  <c r="Q22" i="5"/>
  <c r="Q23" i="5"/>
  <c r="Q24" i="5"/>
  <c r="Q25" i="5"/>
  <c r="Q26" i="5"/>
  <c r="Q27" i="5"/>
  <c r="Q20" i="5"/>
  <c r="D8" i="9" l="1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E9" i="9"/>
  <c r="F9" i="9"/>
  <c r="G9" i="9"/>
  <c r="H9" i="9"/>
  <c r="E10" i="9"/>
  <c r="F10" i="9"/>
  <c r="G10" i="9"/>
  <c r="H10" i="9"/>
  <c r="E11" i="9"/>
  <c r="F11" i="9"/>
  <c r="G11" i="9"/>
  <c r="H11" i="9"/>
  <c r="E12" i="9"/>
  <c r="F12" i="9"/>
  <c r="G12" i="9"/>
  <c r="H12" i="9"/>
  <c r="E13" i="9"/>
  <c r="F13" i="9"/>
  <c r="G13" i="9"/>
  <c r="H13" i="9"/>
  <c r="E14" i="9"/>
  <c r="F14" i="9"/>
  <c r="G14" i="9"/>
  <c r="H14" i="9"/>
  <c r="E15" i="9"/>
  <c r="F15" i="9"/>
  <c r="G15" i="9"/>
  <c r="H15" i="9"/>
  <c r="E16" i="9"/>
  <c r="F16" i="9"/>
  <c r="G16" i="9"/>
  <c r="H16" i="9"/>
  <c r="E17" i="9"/>
  <c r="F17" i="9"/>
  <c r="G17" i="9"/>
  <c r="H17" i="9"/>
  <c r="E18" i="9"/>
  <c r="F18" i="9"/>
  <c r="G18" i="9"/>
  <c r="H18" i="9"/>
  <c r="E19" i="9"/>
  <c r="F19" i="9"/>
  <c r="G19" i="9"/>
  <c r="H19" i="9"/>
  <c r="E20" i="9"/>
  <c r="F20" i="9"/>
  <c r="G20" i="9"/>
  <c r="H20" i="9"/>
  <c r="E21" i="9"/>
  <c r="F21" i="9"/>
  <c r="G21" i="9"/>
  <c r="H21" i="9"/>
  <c r="E22" i="9"/>
  <c r="F22" i="9"/>
  <c r="G22" i="9"/>
  <c r="H22" i="9"/>
  <c r="E23" i="9"/>
  <c r="F23" i="9"/>
  <c r="G23" i="9"/>
  <c r="H23" i="9"/>
  <c r="E24" i="9"/>
  <c r="F24" i="9"/>
  <c r="G24" i="9"/>
  <c r="H24" i="9"/>
  <c r="E25" i="9"/>
  <c r="F25" i="9"/>
  <c r="G25" i="9"/>
  <c r="H25" i="9"/>
  <c r="E26" i="9"/>
  <c r="F26" i="9"/>
  <c r="G26" i="9"/>
  <c r="H26" i="9"/>
  <c r="E27" i="9"/>
  <c r="F27" i="9"/>
  <c r="G27" i="9"/>
  <c r="H27" i="9"/>
  <c r="E28" i="9"/>
  <c r="F28" i="9"/>
  <c r="G28" i="9"/>
  <c r="H28" i="9"/>
  <c r="E29" i="9"/>
  <c r="F29" i="9"/>
  <c r="G29" i="9"/>
  <c r="H29" i="9"/>
  <c r="E30" i="9"/>
  <c r="F30" i="9"/>
  <c r="G30" i="9"/>
  <c r="H30" i="9"/>
  <c r="E31" i="9"/>
  <c r="F31" i="9"/>
  <c r="G31" i="9"/>
  <c r="H31" i="9"/>
  <c r="E32" i="9"/>
  <c r="F32" i="9"/>
  <c r="G32" i="9"/>
  <c r="H32" i="9"/>
  <c r="E33" i="9"/>
  <c r="F33" i="9"/>
  <c r="G33" i="9"/>
  <c r="H33" i="9"/>
  <c r="E34" i="9"/>
  <c r="F34" i="9"/>
  <c r="G34" i="9"/>
  <c r="H34" i="9"/>
  <c r="E35" i="9"/>
  <c r="F35" i="9"/>
  <c r="G35" i="9"/>
  <c r="H35" i="9"/>
  <c r="E36" i="9"/>
  <c r="F36" i="9"/>
  <c r="G36" i="9"/>
  <c r="H36" i="9"/>
  <c r="E37" i="9"/>
  <c r="F37" i="9"/>
  <c r="G37" i="9"/>
  <c r="H37" i="9"/>
  <c r="E38" i="9"/>
  <c r="F38" i="9"/>
  <c r="G38" i="9"/>
  <c r="H38" i="9"/>
  <c r="E39" i="9"/>
  <c r="F39" i="9"/>
  <c r="G39" i="9"/>
  <c r="H39" i="9"/>
  <c r="E40" i="9"/>
  <c r="F40" i="9"/>
  <c r="G40" i="9"/>
  <c r="H40" i="9"/>
  <c r="E41" i="9"/>
  <c r="F41" i="9"/>
  <c r="G41" i="9"/>
  <c r="H41" i="9"/>
  <c r="E42" i="9"/>
  <c r="F42" i="9"/>
  <c r="G42" i="9"/>
  <c r="H42" i="9"/>
  <c r="E43" i="9"/>
  <c r="F43" i="9"/>
  <c r="G43" i="9"/>
  <c r="H43" i="9"/>
  <c r="E44" i="9"/>
  <c r="F44" i="9"/>
  <c r="G44" i="9"/>
  <c r="H44" i="9"/>
  <c r="E45" i="9"/>
  <c r="F45" i="9"/>
  <c r="G45" i="9"/>
  <c r="H45" i="9"/>
  <c r="E46" i="9"/>
  <c r="F46" i="9"/>
  <c r="G46" i="9"/>
  <c r="H46" i="9"/>
  <c r="E47" i="9"/>
  <c r="F47" i="9"/>
  <c r="G47" i="9"/>
  <c r="H47" i="9"/>
  <c r="E48" i="9"/>
  <c r="F48" i="9"/>
  <c r="G48" i="9"/>
  <c r="H48" i="9"/>
  <c r="E49" i="9"/>
  <c r="F49" i="9"/>
  <c r="G49" i="9"/>
  <c r="H49" i="9"/>
  <c r="E50" i="9"/>
  <c r="F50" i="9"/>
  <c r="G50" i="9"/>
  <c r="H50" i="9"/>
  <c r="E51" i="9"/>
  <c r="F51" i="9"/>
  <c r="G51" i="9"/>
  <c r="H51" i="9"/>
  <c r="E52" i="9"/>
  <c r="F52" i="9"/>
  <c r="G52" i="9"/>
  <c r="H52" i="9"/>
  <c r="E53" i="9"/>
  <c r="F53" i="9"/>
  <c r="G53" i="9"/>
  <c r="H53" i="9"/>
  <c r="E54" i="9"/>
  <c r="F54" i="9"/>
  <c r="G54" i="9"/>
  <c r="H54" i="9"/>
  <c r="E55" i="9"/>
  <c r="F55" i="9"/>
  <c r="G55" i="9"/>
  <c r="H55" i="9"/>
  <c r="E56" i="9"/>
  <c r="F56" i="9"/>
  <c r="G56" i="9"/>
  <c r="H56" i="9"/>
  <c r="E57" i="9"/>
  <c r="F57" i="9"/>
  <c r="G57" i="9"/>
  <c r="H57" i="9"/>
  <c r="H8" i="9"/>
  <c r="G8" i="9"/>
  <c r="F8" i="9"/>
  <c r="E8" i="9"/>
  <c r="AB8" i="6"/>
  <c r="AC8" i="6"/>
  <c r="AD8" i="6"/>
  <c r="AE8" i="6"/>
  <c r="AB9" i="6"/>
  <c r="AC9" i="6"/>
  <c r="AD9" i="6"/>
  <c r="AE9" i="6"/>
  <c r="AB10" i="6"/>
  <c r="AC10" i="6"/>
  <c r="AD10" i="6"/>
  <c r="AE10" i="6"/>
  <c r="AB11" i="6"/>
  <c r="AC11" i="6"/>
  <c r="AD11" i="6"/>
  <c r="AE11" i="6"/>
  <c r="AB12" i="6"/>
  <c r="AC12" i="6"/>
  <c r="AD12" i="6"/>
  <c r="AE12" i="6"/>
  <c r="AB13" i="6"/>
  <c r="AC13" i="6"/>
  <c r="AD13" i="6"/>
  <c r="AE13" i="6"/>
  <c r="AB14" i="6"/>
  <c r="AC14" i="6"/>
  <c r="AD14" i="6"/>
  <c r="AE14" i="6"/>
  <c r="AB15" i="6"/>
  <c r="AC15" i="6"/>
  <c r="AD15" i="6"/>
  <c r="AE15" i="6"/>
  <c r="AB16" i="6"/>
  <c r="AC16" i="6"/>
  <c r="AD16" i="6"/>
  <c r="AE16" i="6"/>
  <c r="AB17" i="6"/>
  <c r="AC17" i="6"/>
  <c r="AD17" i="6"/>
  <c r="AE17" i="6"/>
  <c r="AB18" i="6"/>
  <c r="AC18" i="6"/>
  <c r="AD18" i="6"/>
  <c r="AE18" i="6"/>
  <c r="AB19" i="6"/>
  <c r="AC19" i="6"/>
  <c r="AD19" i="6"/>
  <c r="AE19" i="6"/>
  <c r="AB20" i="6"/>
  <c r="AC20" i="6"/>
  <c r="AD20" i="6"/>
  <c r="AE20" i="6"/>
  <c r="AB21" i="6"/>
  <c r="AC21" i="6"/>
  <c r="AD21" i="6"/>
  <c r="AE21" i="6"/>
  <c r="AB22" i="6"/>
  <c r="AC22" i="6"/>
  <c r="AD22" i="6"/>
  <c r="AE22" i="6"/>
  <c r="AB23" i="6"/>
  <c r="AC23" i="6"/>
  <c r="AD23" i="6"/>
  <c r="AE23" i="6"/>
  <c r="AB24" i="6"/>
  <c r="AC24" i="6"/>
  <c r="AD24" i="6"/>
  <c r="AE24" i="6"/>
  <c r="AB25" i="6"/>
  <c r="AC25" i="6"/>
  <c r="AD25" i="6"/>
  <c r="AE25" i="6"/>
  <c r="AB26" i="6"/>
  <c r="AC26" i="6"/>
  <c r="AD26" i="6"/>
  <c r="AE26" i="6"/>
  <c r="AB27" i="6"/>
  <c r="AC27" i="6"/>
  <c r="AD27" i="6"/>
  <c r="AE27" i="6"/>
  <c r="AB28" i="6"/>
  <c r="AC28" i="6"/>
  <c r="AD28" i="6"/>
  <c r="AE28" i="6"/>
  <c r="AB29" i="6"/>
  <c r="AC29" i="6"/>
  <c r="AD29" i="6"/>
  <c r="AE29" i="6"/>
  <c r="AB30" i="6"/>
  <c r="AC30" i="6"/>
  <c r="AD30" i="6"/>
  <c r="AE30" i="6"/>
  <c r="AB31" i="6"/>
  <c r="AC31" i="6"/>
  <c r="AD31" i="6"/>
  <c r="AE31" i="6"/>
  <c r="AB32" i="6"/>
  <c r="AC32" i="6"/>
  <c r="AD32" i="6"/>
  <c r="AE32" i="6"/>
  <c r="AB33" i="6"/>
  <c r="AC33" i="6"/>
  <c r="AD33" i="6"/>
  <c r="AE33" i="6"/>
  <c r="AB34" i="6"/>
  <c r="AC34" i="6"/>
  <c r="AD34" i="6"/>
  <c r="AE34" i="6"/>
  <c r="AB35" i="6"/>
  <c r="AC35" i="6"/>
  <c r="AD35" i="6"/>
  <c r="AE35" i="6"/>
  <c r="AB36" i="6"/>
  <c r="AC36" i="6"/>
  <c r="AD36" i="6"/>
  <c r="AE36" i="6"/>
  <c r="AB37" i="6"/>
  <c r="AC37" i="6"/>
  <c r="AD37" i="6"/>
  <c r="AE37" i="6"/>
  <c r="AB38" i="6"/>
  <c r="AC38" i="6"/>
  <c r="AD38" i="6"/>
  <c r="AE38" i="6"/>
  <c r="AB39" i="6"/>
  <c r="AC39" i="6"/>
  <c r="AD39" i="6"/>
  <c r="AE39" i="6"/>
  <c r="AB40" i="6"/>
  <c r="AC40" i="6"/>
  <c r="AD40" i="6"/>
  <c r="AE40" i="6"/>
  <c r="AB41" i="6"/>
  <c r="AC41" i="6"/>
  <c r="AD41" i="6"/>
  <c r="AE41" i="6"/>
  <c r="AB42" i="6"/>
  <c r="AC42" i="6"/>
  <c r="AD42" i="6"/>
  <c r="AE42" i="6"/>
  <c r="AB43" i="6"/>
  <c r="AC43" i="6"/>
  <c r="AD43" i="6"/>
  <c r="AE43" i="6"/>
  <c r="AB44" i="6"/>
  <c r="AC44" i="6"/>
  <c r="AD44" i="6"/>
  <c r="AE44" i="6"/>
  <c r="AB45" i="6"/>
  <c r="AC45" i="6"/>
  <c r="AD45" i="6"/>
  <c r="AE45" i="6"/>
  <c r="AB46" i="6"/>
  <c r="AC46" i="6"/>
  <c r="AD46" i="6"/>
  <c r="AE46" i="6"/>
  <c r="AB47" i="6"/>
  <c r="AC47" i="6"/>
  <c r="AD47" i="6"/>
  <c r="AE47" i="6"/>
  <c r="AB48" i="6"/>
  <c r="AC48" i="6"/>
  <c r="AD48" i="6"/>
  <c r="AE48" i="6"/>
  <c r="AB49" i="6"/>
  <c r="AC49" i="6"/>
  <c r="AD49" i="6"/>
  <c r="AE49" i="6"/>
  <c r="AB50" i="6"/>
  <c r="AC50" i="6"/>
  <c r="AD50" i="6"/>
  <c r="AE50" i="6"/>
  <c r="AB51" i="6"/>
  <c r="AC51" i="6"/>
  <c r="AD51" i="6"/>
  <c r="AE51" i="6"/>
  <c r="AB52" i="6"/>
  <c r="AC52" i="6"/>
  <c r="AD52" i="6"/>
  <c r="AE52" i="6"/>
  <c r="AB53" i="6"/>
  <c r="AC53" i="6"/>
  <c r="AD53" i="6"/>
  <c r="AE53" i="6"/>
  <c r="AB54" i="6"/>
  <c r="AC54" i="6"/>
  <c r="AD54" i="6"/>
  <c r="AE54" i="6"/>
  <c r="AB55" i="6"/>
  <c r="AC55" i="6"/>
  <c r="AD55" i="6"/>
  <c r="AE55" i="6"/>
  <c r="AB56" i="6"/>
  <c r="AC56" i="6"/>
  <c r="AD56" i="6"/>
  <c r="AE56" i="6"/>
  <c r="AE7" i="6"/>
  <c r="AD7" i="6"/>
  <c r="AC7" i="6"/>
  <c r="AB7" i="6"/>
  <c r="W10" i="7"/>
  <c r="X10" i="7"/>
  <c r="Y10" i="7"/>
  <c r="Z10" i="7"/>
  <c r="AA10" i="7"/>
  <c r="AB10" i="7"/>
  <c r="AC10" i="7"/>
  <c r="AD10" i="7"/>
  <c r="AE10" i="7"/>
  <c r="AF10" i="7"/>
  <c r="W11" i="7"/>
  <c r="X11" i="7"/>
  <c r="Y11" i="7"/>
  <c r="Z11" i="7"/>
  <c r="AA11" i="7"/>
  <c r="AB11" i="7"/>
  <c r="AC11" i="7"/>
  <c r="AD11" i="7"/>
  <c r="AE11" i="7"/>
  <c r="AF11" i="7"/>
  <c r="W12" i="7"/>
  <c r="X12" i="7"/>
  <c r="Y12" i="7"/>
  <c r="Z12" i="7"/>
  <c r="AA12" i="7"/>
  <c r="AB12" i="7"/>
  <c r="AC12" i="7"/>
  <c r="AD12" i="7"/>
  <c r="AE12" i="7"/>
  <c r="AF12" i="7"/>
  <c r="W13" i="7"/>
  <c r="X13" i="7"/>
  <c r="Y13" i="7"/>
  <c r="Z13" i="7"/>
  <c r="AA13" i="7"/>
  <c r="AB13" i="7"/>
  <c r="AC13" i="7"/>
  <c r="AD13" i="7"/>
  <c r="AE13" i="7"/>
  <c r="AF13" i="7"/>
  <c r="W14" i="7"/>
  <c r="X14" i="7"/>
  <c r="Y14" i="7"/>
  <c r="Z14" i="7"/>
  <c r="AA14" i="7"/>
  <c r="AB14" i="7"/>
  <c r="AC14" i="7"/>
  <c r="AD14" i="7"/>
  <c r="AE14" i="7"/>
  <c r="AF14" i="7"/>
  <c r="W15" i="7"/>
  <c r="X15" i="7"/>
  <c r="Y15" i="7"/>
  <c r="Z15" i="7"/>
  <c r="AA15" i="7"/>
  <c r="AB15" i="7"/>
  <c r="AC15" i="7"/>
  <c r="AD15" i="7"/>
  <c r="AE15" i="7"/>
  <c r="AF15" i="7"/>
  <c r="W16" i="7"/>
  <c r="X16" i="7"/>
  <c r="Y16" i="7"/>
  <c r="Z16" i="7"/>
  <c r="AA16" i="7"/>
  <c r="AB16" i="7"/>
  <c r="AC16" i="7"/>
  <c r="AD16" i="7"/>
  <c r="AE16" i="7"/>
  <c r="AF16" i="7"/>
  <c r="W17" i="7"/>
  <c r="X17" i="7"/>
  <c r="Y17" i="7"/>
  <c r="Z17" i="7"/>
  <c r="AA17" i="7"/>
  <c r="AB17" i="7"/>
  <c r="AC17" i="7"/>
  <c r="AD17" i="7"/>
  <c r="AE17" i="7"/>
  <c r="AF17" i="7"/>
  <c r="W18" i="7"/>
  <c r="X18" i="7"/>
  <c r="Y18" i="7"/>
  <c r="Z18" i="7"/>
  <c r="AA18" i="7"/>
  <c r="AB18" i="7"/>
  <c r="AC18" i="7"/>
  <c r="AD18" i="7"/>
  <c r="AE18" i="7"/>
  <c r="AF18" i="7"/>
  <c r="W19" i="7"/>
  <c r="X19" i="7"/>
  <c r="Y19" i="7"/>
  <c r="Z19" i="7"/>
  <c r="AA19" i="7"/>
  <c r="AB19" i="7"/>
  <c r="AC19" i="7"/>
  <c r="AD19" i="7"/>
  <c r="AE19" i="7"/>
  <c r="AF19" i="7"/>
  <c r="W20" i="7"/>
  <c r="X20" i="7"/>
  <c r="Y20" i="7"/>
  <c r="Z20" i="7"/>
  <c r="AA20" i="7"/>
  <c r="AB20" i="7"/>
  <c r="AC20" i="7"/>
  <c r="AD20" i="7"/>
  <c r="AE20" i="7"/>
  <c r="AF20" i="7"/>
  <c r="W21" i="7"/>
  <c r="X21" i="7"/>
  <c r="Y21" i="7"/>
  <c r="Z21" i="7"/>
  <c r="AA21" i="7"/>
  <c r="AB21" i="7"/>
  <c r="AC21" i="7"/>
  <c r="AD21" i="7"/>
  <c r="AE21" i="7"/>
  <c r="AF21" i="7"/>
  <c r="W22" i="7"/>
  <c r="X22" i="7"/>
  <c r="Y22" i="7"/>
  <c r="Z22" i="7"/>
  <c r="AA22" i="7"/>
  <c r="AB22" i="7"/>
  <c r="AC22" i="7"/>
  <c r="AD22" i="7"/>
  <c r="AE22" i="7"/>
  <c r="AF22" i="7"/>
  <c r="W23" i="7"/>
  <c r="X23" i="7"/>
  <c r="Y23" i="7"/>
  <c r="Z23" i="7"/>
  <c r="AA23" i="7"/>
  <c r="AB23" i="7"/>
  <c r="AC23" i="7"/>
  <c r="AD23" i="7"/>
  <c r="AE23" i="7"/>
  <c r="AF23" i="7"/>
  <c r="W24" i="7"/>
  <c r="X24" i="7"/>
  <c r="Y24" i="7"/>
  <c r="Z24" i="7"/>
  <c r="AA24" i="7"/>
  <c r="AB24" i="7"/>
  <c r="AC24" i="7"/>
  <c r="AD24" i="7"/>
  <c r="AE24" i="7"/>
  <c r="AF24" i="7"/>
  <c r="W25" i="7"/>
  <c r="X25" i="7"/>
  <c r="Y25" i="7"/>
  <c r="Z25" i="7"/>
  <c r="AA25" i="7"/>
  <c r="AB25" i="7"/>
  <c r="AC25" i="7"/>
  <c r="AD25" i="7"/>
  <c r="AE25" i="7"/>
  <c r="AF25" i="7"/>
  <c r="W26" i="7"/>
  <c r="X26" i="7"/>
  <c r="Y26" i="7"/>
  <c r="Z26" i="7"/>
  <c r="AA26" i="7"/>
  <c r="AB26" i="7"/>
  <c r="AC26" i="7"/>
  <c r="AD26" i="7"/>
  <c r="AE26" i="7"/>
  <c r="AF26" i="7"/>
  <c r="W27" i="7"/>
  <c r="X27" i="7"/>
  <c r="Y27" i="7"/>
  <c r="Z27" i="7"/>
  <c r="AA27" i="7"/>
  <c r="AB27" i="7"/>
  <c r="AC27" i="7"/>
  <c r="AD27" i="7"/>
  <c r="AE27" i="7"/>
  <c r="AF27" i="7"/>
  <c r="W28" i="7"/>
  <c r="X28" i="7"/>
  <c r="Y28" i="7"/>
  <c r="Z28" i="7"/>
  <c r="AA28" i="7"/>
  <c r="AB28" i="7"/>
  <c r="AC28" i="7"/>
  <c r="AD28" i="7"/>
  <c r="AE28" i="7"/>
  <c r="AF28" i="7"/>
  <c r="W29" i="7"/>
  <c r="X29" i="7"/>
  <c r="Y29" i="7"/>
  <c r="Z29" i="7"/>
  <c r="AA29" i="7"/>
  <c r="AB29" i="7"/>
  <c r="AC29" i="7"/>
  <c r="AD29" i="7"/>
  <c r="AE29" i="7"/>
  <c r="AF29" i="7"/>
  <c r="W30" i="7"/>
  <c r="X30" i="7"/>
  <c r="Y30" i="7"/>
  <c r="Z30" i="7"/>
  <c r="AA30" i="7"/>
  <c r="AB30" i="7"/>
  <c r="AC30" i="7"/>
  <c r="AD30" i="7"/>
  <c r="AE30" i="7"/>
  <c r="AF30" i="7"/>
  <c r="W31" i="7"/>
  <c r="X31" i="7"/>
  <c r="Y31" i="7"/>
  <c r="Z31" i="7"/>
  <c r="AA31" i="7"/>
  <c r="AB31" i="7"/>
  <c r="AC31" i="7"/>
  <c r="AD31" i="7"/>
  <c r="AE31" i="7"/>
  <c r="AF31" i="7"/>
  <c r="W32" i="7"/>
  <c r="X32" i="7"/>
  <c r="Y32" i="7"/>
  <c r="Z32" i="7"/>
  <c r="AA32" i="7"/>
  <c r="AB32" i="7"/>
  <c r="AC32" i="7"/>
  <c r="AD32" i="7"/>
  <c r="AE32" i="7"/>
  <c r="AF32" i="7"/>
  <c r="W33" i="7"/>
  <c r="X33" i="7"/>
  <c r="Y33" i="7"/>
  <c r="Z33" i="7"/>
  <c r="AA33" i="7"/>
  <c r="AB33" i="7"/>
  <c r="AC33" i="7"/>
  <c r="AD33" i="7"/>
  <c r="AE33" i="7"/>
  <c r="AF33" i="7"/>
  <c r="W34" i="7"/>
  <c r="X34" i="7"/>
  <c r="Y34" i="7"/>
  <c r="Z34" i="7"/>
  <c r="AA34" i="7"/>
  <c r="AB34" i="7"/>
  <c r="AC34" i="7"/>
  <c r="AD34" i="7"/>
  <c r="AE34" i="7"/>
  <c r="AF34" i="7"/>
  <c r="W35" i="7"/>
  <c r="X35" i="7"/>
  <c r="Y35" i="7"/>
  <c r="Z35" i="7"/>
  <c r="AA35" i="7"/>
  <c r="AB35" i="7"/>
  <c r="AC35" i="7"/>
  <c r="AD35" i="7"/>
  <c r="AE35" i="7"/>
  <c r="AF35" i="7"/>
  <c r="W36" i="7"/>
  <c r="X36" i="7"/>
  <c r="Y36" i="7"/>
  <c r="Z36" i="7"/>
  <c r="AA36" i="7"/>
  <c r="AB36" i="7"/>
  <c r="AC36" i="7"/>
  <c r="AD36" i="7"/>
  <c r="AE36" i="7"/>
  <c r="AF36" i="7"/>
  <c r="W37" i="7"/>
  <c r="X37" i="7"/>
  <c r="Y37" i="7"/>
  <c r="Z37" i="7"/>
  <c r="AA37" i="7"/>
  <c r="AB37" i="7"/>
  <c r="AC37" i="7"/>
  <c r="AD37" i="7"/>
  <c r="AE37" i="7"/>
  <c r="AF37" i="7"/>
  <c r="W38" i="7"/>
  <c r="X38" i="7"/>
  <c r="Y38" i="7"/>
  <c r="Z38" i="7"/>
  <c r="AA38" i="7"/>
  <c r="AB38" i="7"/>
  <c r="AC38" i="7"/>
  <c r="AD38" i="7"/>
  <c r="AE38" i="7"/>
  <c r="AF38" i="7"/>
  <c r="W39" i="7"/>
  <c r="X39" i="7"/>
  <c r="Y39" i="7"/>
  <c r="Z39" i="7"/>
  <c r="AA39" i="7"/>
  <c r="AB39" i="7"/>
  <c r="AC39" i="7"/>
  <c r="AD39" i="7"/>
  <c r="AE39" i="7"/>
  <c r="AF39" i="7"/>
  <c r="W40" i="7"/>
  <c r="X40" i="7"/>
  <c r="Y40" i="7"/>
  <c r="Z40" i="7"/>
  <c r="AA40" i="7"/>
  <c r="AB40" i="7"/>
  <c r="AC40" i="7"/>
  <c r="AD40" i="7"/>
  <c r="AE40" i="7"/>
  <c r="AF40" i="7"/>
  <c r="W41" i="7"/>
  <c r="X41" i="7"/>
  <c r="Y41" i="7"/>
  <c r="Z41" i="7"/>
  <c r="AA41" i="7"/>
  <c r="AB41" i="7"/>
  <c r="AC41" i="7"/>
  <c r="AD41" i="7"/>
  <c r="AE41" i="7"/>
  <c r="AF41" i="7"/>
  <c r="W42" i="7"/>
  <c r="X42" i="7"/>
  <c r="Y42" i="7"/>
  <c r="Z42" i="7"/>
  <c r="AA42" i="7"/>
  <c r="AB42" i="7"/>
  <c r="AC42" i="7"/>
  <c r="AD42" i="7"/>
  <c r="AE42" i="7"/>
  <c r="AF42" i="7"/>
  <c r="W43" i="7"/>
  <c r="X43" i="7"/>
  <c r="Y43" i="7"/>
  <c r="Z43" i="7"/>
  <c r="AA43" i="7"/>
  <c r="AB43" i="7"/>
  <c r="AC43" i="7"/>
  <c r="AD43" i="7"/>
  <c r="AE43" i="7"/>
  <c r="AF43" i="7"/>
  <c r="W44" i="7"/>
  <c r="X44" i="7"/>
  <c r="Y44" i="7"/>
  <c r="Z44" i="7"/>
  <c r="AA44" i="7"/>
  <c r="AB44" i="7"/>
  <c r="AC44" i="7"/>
  <c r="AD44" i="7"/>
  <c r="AE44" i="7"/>
  <c r="AF44" i="7"/>
  <c r="W45" i="7"/>
  <c r="X45" i="7"/>
  <c r="Y45" i="7"/>
  <c r="Z45" i="7"/>
  <c r="AA45" i="7"/>
  <c r="AB45" i="7"/>
  <c r="AC45" i="7"/>
  <c r="AD45" i="7"/>
  <c r="AE45" i="7"/>
  <c r="AF45" i="7"/>
  <c r="W46" i="7"/>
  <c r="X46" i="7"/>
  <c r="Y46" i="7"/>
  <c r="Z46" i="7"/>
  <c r="AA46" i="7"/>
  <c r="AB46" i="7"/>
  <c r="AC46" i="7"/>
  <c r="AD46" i="7"/>
  <c r="AE46" i="7"/>
  <c r="AF46" i="7"/>
  <c r="W47" i="7"/>
  <c r="X47" i="7"/>
  <c r="Y47" i="7"/>
  <c r="Z47" i="7"/>
  <c r="AA47" i="7"/>
  <c r="AB47" i="7"/>
  <c r="AC47" i="7"/>
  <c r="AD47" i="7"/>
  <c r="AE47" i="7"/>
  <c r="AF47" i="7"/>
  <c r="W48" i="7"/>
  <c r="X48" i="7"/>
  <c r="Y48" i="7"/>
  <c r="Z48" i="7"/>
  <c r="AA48" i="7"/>
  <c r="AB48" i="7"/>
  <c r="AC48" i="7"/>
  <c r="AD48" i="7"/>
  <c r="AE48" i="7"/>
  <c r="AF48" i="7"/>
  <c r="W49" i="7"/>
  <c r="X49" i="7"/>
  <c r="Y49" i="7"/>
  <c r="Z49" i="7"/>
  <c r="AA49" i="7"/>
  <c r="AB49" i="7"/>
  <c r="AC49" i="7"/>
  <c r="AD49" i="7"/>
  <c r="AE49" i="7"/>
  <c r="AF49" i="7"/>
  <c r="W50" i="7"/>
  <c r="X50" i="7"/>
  <c r="Y50" i="7"/>
  <c r="Z50" i="7"/>
  <c r="AA50" i="7"/>
  <c r="AB50" i="7"/>
  <c r="AC50" i="7"/>
  <c r="AD50" i="7"/>
  <c r="AE50" i="7"/>
  <c r="AF50" i="7"/>
  <c r="W51" i="7"/>
  <c r="X51" i="7"/>
  <c r="Y51" i="7"/>
  <c r="Z51" i="7"/>
  <c r="AA51" i="7"/>
  <c r="AB51" i="7"/>
  <c r="AC51" i="7"/>
  <c r="AD51" i="7"/>
  <c r="AE51" i="7"/>
  <c r="AF51" i="7"/>
  <c r="W52" i="7"/>
  <c r="X52" i="7"/>
  <c r="Y52" i="7"/>
  <c r="Z52" i="7"/>
  <c r="AA52" i="7"/>
  <c r="AB52" i="7"/>
  <c r="AC52" i="7"/>
  <c r="AD52" i="7"/>
  <c r="AE52" i="7"/>
  <c r="AF52" i="7"/>
  <c r="W53" i="7"/>
  <c r="X53" i="7"/>
  <c r="Y53" i="7"/>
  <c r="Z53" i="7"/>
  <c r="AA53" i="7"/>
  <c r="AB53" i="7"/>
  <c r="AC53" i="7"/>
  <c r="AD53" i="7"/>
  <c r="AE53" i="7"/>
  <c r="AF53" i="7"/>
  <c r="W54" i="7"/>
  <c r="X54" i="7"/>
  <c r="Y54" i="7"/>
  <c r="Z54" i="7"/>
  <c r="AA54" i="7"/>
  <c r="AB54" i="7"/>
  <c r="AC54" i="7"/>
  <c r="AD54" i="7"/>
  <c r="AE54" i="7"/>
  <c r="AF54" i="7"/>
  <c r="W55" i="7"/>
  <c r="X55" i="7"/>
  <c r="Y55" i="7"/>
  <c r="Z55" i="7"/>
  <c r="AA55" i="7"/>
  <c r="AB55" i="7"/>
  <c r="AC55" i="7"/>
  <c r="AD55" i="7"/>
  <c r="AE55" i="7"/>
  <c r="AF55" i="7"/>
  <c r="W56" i="7"/>
  <c r="X56" i="7"/>
  <c r="Y56" i="7"/>
  <c r="Z56" i="7"/>
  <c r="AA56" i="7"/>
  <c r="AB56" i="7"/>
  <c r="AC56" i="7"/>
  <c r="AD56" i="7"/>
  <c r="AE56" i="7"/>
  <c r="AF56" i="7"/>
  <c r="W57" i="7"/>
  <c r="X57" i="7"/>
  <c r="Y57" i="7"/>
  <c r="Z57" i="7"/>
  <c r="AA57" i="7"/>
  <c r="AB57" i="7"/>
  <c r="AC57" i="7"/>
  <c r="AD57" i="7"/>
  <c r="AE57" i="7"/>
  <c r="AF57" i="7"/>
  <c r="W58" i="7"/>
  <c r="X58" i="7"/>
  <c r="Y58" i="7"/>
  <c r="Z58" i="7"/>
  <c r="AA58" i="7"/>
  <c r="AB58" i="7"/>
  <c r="AC58" i="7"/>
  <c r="AD58" i="7"/>
  <c r="AE58" i="7"/>
  <c r="AF58" i="7"/>
  <c r="AF9" i="7"/>
  <c r="AE9" i="7"/>
  <c r="AD9" i="7"/>
  <c r="AC9" i="7"/>
  <c r="AB9" i="7"/>
  <c r="AA9" i="7"/>
  <c r="Z9" i="7"/>
  <c r="Y9" i="7"/>
  <c r="X9" i="7"/>
  <c r="W9" i="7"/>
  <c r="AQ9" i="7" s="1"/>
  <c r="O8" i="6"/>
  <c r="P8" i="6"/>
  <c r="Q8" i="6"/>
  <c r="R8" i="6"/>
  <c r="S8" i="6"/>
  <c r="O9" i="6"/>
  <c r="P9" i="6"/>
  <c r="Q9" i="6"/>
  <c r="R9" i="6"/>
  <c r="S9" i="6"/>
  <c r="O10" i="6"/>
  <c r="P10" i="6"/>
  <c r="Q10" i="6"/>
  <c r="R10" i="6"/>
  <c r="S10" i="6"/>
  <c r="O11" i="6"/>
  <c r="P11" i="6"/>
  <c r="Q11" i="6"/>
  <c r="R11" i="6"/>
  <c r="S11" i="6"/>
  <c r="O12" i="6"/>
  <c r="P12" i="6"/>
  <c r="Q12" i="6"/>
  <c r="R12" i="6"/>
  <c r="S12" i="6"/>
  <c r="O13" i="6"/>
  <c r="P13" i="6"/>
  <c r="Q13" i="6"/>
  <c r="R13" i="6"/>
  <c r="S13" i="6"/>
  <c r="O14" i="6"/>
  <c r="P14" i="6"/>
  <c r="Q14" i="6"/>
  <c r="R14" i="6"/>
  <c r="S14" i="6"/>
  <c r="O15" i="6"/>
  <c r="P15" i="6"/>
  <c r="Q15" i="6"/>
  <c r="R15" i="6"/>
  <c r="S15" i="6"/>
  <c r="O16" i="6"/>
  <c r="P16" i="6"/>
  <c r="Q16" i="6"/>
  <c r="R16" i="6"/>
  <c r="S16" i="6"/>
  <c r="O17" i="6"/>
  <c r="P17" i="6"/>
  <c r="Q17" i="6"/>
  <c r="R17" i="6"/>
  <c r="S17" i="6"/>
  <c r="O18" i="6"/>
  <c r="P18" i="6"/>
  <c r="Q18" i="6"/>
  <c r="R18" i="6"/>
  <c r="S18" i="6"/>
  <c r="O19" i="6"/>
  <c r="P19" i="6"/>
  <c r="Q19" i="6"/>
  <c r="R19" i="6"/>
  <c r="S19" i="6"/>
  <c r="O20" i="6"/>
  <c r="P20" i="6"/>
  <c r="Q20" i="6"/>
  <c r="R20" i="6"/>
  <c r="S20" i="6"/>
  <c r="O21" i="6"/>
  <c r="P21" i="6"/>
  <c r="Q21" i="6"/>
  <c r="R21" i="6"/>
  <c r="S21" i="6"/>
  <c r="O22" i="6"/>
  <c r="P22" i="6"/>
  <c r="Q22" i="6"/>
  <c r="R22" i="6"/>
  <c r="S22" i="6"/>
  <c r="O23" i="6"/>
  <c r="P23" i="6"/>
  <c r="Q23" i="6"/>
  <c r="R23" i="6"/>
  <c r="S23" i="6"/>
  <c r="O24" i="6"/>
  <c r="P24" i="6"/>
  <c r="Q24" i="6"/>
  <c r="R24" i="6"/>
  <c r="S24" i="6"/>
  <c r="O25" i="6"/>
  <c r="P25" i="6"/>
  <c r="Q25" i="6"/>
  <c r="R25" i="6"/>
  <c r="S25" i="6"/>
  <c r="O26" i="6"/>
  <c r="P26" i="6"/>
  <c r="Q26" i="6"/>
  <c r="R26" i="6"/>
  <c r="S26" i="6"/>
  <c r="O27" i="6"/>
  <c r="P27" i="6"/>
  <c r="Q27" i="6"/>
  <c r="R27" i="6"/>
  <c r="S27" i="6"/>
  <c r="O28" i="6"/>
  <c r="P28" i="6"/>
  <c r="Q28" i="6"/>
  <c r="R28" i="6"/>
  <c r="S28" i="6"/>
  <c r="O29" i="6"/>
  <c r="P29" i="6"/>
  <c r="Q29" i="6"/>
  <c r="R29" i="6"/>
  <c r="S29" i="6"/>
  <c r="O30" i="6"/>
  <c r="P30" i="6"/>
  <c r="Q30" i="6"/>
  <c r="R30" i="6"/>
  <c r="S30" i="6"/>
  <c r="O31" i="6"/>
  <c r="P31" i="6"/>
  <c r="Q31" i="6"/>
  <c r="R31" i="6"/>
  <c r="S31" i="6"/>
  <c r="O32" i="6"/>
  <c r="P32" i="6"/>
  <c r="Q32" i="6"/>
  <c r="R32" i="6"/>
  <c r="S32" i="6"/>
  <c r="O33" i="6"/>
  <c r="P33" i="6"/>
  <c r="Q33" i="6"/>
  <c r="R33" i="6"/>
  <c r="S33" i="6"/>
  <c r="O34" i="6"/>
  <c r="P34" i="6"/>
  <c r="Q34" i="6"/>
  <c r="R34" i="6"/>
  <c r="S34" i="6"/>
  <c r="O35" i="6"/>
  <c r="P35" i="6"/>
  <c r="Q35" i="6"/>
  <c r="R35" i="6"/>
  <c r="S35" i="6"/>
  <c r="O36" i="6"/>
  <c r="P36" i="6"/>
  <c r="Q36" i="6"/>
  <c r="R36" i="6"/>
  <c r="S36" i="6"/>
  <c r="O37" i="6"/>
  <c r="P37" i="6"/>
  <c r="Q37" i="6"/>
  <c r="R37" i="6"/>
  <c r="S37" i="6"/>
  <c r="O38" i="6"/>
  <c r="P38" i="6"/>
  <c r="Q38" i="6"/>
  <c r="R38" i="6"/>
  <c r="S38" i="6"/>
  <c r="O39" i="6"/>
  <c r="P39" i="6"/>
  <c r="Q39" i="6"/>
  <c r="R39" i="6"/>
  <c r="S39" i="6"/>
  <c r="O40" i="6"/>
  <c r="P40" i="6"/>
  <c r="Q40" i="6"/>
  <c r="R40" i="6"/>
  <c r="S40" i="6"/>
  <c r="O41" i="6"/>
  <c r="P41" i="6"/>
  <c r="Q41" i="6"/>
  <c r="R41" i="6"/>
  <c r="S41" i="6"/>
  <c r="O42" i="6"/>
  <c r="P42" i="6"/>
  <c r="Q42" i="6"/>
  <c r="R42" i="6"/>
  <c r="S42" i="6"/>
  <c r="O43" i="6"/>
  <c r="P43" i="6"/>
  <c r="Q43" i="6"/>
  <c r="R43" i="6"/>
  <c r="S43" i="6"/>
  <c r="O44" i="6"/>
  <c r="P44" i="6"/>
  <c r="Q44" i="6"/>
  <c r="R44" i="6"/>
  <c r="S44" i="6"/>
  <c r="O45" i="6"/>
  <c r="P45" i="6"/>
  <c r="Q45" i="6"/>
  <c r="R45" i="6"/>
  <c r="S45" i="6"/>
  <c r="O46" i="6"/>
  <c r="P46" i="6"/>
  <c r="Q46" i="6"/>
  <c r="R46" i="6"/>
  <c r="S46" i="6"/>
  <c r="O47" i="6"/>
  <c r="P47" i="6"/>
  <c r="Q47" i="6"/>
  <c r="R47" i="6"/>
  <c r="S47" i="6"/>
  <c r="O48" i="6"/>
  <c r="P48" i="6"/>
  <c r="Q48" i="6"/>
  <c r="R48" i="6"/>
  <c r="S48" i="6"/>
  <c r="O49" i="6"/>
  <c r="P49" i="6"/>
  <c r="Q49" i="6"/>
  <c r="R49" i="6"/>
  <c r="S49" i="6"/>
  <c r="O50" i="6"/>
  <c r="P50" i="6"/>
  <c r="Q50" i="6"/>
  <c r="R50" i="6"/>
  <c r="S50" i="6"/>
  <c r="O51" i="6"/>
  <c r="P51" i="6"/>
  <c r="Q51" i="6"/>
  <c r="R51" i="6"/>
  <c r="S51" i="6"/>
  <c r="O52" i="6"/>
  <c r="P52" i="6"/>
  <c r="Q52" i="6"/>
  <c r="R52" i="6"/>
  <c r="S52" i="6"/>
  <c r="O53" i="6"/>
  <c r="P53" i="6"/>
  <c r="Q53" i="6"/>
  <c r="R53" i="6"/>
  <c r="S53" i="6"/>
  <c r="O54" i="6"/>
  <c r="P54" i="6"/>
  <c r="Q54" i="6"/>
  <c r="R54" i="6"/>
  <c r="S54" i="6"/>
  <c r="O55" i="6"/>
  <c r="P55" i="6"/>
  <c r="Q55" i="6"/>
  <c r="R55" i="6"/>
  <c r="S55" i="6"/>
  <c r="O56" i="6"/>
  <c r="P56" i="6"/>
  <c r="Q56" i="6"/>
  <c r="R56" i="6"/>
  <c r="S56" i="6"/>
  <c r="S7" i="6"/>
  <c r="R7" i="6"/>
  <c r="Q7" i="6"/>
  <c r="P7" i="6"/>
  <c r="O7" i="6"/>
  <c r="C8" i="6"/>
  <c r="D8" i="6"/>
  <c r="E8" i="6"/>
  <c r="F8" i="6"/>
  <c r="C9" i="6"/>
  <c r="D9" i="6"/>
  <c r="E9" i="6"/>
  <c r="F9" i="6"/>
  <c r="C10" i="6"/>
  <c r="D10" i="6"/>
  <c r="E10" i="6"/>
  <c r="F10" i="6"/>
  <c r="C11" i="6"/>
  <c r="D11" i="6"/>
  <c r="E11" i="6"/>
  <c r="F11" i="6"/>
  <c r="C12" i="6"/>
  <c r="D12" i="6"/>
  <c r="E12" i="6"/>
  <c r="F12" i="6"/>
  <c r="C13" i="6"/>
  <c r="D13" i="6"/>
  <c r="E13" i="6"/>
  <c r="F13" i="6"/>
  <c r="C14" i="6"/>
  <c r="D14" i="6"/>
  <c r="E14" i="6"/>
  <c r="F14" i="6"/>
  <c r="C15" i="6"/>
  <c r="D15" i="6"/>
  <c r="E15" i="6"/>
  <c r="F15" i="6"/>
  <c r="C16" i="6"/>
  <c r="D16" i="6"/>
  <c r="E16" i="6"/>
  <c r="F16" i="6"/>
  <c r="C17" i="6"/>
  <c r="D17" i="6"/>
  <c r="E17" i="6"/>
  <c r="F17" i="6"/>
  <c r="C18" i="6"/>
  <c r="D18" i="6"/>
  <c r="E18" i="6"/>
  <c r="F18" i="6"/>
  <c r="C19" i="6"/>
  <c r="D19" i="6"/>
  <c r="E19" i="6"/>
  <c r="F19" i="6"/>
  <c r="C20" i="6"/>
  <c r="D20" i="6"/>
  <c r="E20" i="6"/>
  <c r="F20" i="6"/>
  <c r="C21" i="6"/>
  <c r="D21" i="6"/>
  <c r="E21" i="6"/>
  <c r="F21" i="6"/>
  <c r="C22" i="6"/>
  <c r="D22" i="6"/>
  <c r="E22" i="6"/>
  <c r="F22" i="6"/>
  <c r="C23" i="6"/>
  <c r="D23" i="6"/>
  <c r="E23" i="6"/>
  <c r="F23" i="6"/>
  <c r="C24" i="6"/>
  <c r="D24" i="6"/>
  <c r="E24" i="6"/>
  <c r="F24" i="6"/>
  <c r="C25" i="6"/>
  <c r="D25" i="6"/>
  <c r="E25" i="6"/>
  <c r="F25" i="6"/>
  <c r="C26" i="6"/>
  <c r="D26" i="6"/>
  <c r="E26" i="6"/>
  <c r="F26" i="6"/>
  <c r="C27" i="6"/>
  <c r="D27" i="6"/>
  <c r="E27" i="6"/>
  <c r="F27" i="6"/>
  <c r="C28" i="6"/>
  <c r="D28" i="6"/>
  <c r="E28" i="6"/>
  <c r="F28" i="6"/>
  <c r="C29" i="6"/>
  <c r="D29" i="6"/>
  <c r="E29" i="6"/>
  <c r="F29" i="6"/>
  <c r="C30" i="6"/>
  <c r="D30" i="6"/>
  <c r="E30" i="6"/>
  <c r="F30" i="6"/>
  <c r="C31" i="6"/>
  <c r="D31" i="6"/>
  <c r="E31" i="6"/>
  <c r="F31" i="6"/>
  <c r="C32" i="6"/>
  <c r="D32" i="6"/>
  <c r="E32" i="6"/>
  <c r="F32" i="6"/>
  <c r="C33" i="6"/>
  <c r="D33" i="6"/>
  <c r="E33" i="6"/>
  <c r="F33" i="6"/>
  <c r="C34" i="6"/>
  <c r="D34" i="6"/>
  <c r="E34" i="6"/>
  <c r="F34" i="6"/>
  <c r="C35" i="6"/>
  <c r="D35" i="6"/>
  <c r="E35" i="6"/>
  <c r="F35" i="6"/>
  <c r="C36" i="6"/>
  <c r="D36" i="6"/>
  <c r="E36" i="6"/>
  <c r="F36" i="6"/>
  <c r="C37" i="6"/>
  <c r="D37" i="6"/>
  <c r="E37" i="6"/>
  <c r="F37" i="6"/>
  <c r="C38" i="6"/>
  <c r="D38" i="6"/>
  <c r="E38" i="6"/>
  <c r="F38" i="6"/>
  <c r="C39" i="6"/>
  <c r="D39" i="6"/>
  <c r="E39" i="6"/>
  <c r="F39" i="6"/>
  <c r="C40" i="6"/>
  <c r="D40" i="6"/>
  <c r="E40" i="6"/>
  <c r="F40" i="6"/>
  <c r="C41" i="6"/>
  <c r="D41" i="6"/>
  <c r="E41" i="6"/>
  <c r="F41" i="6"/>
  <c r="C42" i="6"/>
  <c r="D42" i="6"/>
  <c r="E42" i="6"/>
  <c r="F42" i="6"/>
  <c r="C43" i="6"/>
  <c r="D43" i="6"/>
  <c r="E43" i="6"/>
  <c r="F43" i="6"/>
  <c r="C44" i="6"/>
  <c r="D44" i="6"/>
  <c r="E44" i="6"/>
  <c r="F44" i="6"/>
  <c r="C45" i="6"/>
  <c r="D45" i="6"/>
  <c r="E45" i="6"/>
  <c r="F45" i="6"/>
  <c r="C46" i="6"/>
  <c r="D46" i="6"/>
  <c r="E46" i="6"/>
  <c r="F46" i="6"/>
  <c r="C47" i="6"/>
  <c r="D47" i="6"/>
  <c r="E47" i="6"/>
  <c r="F47" i="6"/>
  <c r="C48" i="6"/>
  <c r="D48" i="6"/>
  <c r="E48" i="6"/>
  <c r="F48" i="6"/>
  <c r="C49" i="6"/>
  <c r="D49" i="6"/>
  <c r="E49" i="6"/>
  <c r="F49" i="6"/>
  <c r="C50" i="6"/>
  <c r="D50" i="6"/>
  <c r="E50" i="6"/>
  <c r="F50" i="6"/>
  <c r="C51" i="6"/>
  <c r="D51" i="6"/>
  <c r="E51" i="6"/>
  <c r="F51" i="6"/>
  <c r="C52" i="6"/>
  <c r="D52" i="6"/>
  <c r="E52" i="6"/>
  <c r="F52" i="6"/>
  <c r="C53" i="6"/>
  <c r="D53" i="6"/>
  <c r="E53" i="6"/>
  <c r="F53" i="6"/>
  <c r="C54" i="6"/>
  <c r="D54" i="6"/>
  <c r="E54" i="6"/>
  <c r="F54" i="6"/>
  <c r="C55" i="6"/>
  <c r="D55" i="6"/>
  <c r="E55" i="6"/>
  <c r="F55" i="6"/>
  <c r="C56" i="6"/>
  <c r="D56" i="6"/>
  <c r="E56" i="6"/>
  <c r="F56" i="6"/>
  <c r="F7" i="6"/>
  <c r="E7" i="6"/>
  <c r="D7" i="6"/>
  <c r="C7" i="6"/>
  <c r="AR9" i="7" l="1"/>
  <c r="AF54" i="6"/>
  <c r="AF48" i="6"/>
  <c r="AF12" i="6"/>
  <c r="AF42" i="6"/>
  <c r="AF30" i="6"/>
  <c r="AF18" i="6"/>
  <c r="AF55" i="6"/>
  <c r="AF49" i="6"/>
  <c r="AF43" i="6"/>
  <c r="AF37" i="6"/>
  <c r="AF31" i="6"/>
  <c r="AF25" i="6"/>
  <c r="AF19" i="6"/>
  <c r="AF13" i="6"/>
  <c r="AF36" i="6"/>
  <c r="AF24" i="6"/>
  <c r="G26" i="6"/>
  <c r="AF46" i="6"/>
  <c r="AF40" i="6"/>
  <c r="AF34" i="6"/>
  <c r="AF28" i="6"/>
  <c r="AF22" i="6"/>
  <c r="AF16" i="6"/>
  <c r="AF10" i="6"/>
  <c r="G25" i="6"/>
  <c r="G7" i="6"/>
  <c r="AF7" i="6"/>
  <c r="AF53" i="6"/>
  <c r="AF47" i="6"/>
  <c r="AF41" i="6"/>
  <c r="AF35" i="6"/>
  <c r="AF29" i="6"/>
  <c r="AF23" i="6"/>
  <c r="AF17" i="6"/>
  <c r="AF11" i="6"/>
  <c r="G29" i="6"/>
  <c r="G8" i="6"/>
  <c r="AF52" i="6"/>
  <c r="G51" i="6"/>
  <c r="G42" i="6"/>
  <c r="G24" i="6"/>
  <c r="AF56" i="6"/>
  <c r="AF50" i="6"/>
  <c r="AF38" i="6"/>
  <c r="AF26" i="6"/>
  <c r="AF20" i="6"/>
  <c r="AF14" i="6"/>
  <c r="AF8" i="6"/>
  <c r="G11" i="6"/>
  <c r="G54" i="6"/>
  <c r="G48" i="6"/>
  <c r="AF44" i="6"/>
  <c r="AF32" i="6"/>
  <c r="AF51" i="6"/>
  <c r="AF45" i="6"/>
  <c r="AF39" i="6"/>
  <c r="AF33" i="6"/>
  <c r="AF27" i="6"/>
  <c r="AF21" i="6"/>
  <c r="AF15" i="6"/>
  <c r="AF9" i="6"/>
  <c r="G43" i="6"/>
  <c r="G36" i="6"/>
  <c r="G33" i="6"/>
  <c r="G30" i="6"/>
  <c r="G49" i="6"/>
  <c r="G18" i="6"/>
  <c r="G15" i="6"/>
  <c r="G12" i="6"/>
  <c r="G55" i="6"/>
  <c r="G40" i="6"/>
  <c r="G37" i="6"/>
  <c r="G31" i="6"/>
  <c r="G47" i="6"/>
  <c r="G44" i="6"/>
  <c r="G22" i="6"/>
  <c r="G19" i="6"/>
  <c r="G13" i="6"/>
  <c r="G52" i="6"/>
  <c r="G34" i="6"/>
  <c r="G16" i="6"/>
  <c r="G56" i="6"/>
  <c r="G38" i="6"/>
  <c r="G27" i="6"/>
  <c r="G23" i="6"/>
  <c r="G20" i="6"/>
  <c r="G53" i="6"/>
  <c r="G50" i="6"/>
  <c r="G46" i="6"/>
  <c r="G39" i="6"/>
  <c r="G35" i="6"/>
  <c r="G32" i="6"/>
  <c r="G28" i="6"/>
  <c r="G21" i="6"/>
  <c r="G17" i="6"/>
  <c r="G14" i="6"/>
  <c r="G10" i="6"/>
  <c r="G45" i="6"/>
  <c r="G41" i="6"/>
  <c r="G9" i="6"/>
  <c r="AS9" i="7" l="1"/>
  <c r="G9" i="15"/>
  <c r="AT9" i="7" l="1"/>
  <c r="S8" i="15"/>
  <c r="Y15" i="15"/>
  <c r="M11" i="15"/>
  <c r="AU9" i="7" l="1"/>
  <c r="AE8" i="15"/>
  <c r="G10" i="15"/>
  <c r="M12" i="15"/>
  <c r="AV9" i="7" l="1"/>
  <c r="AE9" i="15"/>
  <c r="G12" i="15"/>
  <c r="S10" i="15"/>
  <c r="Y16" i="15"/>
  <c r="M13" i="15"/>
  <c r="S9" i="15"/>
  <c r="G11" i="15"/>
  <c r="A8" i="15"/>
  <c r="L11" i="12" s="1"/>
  <c r="AW9" i="7" l="1"/>
  <c r="G13" i="15"/>
  <c r="Y17" i="15"/>
  <c r="M14" i="15"/>
  <c r="S11" i="15"/>
  <c r="AE10" i="15"/>
  <c r="A10" i="15" s="1"/>
  <c r="L13" i="12" s="1"/>
  <c r="A9" i="15"/>
  <c r="L12" i="12" s="1"/>
  <c r="AX9" i="7" l="1"/>
  <c r="Y18" i="15"/>
  <c r="S13" i="15"/>
  <c r="M15" i="15"/>
  <c r="S12" i="15"/>
  <c r="G14" i="15"/>
  <c r="G15" i="15"/>
  <c r="AE11" i="15"/>
  <c r="A11" i="15" s="1"/>
  <c r="L14" i="12" s="1"/>
  <c r="AY9" i="7" l="1"/>
  <c r="Y19" i="15"/>
  <c r="S14" i="15"/>
  <c r="M16" i="15"/>
  <c r="G16" i="15"/>
  <c r="AE12" i="15"/>
  <c r="A12" i="15" s="1"/>
  <c r="L15" i="12" s="1"/>
  <c r="Y20" i="15"/>
  <c r="S15" i="15"/>
  <c r="M17" i="15"/>
  <c r="G17" i="15"/>
  <c r="AZ9" i="7" l="1"/>
  <c r="G18" i="15"/>
  <c r="Y21" i="15"/>
  <c r="AE14" i="15"/>
  <c r="G19" i="15"/>
  <c r="AE13" i="15"/>
  <c r="A13" i="15" s="1"/>
  <c r="L16" i="12" s="1"/>
  <c r="S18" i="15"/>
  <c r="S17" i="15"/>
  <c r="M19" i="15"/>
  <c r="S16" i="15"/>
  <c r="M18" i="15"/>
  <c r="A14" i="15"/>
  <c r="L17" i="12" s="1"/>
  <c r="AE15" i="15" l="1"/>
  <c r="A15" i="15" s="1"/>
  <c r="L18" i="12" s="1"/>
  <c r="S20" i="15"/>
  <c r="S19" i="15"/>
  <c r="M21" i="15"/>
  <c r="Y23" i="15"/>
  <c r="M20" i="15"/>
  <c r="G20" i="15"/>
  <c r="AE17" i="15"/>
  <c r="A17" i="15" s="1"/>
  <c r="L20" i="12" s="1"/>
  <c r="Y22" i="15"/>
  <c r="G21" i="15"/>
  <c r="G22" i="15"/>
  <c r="AE16" i="15"/>
  <c r="A16" i="15" s="1"/>
  <c r="L19" i="12" s="1"/>
  <c r="S21" i="15"/>
  <c r="G23" i="15"/>
  <c r="Y24" i="15"/>
  <c r="V5" i="15" s="1"/>
  <c r="M22" i="15"/>
  <c r="S22" i="15"/>
  <c r="G24" i="15"/>
  <c r="A24" i="15" s="1"/>
  <c r="L27" i="12" s="1"/>
  <c r="AE18" i="15"/>
  <c r="M23" i="15"/>
  <c r="J5" i="15" s="1"/>
  <c r="A19" i="15"/>
  <c r="L22" i="12" s="1"/>
  <c r="A20" i="15" l="1"/>
  <c r="L23" i="12" s="1"/>
  <c r="D5" i="15"/>
  <c r="A23" i="15"/>
  <c r="L26" i="12" s="1"/>
  <c r="AB5" i="15"/>
  <c r="P5" i="15"/>
  <c r="A22" i="15"/>
  <c r="L25" i="12" s="1"/>
  <c r="A18" i="15"/>
  <c r="L21" i="12" s="1"/>
  <c r="A21" i="15"/>
  <c r="L24" i="12" s="1"/>
</calcChain>
</file>

<file path=xl/comments1.xml><?xml version="1.0" encoding="utf-8"?>
<comments xmlns="http://schemas.openxmlformats.org/spreadsheetml/2006/main">
  <authors>
    <author>作者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最小掉落数量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最大掉落数量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0.顺序选择
1.随机抽选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抽取掉落概率，若未在概率之内，则补进行掉落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<sst xmlns="http://schemas.openxmlformats.org/spreadsheetml/2006/main" count="2513" uniqueCount="930">
  <si>
    <t>攻击</t>
  </si>
  <si>
    <t>防御</t>
  </si>
  <si>
    <t>生命</t>
  </si>
  <si>
    <t>暴击</t>
  </si>
  <si>
    <t>抗暴</t>
  </si>
  <si>
    <t>命中</t>
  </si>
  <si>
    <t>说明</t>
    <phoneticPr fontId="1" type="noConversion"/>
  </si>
  <si>
    <t>角色拥有</t>
    <phoneticPr fontId="1" type="noConversion"/>
  </si>
  <si>
    <t>怪物拥有</t>
    <phoneticPr fontId="1" type="noConversion"/>
  </si>
  <si>
    <t>生命恢复</t>
  </si>
  <si>
    <t>伤害减免</t>
  </si>
  <si>
    <t>伤害追加</t>
  </si>
  <si>
    <t>额外金钱</t>
  </si>
  <si>
    <t>额外经验</t>
  </si>
  <si>
    <t>降低攻击承受的伤害</t>
  </si>
  <si>
    <t>暴击几率+n%</t>
  </si>
  <si>
    <t>抗暴几率+n%</t>
  </si>
  <si>
    <t>暴击伤害-n%</t>
  </si>
  <si>
    <t>命中几率+n%</t>
  </si>
  <si>
    <t>闪避几率+n%</t>
  </si>
  <si>
    <t>生命恢复+n</t>
  </si>
  <si>
    <t>生命上限+n</t>
  </si>
  <si>
    <t>伤害减免+n</t>
  </si>
  <si>
    <t>伤害追加+n</t>
  </si>
  <si>
    <t>攻击间隔-n</t>
  </si>
  <si>
    <t>额外金钱+n</t>
  </si>
  <si>
    <t>额外经验+n</t>
  </si>
  <si>
    <t>玩家攻击时产生暴击伤害的几率</t>
    <phoneticPr fontId="1" type="noConversion"/>
  </si>
  <si>
    <t>降低被暴击的几率</t>
    <phoneticPr fontId="1" type="noConversion"/>
  </si>
  <si>
    <t>值类型</t>
    <phoneticPr fontId="1" type="noConversion"/>
  </si>
  <si>
    <t>具体值</t>
    <phoneticPr fontId="1" type="noConversion"/>
  </si>
  <si>
    <t>闪避</t>
    <phoneticPr fontId="1" type="noConversion"/>
  </si>
  <si>
    <t>玩家躲避攻击的几率</t>
    <phoneticPr fontId="1" type="noConversion"/>
  </si>
  <si>
    <t>玩家攻击成功的几率</t>
    <phoneticPr fontId="1" type="noConversion"/>
  </si>
  <si>
    <t>百分比</t>
    <phoneticPr fontId="1" type="noConversion"/>
  </si>
  <si>
    <t>额外增加的金钱收益</t>
    <phoneticPr fontId="1" type="noConversion"/>
  </si>
  <si>
    <t>额外增加的经验收益</t>
    <phoneticPr fontId="1" type="noConversion"/>
  </si>
  <si>
    <t>属性类型</t>
    <phoneticPr fontId="1" type="noConversion"/>
  </si>
  <si>
    <t>√</t>
  </si>
  <si>
    <t>玩家每移动1格生命恢复增加量</t>
    <phoneticPr fontId="1" type="noConversion"/>
  </si>
  <si>
    <t>增加基础属性“生命”的上限</t>
    <phoneticPr fontId="1" type="noConversion"/>
  </si>
  <si>
    <t>玩家存活标准的上限值</t>
    <phoneticPr fontId="1" type="noConversion"/>
  </si>
  <si>
    <t>玩家释放技能标准的上限值</t>
    <phoneticPr fontId="1" type="noConversion"/>
  </si>
  <si>
    <t>计算玩家伤害的重要参数</t>
    <phoneticPr fontId="1" type="noConversion"/>
  </si>
  <si>
    <t>攻击增加+n</t>
    <phoneticPr fontId="1" type="noConversion"/>
  </si>
  <si>
    <t>增加攻击力</t>
    <phoneticPr fontId="1" type="noConversion"/>
  </si>
  <si>
    <t>装备等级</t>
    <phoneticPr fontId="1" type="noConversion"/>
  </si>
  <si>
    <t>强化0-1</t>
    <phoneticPr fontId="1" type="noConversion"/>
  </si>
  <si>
    <t>强化1-2</t>
    <phoneticPr fontId="1" type="noConversion"/>
  </si>
  <si>
    <t>强化2-3</t>
    <phoneticPr fontId="1" type="noConversion"/>
  </si>
  <si>
    <t>强化3-4</t>
    <phoneticPr fontId="1" type="noConversion"/>
  </si>
  <si>
    <t>强化4-5</t>
    <phoneticPr fontId="1" type="noConversion"/>
  </si>
  <si>
    <t>强化5-6</t>
    <phoneticPr fontId="1" type="noConversion"/>
  </si>
  <si>
    <t>强化6-7</t>
    <phoneticPr fontId="1" type="noConversion"/>
  </si>
  <si>
    <t>强化7-8</t>
    <phoneticPr fontId="1" type="noConversion"/>
  </si>
  <si>
    <t>强化8-9</t>
    <phoneticPr fontId="1" type="noConversion"/>
  </si>
  <si>
    <t>强化9-10</t>
    <phoneticPr fontId="1" type="noConversion"/>
  </si>
  <si>
    <t>系数1</t>
    <phoneticPr fontId="1" type="noConversion"/>
  </si>
  <si>
    <t>系数2</t>
  </si>
  <si>
    <t>系数3</t>
  </si>
  <si>
    <t>系数4</t>
  </si>
  <si>
    <t>系数5</t>
  </si>
  <si>
    <t>系数1</t>
    <phoneticPr fontId="1" type="noConversion"/>
  </si>
  <si>
    <t>品质1-2</t>
    <phoneticPr fontId="1" type="noConversion"/>
  </si>
  <si>
    <t>品质3-4</t>
    <phoneticPr fontId="1" type="noConversion"/>
  </si>
  <si>
    <t>装备等级</t>
    <phoneticPr fontId="1" type="noConversion"/>
  </si>
  <si>
    <t>品质2-3</t>
    <phoneticPr fontId="1" type="noConversion"/>
  </si>
  <si>
    <t>品质4-5</t>
    <phoneticPr fontId="1" type="noConversion"/>
  </si>
  <si>
    <t>装备等级</t>
    <phoneticPr fontId="1" type="noConversion"/>
  </si>
  <si>
    <t>品质1</t>
    <phoneticPr fontId="1" type="noConversion"/>
  </si>
  <si>
    <t>品质2</t>
    <phoneticPr fontId="1" type="noConversion"/>
  </si>
  <si>
    <t>品质3</t>
    <phoneticPr fontId="1" type="noConversion"/>
  </si>
  <si>
    <t>品质4</t>
    <phoneticPr fontId="1" type="noConversion"/>
  </si>
  <si>
    <t>品质5</t>
    <phoneticPr fontId="1" type="noConversion"/>
  </si>
  <si>
    <t>系数1</t>
    <phoneticPr fontId="1" type="noConversion"/>
  </si>
  <si>
    <t>总消耗(理论)</t>
    <phoneticPr fontId="1" type="noConversion"/>
  </si>
  <si>
    <t>装备等级</t>
    <phoneticPr fontId="1" type="noConversion"/>
  </si>
  <si>
    <t>品质分数</t>
    <phoneticPr fontId="1" type="noConversion"/>
  </si>
  <si>
    <t>攻击</t>
    <phoneticPr fontId="1" type="noConversion"/>
  </si>
  <si>
    <t>防御</t>
    <phoneticPr fontId="1" type="noConversion"/>
  </si>
  <si>
    <t>闪避</t>
    <phoneticPr fontId="1" type="noConversion"/>
  </si>
  <si>
    <t>装备类型</t>
  </si>
  <si>
    <t>武器</t>
  </si>
  <si>
    <t>头盔</t>
  </si>
  <si>
    <t>衣服</t>
  </si>
  <si>
    <t>护手</t>
  </si>
  <si>
    <t>裤子</t>
  </si>
  <si>
    <t>靴子</t>
  </si>
  <si>
    <t>生命</t>
    <phoneticPr fontId="1" type="noConversion"/>
  </si>
  <si>
    <t>体力</t>
    <phoneticPr fontId="1" type="noConversion"/>
  </si>
  <si>
    <t>攻击</t>
    <phoneticPr fontId="1" type="noConversion"/>
  </si>
  <si>
    <t>防御</t>
    <phoneticPr fontId="1" type="noConversion"/>
  </si>
  <si>
    <t>命中</t>
    <phoneticPr fontId="1" type="noConversion"/>
  </si>
  <si>
    <t>暴击</t>
    <phoneticPr fontId="1" type="noConversion"/>
  </si>
  <si>
    <t>抗暴</t>
    <phoneticPr fontId="1" type="noConversion"/>
  </si>
  <si>
    <t>●</t>
  </si>
  <si>
    <t>属性数量</t>
    <phoneticPr fontId="1" type="noConversion"/>
  </si>
  <si>
    <t>强化1</t>
  </si>
  <si>
    <t>强化2</t>
  </si>
  <si>
    <t>强化3</t>
  </si>
  <si>
    <t>强化4</t>
  </si>
  <si>
    <t>强化5</t>
  </si>
  <si>
    <t>强化6</t>
  </si>
  <si>
    <t>强化7</t>
  </si>
  <si>
    <t>强化8</t>
  </si>
  <si>
    <t>强化9</t>
  </si>
  <si>
    <t>强化10</t>
  </si>
  <si>
    <t>暴击</t>
    <phoneticPr fontId="1" type="noConversion"/>
  </si>
  <si>
    <t>抗暴</t>
    <phoneticPr fontId="1" type="noConversion"/>
  </si>
  <si>
    <t>命中</t>
    <phoneticPr fontId="1" type="noConversion"/>
  </si>
  <si>
    <t>闪避</t>
    <phoneticPr fontId="1" type="noConversion"/>
  </si>
  <si>
    <t>结果</t>
    <phoneticPr fontId="1" type="noConversion"/>
  </si>
  <si>
    <t>强化等级</t>
    <phoneticPr fontId="1" type="noConversion"/>
  </si>
  <si>
    <t>加成比</t>
    <phoneticPr fontId="1" type="noConversion"/>
  </si>
  <si>
    <t>强化1</t>
    <phoneticPr fontId="1" type="noConversion"/>
  </si>
  <si>
    <t>强化2</t>
    <phoneticPr fontId="1" type="noConversion"/>
  </si>
  <si>
    <t>强化3</t>
    <phoneticPr fontId="1" type="noConversion"/>
  </si>
  <si>
    <t>强化4</t>
    <phoneticPr fontId="1" type="noConversion"/>
  </si>
  <si>
    <t>强化5</t>
    <phoneticPr fontId="1" type="noConversion"/>
  </si>
  <si>
    <t>强化6</t>
    <phoneticPr fontId="1" type="noConversion"/>
  </si>
  <si>
    <t>强化7</t>
    <phoneticPr fontId="1" type="noConversion"/>
  </si>
  <si>
    <t>强化8</t>
    <phoneticPr fontId="1" type="noConversion"/>
  </si>
  <si>
    <t>强化9</t>
    <phoneticPr fontId="1" type="noConversion"/>
  </si>
  <si>
    <t>强化10</t>
    <phoneticPr fontId="1" type="noConversion"/>
  </si>
  <si>
    <t>基础值</t>
    <phoneticPr fontId="1" type="noConversion"/>
  </si>
  <si>
    <t>防御</t>
    <phoneticPr fontId="1" type="noConversion"/>
  </si>
  <si>
    <t>攻击</t>
    <phoneticPr fontId="1" type="noConversion"/>
  </si>
  <si>
    <t>头盔</t>
    <phoneticPr fontId="1" type="noConversion"/>
  </si>
  <si>
    <t>衣服</t>
    <phoneticPr fontId="1" type="noConversion"/>
  </si>
  <si>
    <t>裤子</t>
    <phoneticPr fontId="1" type="noConversion"/>
  </si>
  <si>
    <t>靴子</t>
    <phoneticPr fontId="1" type="noConversion"/>
  </si>
  <si>
    <t>通用系数1</t>
    <phoneticPr fontId="1" type="noConversion"/>
  </si>
  <si>
    <t>抗暴</t>
    <phoneticPr fontId="1" type="noConversion"/>
  </si>
  <si>
    <t>命中</t>
    <phoneticPr fontId="1" type="noConversion"/>
  </si>
  <si>
    <t>闪避</t>
    <phoneticPr fontId="1" type="noConversion"/>
  </si>
  <si>
    <t>等级</t>
    <phoneticPr fontId="1" type="noConversion"/>
  </si>
  <si>
    <t>经验</t>
    <phoneticPr fontId="1" type="noConversion"/>
  </si>
  <si>
    <t>攻击</t>
    <phoneticPr fontId="1" type="noConversion"/>
  </si>
  <si>
    <t>防御</t>
    <phoneticPr fontId="1" type="noConversion"/>
  </si>
  <si>
    <t>满级时间</t>
    <phoneticPr fontId="1" type="noConversion"/>
  </si>
  <si>
    <t>秒</t>
    <phoneticPr fontId="1" type="noConversion"/>
  </si>
  <si>
    <t>分</t>
    <phoneticPr fontId="1" type="noConversion"/>
  </si>
  <si>
    <t>时</t>
    <phoneticPr fontId="1" type="noConversion"/>
  </si>
  <si>
    <t>天</t>
    <phoneticPr fontId="1" type="noConversion"/>
  </si>
  <si>
    <t>等级</t>
    <phoneticPr fontId="1" type="noConversion"/>
  </si>
  <si>
    <t>所需时间</t>
    <phoneticPr fontId="1" type="noConversion"/>
  </si>
  <si>
    <t>所需经验</t>
    <phoneticPr fontId="1" type="noConversion"/>
  </si>
  <si>
    <t>秒</t>
    <phoneticPr fontId="1" type="noConversion"/>
  </si>
  <si>
    <t>单怪时间</t>
    <phoneticPr fontId="1" type="noConversion"/>
  </si>
  <si>
    <t>防御</t>
    <phoneticPr fontId="1" type="noConversion"/>
  </si>
  <si>
    <t>生命</t>
    <phoneticPr fontId="1" type="noConversion"/>
  </si>
  <si>
    <t>攻击</t>
    <phoneticPr fontId="1" type="noConversion"/>
  </si>
  <si>
    <t>暴击</t>
    <phoneticPr fontId="1" type="noConversion"/>
  </si>
  <si>
    <t>命中</t>
    <phoneticPr fontId="1" type="noConversion"/>
  </si>
  <si>
    <t>闪避</t>
    <phoneticPr fontId="1" type="noConversion"/>
  </si>
  <si>
    <t>玩家攻击</t>
    <phoneticPr fontId="1" type="noConversion"/>
  </si>
  <si>
    <t>玩家防御</t>
    <phoneticPr fontId="1" type="noConversion"/>
  </si>
  <si>
    <t>修正值</t>
    <phoneticPr fontId="1" type="noConversion"/>
  </si>
  <si>
    <t>修正系数1</t>
    <phoneticPr fontId="1" type="noConversion"/>
  </si>
  <si>
    <t>修正系数2</t>
  </si>
  <si>
    <t>修正系数3</t>
  </si>
  <si>
    <t>修正系数4</t>
  </si>
  <si>
    <t>生命</t>
    <phoneticPr fontId="1" type="noConversion"/>
  </si>
  <si>
    <t>怪物攻击参考</t>
    <phoneticPr fontId="1" type="noConversion"/>
  </si>
  <si>
    <t>体力</t>
  </si>
  <si>
    <t>护手</t>
    <phoneticPr fontId="1" type="noConversion"/>
  </si>
  <si>
    <t>玩家生命</t>
    <phoneticPr fontId="1" type="noConversion"/>
  </si>
  <si>
    <t>玩家受击次数</t>
    <phoneticPr fontId="1" type="noConversion"/>
  </si>
  <si>
    <t>怪物受击次数</t>
    <phoneticPr fontId="1" type="noConversion"/>
  </si>
  <si>
    <t>等级</t>
    <phoneticPr fontId="1" type="noConversion"/>
  </si>
  <si>
    <t>玩家暴击</t>
    <phoneticPr fontId="1" type="noConversion"/>
  </si>
  <si>
    <t>玩家抗暴</t>
    <phoneticPr fontId="1" type="noConversion"/>
  </si>
  <si>
    <t>玩家命中</t>
    <phoneticPr fontId="1" type="noConversion"/>
  </si>
  <si>
    <t>玩家闪避</t>
    <phoneticPr fontId="1" type="noConversion"/>
  </si>
  <si>
    <t>金钱掉落</t>
    <phoneticPr fontId="1" type="noConversion"/>
  </si>
  <si>
    <t>附加属性：随机出现在装备上</t>
    <phoneticPr fontId="1" type="noConversion"/>
  </si>
  <si>
    <t>基础属性：由玩家自身和装备基本属性提供，通过相关公式进行战斗计算</t>
    <phoneticPr fontId="1" type="noConversion"/>
  </si>
  <si>
    <t>提高伤害量（战斗计算追加）</t>
    <phoneticPr fontId="1" type="noConversion"/>
  </si>
  <si>
    <t>减少伤害量（战斗计算追加）</t>
    <phoneticPr fontId="1" type="noConversion"/>
  </si>
  <si>
    <t>防御增加+n</t>
    <phoneticPr fontId="1" type="noConversion"/>
  </si>
  <si>
    <t>增加防御力</t>
    <phoneticPr fontId="1" type="noConversion"/>
  </si>
  <si>
    <t>扩展属性：与不直接参与战斗公式计算，部分会在战斗计算后进行追加</t>
    <phoneticPr fontId="1" type="noConversion"/>
  </si>
  <si>
    <t>攻击时，暴击几率计算后追加的几率</t>
    <phoneticPr fontId="1" type="noConversion"/>
  </si>
  <si>
    <t>被攻击时，暴击几率结算后减少的几率</t>
    <phoneticPr fontId="1" type="noConversion"/>
  </si>
  <si>
    <t>攻击时，追加暴击伤害的倍率</t>
    <phoneticPr fontId="1" type="noConversion"/>
  </si>
  <si>
    <t>被攻击时，减少暴击伤害的倍率</t>
    <phoneticPr fontId="1" type="noConversion"/>
  </si>
  <si>
    <t>攻击时，增加攻击成功几率</t>
    <phoneticPr fontId="1" type="noConversion"/>
  </si>
  <si>
    <t>被攻击时，增加躲避攻击几率</t>
    <phoneticPr fontId="1" type="noConversion"/>
  </si>
  <si>
    <t>被攻击时，减少伤害量（公式计算伤害后）</t>
    <phoneticPr fontId="1" type="noConversion"/>
  </si>
  <si>
    <t>攻击时，提高伤害量（公式计算伤害后）</t>
    <phoneticPr fontId="1" type="noConversion"/>
  </si>
  <si>
    <t>额外增加的金钱收益（战斗结束后结算）</t>
    <phoneticPr fontId="1" type="noConversion"/>
  </si>
  <si>
    <t>额外增加的经验收益（战斗结束后结算）</t>
    <phoneticPr fontId="1" type="noConversion"/>
  </si>
  <si>
    <t>玩家每移动1格生命恢复量（非战斗状态生效）</t>
    <phoneticPr fontId="1" type="noConversion"/>
  </si>
  <si>
    <t>暴击增加+n</t>
    <phoneticPr fontId="1" type="noConversion"/>
  </si>
  <si>
    <t>增加基础属性“暴击”值</t>
    <phoneticPr fontId="1" type="noConversion"/>
  </si>
  <si>
    <t>抗暴增加+n</t>
    <phoneticPr fontId="1" type="noConversion"/>
  </si>
  <si>
    <t>增加基础属性“抗暴”值</t>
    <phoneticPr fontId="1" type="noConversion"/>
  </si>
  <si>
    <t>命中上限+n</t>
    <phoneticPr fontId="1" type="noConversion"/>
  </si>
  <si>
    <t>增加基础属性“命中”值</t>
    <phoneticPr fontId="1" type="noConversion"/>
  </si>
  <si>
    <t>闪避上限+n</t>
    <phoneticPr fontId="1" type="noConversion"/>
  </si>
  <si>
    <t>增加基础属性“闪避”值</t>
    <phoneticPr fontId="1" type="noConversion"/>
  </si>
  <si>
    <t>玩家攻击间隔，精确到毫秒</t>
    <phoneticPr fontId="1" type="noConversion"/>
  </si>
  <si>
    <t>等级</t>
    <phoneticPr fontId="1" type="noConversion"/>
  </si>
  <si>
    <t>等级</t>
    <phoneticPr fontId="1" type="noConversion"/>
  </si>
  <si>
    <t>体力</t>
    <phoneticPr fontId="1" type="noConversion"/>
  </si>
  <si>
    <t>体力恢复</t>
  </si>
  <si>
    <t>玩家每移动1格体力恢复量（非战斗状态生效）</t>
  </si>
  <si>
    <t>体力上限+n</t>
  </si>
  <si>
    <t>增加基础属性“体力”的上限</t>
  </si>
  <si>
    <t>体力恢复+n</t>
  </si>
  <si>
    <t>玩家每移动1格体力恢复增加量</t>
  </si>
  <si>
    <t>玩家体力</t>
    <phoneticPr fontId="1" type="noConversion"/>
  </si>
  <si>
    <t>角色攻击</t>
    <phoneticPr fontId="1" type="noConversion"/>
  </si>
  <si>
    <t>怪物攻击</t>
    <phoneticPr fontId="1" type="noConversion"/>
  </si>
  <si>
    <t>等级</t>
    <phoneticPr fontId="1" type="noConversion"/>
  </si>
  <si>
    <t>攻击</t>
    <phoneticPr fontId="1" type="noConversion"/>
  </si>
  <si>
    <t>装备数量</t>
    <phoneticPr fontId="1" type="noConversion"/>
  </si>
  <si>
    <t>装备品质</t>
    <phoneticPr fontId="1" type="noConversion"/>
  </si>
  <si>
    <t>强化等级</t>
    <phoneticPr fontId="1" type="noConversion"/>
  </si>
  <si>
    <t>暴击</t>
    <phoneticPr fontId="1" type="noConversion"/>
  </si>
  <si>
    <t>命中</t>
    <phoneticPr fontId="1" type="noConversion"/>
  </si>
  <si>
    <t>金币消耗统筹</t>
    <phoneticPr fontId="1" type="noConversion"/>
  </si>
  <si>
    <t>总经验</t>
    <phoneticPr fontId="1" type="noConversion"/>
  </si>
  <si>
    <t>金币消耗统筹
(以最大消耗为核心)</t>
    <phoneticPr fontId="1" type="noConversion"/>
  </si>
  <si>
    <t>体力&amp;抗暴</t>
    <phoneticPr fontId="1" type="noConversion"/>
  </si>
  <si>
    <t>防御&amp;生命&amp;闪避</t>
    <phoneticPr fontId="1" type="noConversion"/>
  </si>
  <si>
    <t>金钱</t>
    <phoneticPr fontId="1" type="noConversion"/>
  </si>
  <si>
    <t>金钱</t>
    <phoneticPr fontId="1" type="noConversion"/>
  </si>
  <si>
    <t>金钱</t>
    <phoneticPr fontId="1" type="noConversion"/>
  </si>
  <si>
    <t>金钱</t>
    <phoneticPr fontId="1" type="noConversion"/>
  </si>
  <si>
    <t>总消耗</t>
    <phoneticPr fontId="1" type="noConversion"/>
  </si>
  <si>
    <t>装备等级</t>
    <phoneticPr fontId="1" type="noConversion"/>
  </si>
  <si>
    <t>装备等级</t>
    <phoneticPr fontId="1" type="noConversion"/>
  </si>
  <si>
    <t>等级总消耗</t>
    <phoneticPr fontId="1" type="noConversion"/>
  </si>
  <si>
    <t>系数1</t>
    <phoneticPr fontId="1" type="noConversion"/>
  </si>
  <si>
    <t>系数2</t>
    <phoneticPr fontId="1" type="noConversion"/>
  </si>
  <si>
    <t>杀怪数量</t>
    <phoneticPr fontId="1" type="noConversion"/>
  </si>
  <si>
    <t>角色等级</t>
  </si>
  <si>
    <t>等级</t>
  </si>
  <si>
    <t>品质</t>
    <phoneticPr fontId="1" type="noConversion"/>
  </si>
  <si>
    <t>强化</t>
    <phoneticPr fontId="1" type="noConversion"/>
  </si>
  <si>
    <t>靴子</t>
    <phoneticPr fontId="1" type="noConversion"/>
  </si>
  <si>
    <t>怪物等级</t>
    <phoneticPr fontId="1" type="noConversion"/>
  </si>
  <si>
    <t>闪避</t>
  </si>
  <si>
    <t>角色装备</t>
    <phoneticPr fontId="1" type="noConversion"/>
  </si>
  <si>
    <t>——</t>
    <phoneticPr fontId="1" type="noConversion"/>
  </si>
  <si>
    <t>攻击</t>
    <phoneticPr fontId="1" type="noConversion"/>
  </si>
  <si>
    <t>生命</t>
    <phoneticPr fontId="1" type="noConversion"/>
  </si>
  <si>
    <t>防御</t>
    <phoneticPr fontId="1" type="noConversion"/>
  </si>
  <si>
    <t>生命</t>
    <phoneticPr fontId="1" type="noConversion"/>
  </si>
  <si>
    <t>体力</t>
    <phoneticPr fontId="1" type="noConversion"/>
  </si>
  <si>
    <t>抗暴</t>
    <phoneticPr fontId="1" type="noConversion"/>
  </si>
  <si>
    <t>体力</t>
    <phoneticPr fontId="1" type="noConversion"/>
  </si>
  <si>
    <t>防御</t>
    <phoneticPr fontId="1" type="noConversion"/>
  </si>
  <si>
    <t>防御</t>
    <phoneticPr fontId="1" type="noConversion"/>
  </si>
  <si>
    <t>闪避</t>
    <phoneticPr fontId="1" type="noConversion"/>
  </si>
  <si>
    <t>命中</t>
    <phoneticPr fontId="1" type="noConversion"/>
  </si>
  <si>
    <t>暴击</t>
    <phoneticPr fontId="1" type="noConversion"/>
  </si>
  <si>
    <t>打造费用</t>
    <phoneticPr fontId="1" type="noConversion"/>
  </si>
  <si>
    <t>标准值</t>
    <phoneticPr fontId="1" type="noConversion"/>
  </si>
  <si>
    <t>总费用</t>
    <phoneticPr fontId="1" type="noConversion"/>
  </si>
  <si>
    <t>经验</t>
    <phoneticPr fontId="1" type="noConversion"/>
  </si>
  <si>
    <t>金钱</t>
    <phoneticPr fontId="1" type="noConversion"/>
  </si>
  <si>
    <t>攻速</t>
    <phoneticPr fontId="1" type="noConversion"/>
  </si>
  <si>
    <t>——</t>
    <phoneticPr fontId="1" type="noConversion"/>
  </si>
  <si>
    <t>攻速ms</t>
    <phoneticPr fontId="1" type="noConversion"/>
  </si>
  <si>
    <t>对怪物伤害</t>
    <phoneticPr fontId="1" type="noConversion"/>
  </si>
  <si>
    <t>攻击次数</t>
    <phoneticPr fontId="1" type="noConversion"/>
  </si>
  <si>
    <t>被怪物伤害</t>
    <phoneticPr fontId="1" type="noConversion"/>
  </si>
  <si>
    <t>被攻击次数</t>
    <phoneticPr fontId="1" type="noConversion"/>
  </si>
  <si>
    <t>可杀怪数量</t>
    <phoneticPr fontId="1" type="noConversion"/>
  </si>
  <si>
    <t>金钱收益</t>
    <phoneticPr fontId="1" type="noConversion"/>
  </si>
  <si>
    <t>经验收益</t>
    <phoneticPr fontId="1" type="noConversion"/>
  </si>
  <si>
    <t>升级经验</t>
    <phoneticPr fontId="1" type="noConversion"/>
  </si>
  <si>
    <t>需满血次数</t>
    <phoneticPr fontId="1" type="noConversion"/>
  </si>
  <si>
    <t>怪物数量</t>
    <phoneticPr fontId="1" type="noConversion"/>
  </si>
  <si>
    <t>地图金钱</t>
    <phoneticPr fontId="1" type="noConversion"/>
  </si>
  <si>
    <t>地图经验</t>
    <phoneticPr fontId="1" type="noConversion"/>
  </si>
  <si>
    <t>剩余血量</t>
    <phoneticPr fontId="1" type="noConversion"/>
  </si>
  <si>
    <t>命中次数</t>
    <phoneticPr fontId="1" type="noConversion"/>
  </si>
  <si>
    <t>闪避次数</t>
    <phoneticPr fontId="1" type="noConversion"/>
  </si>
  <si>
    <t>暴击次数</t>
    <phoneticPr fontId="1" type="noConversion"/>
  </si>
  <si>
    <t>抗暴次数</t>
    <phoneticPr fontId="1" type="noConversion"/>
  </si>
  <si>
    <t>角色等级</t>
    <phoneticPr fontId="1" type="noConversion"/>
  </si>
  <si>
    <t>武器数据</t>
    <phoneticPr fontId="1" type="noConversion"/>
  </si>
  <si>
    <t>头盔数据</t>
    <phoneticPr fontId="1" type="noConversion"/>
  </si>
  <si>
    <t>衣服数据</t>
    <phoneticPr fontId="1" type="noConversion"/>
  </si>
  <si>
    <t>护手数据</t>
    <phoneticPr fontId="1" type="noConversion"/>
  </si>
  <si>
    <t>裤子数据</t>
    <phoneticPr fontId="1" type="noConversion"/>
  </si>
  <si>
    <t>靴子数据</t>
    <phoneticPr fontId="1" type="noConversion"/>
  </si>
  <si>
    <t>怪物等级</t>
    <phoneticPr fontId="1" type="noConversion"/>
  </si>
  <si>
    <t>玩家生命</t>
    <phoneticPr fontId="1" type="noConversion"/>
  </si>
  <si>
    <t>怪物生命</t>
    <phoneticPr fontId="1" type="noConversion"/>
  </si>
  <si>
    <t>总伤害</t>
    <phoneticPr fontId="1" type="noConversion"/>
  </si>
  <si>
    <t>统计数</t>
    <phoneticPr fontId="1" type="noConversion"/>
  </si>
  <si>
    <t>累积金钱</t>
    <phoneticPr fontId="1" type="noConversion"/>
  </si>
  <si>
    <t>总杀怪</t>
    <phoneticPr fontId="1" type="noConversion"/>
  </si>
  <si>
    <t>经验值</t>
    <phoneticPr fontId="1" type="noConversion"/>
  </si>
  <si>
    <t>攻击次数</t>
    <phoneticPr fontId="1" type="noConversion"/>
  </si>
  <si>
    <t>战斗回合</t>
    <phoneticPr fontId="1" type="noConversion"/>
  </si>
  <si>
    <t>满血次数</t>
    <phoneticPr fontId="1" type="noConversion"/>
  </si>
  <si>
    <t>杀怪数量</t>
    <phoneticPr fontId="1" type="noConversion"/>
  </si>
  <si>
    <t>等级</t>
    <phoneticPr fontId="1" type="noConversion"/>
  </si>
  <si>
    <t>标准值</t>
    <phoneticPr fontId="1" type="noConversion"/>
  </si>
  <si>
    <t>恢复值</t>
    <phoneticPr fontId="1" type="noConversion"/>
  </si>
  <si>
    <t>--</t>
    <phoneticPr fontId="1" type="noConversion"/>
  </si>
  <si>
    <t>武器材料(攻击)</t>
    <phoneticPr fontId="1" type="noConversion"/>
  </si>
  <si>
    <t>头盔材料(生命+防御)</t>
    <phoneticPr fontId="1" type="noConversion"/>
  </si>
  <si>
    <t>衣服材料(生命+防御)</t>
    <phoneticPr fontId="1" type="noConversion"/>
  </si>
  <si>
    <t>护手材料(体力+抗暴)</t>
    <phoneticPr fontId="1" type="noConversion"/>
  </si>
  <si>
    <t>裤子材料(体力+防御)</t>
    <phoneticPr fontId="1" type="noConversion"/>
  </si>
  <si>
    <t>靴子材料(防御+闪避)</t>
    <phoneticPr fontId="1" type="noConversion"/>
  </si>
  <si>
    <t>角色A</t>
    <phoneticPr fontId="1" type="noConversion"/>
  </si>
  <si>
    <t>角色B</t>
    <phoneticPr fontId="1" type="noConversion"/>
  </si>
  <si>
    <t>标准回合</t>
    <phoneticPr fontId="1" type="noConversion"/>
  </si>
  <si>
    <t>标准命中率</t>
    <phoneticPr fontId="1" type="noConversion"/>
  </si>
  <si>
    <t>标准暴击率</t>
    <phoneticPr fontId="1" type="noConversion"/>
  </si>
  <si>
    <t>标准伤害</t>
    <phoneticPr fontId="1" type="noConversion"/>
  </si>
  <si>
    <t>防御</t>
    <phoneticPr fontId="1" type="noConversion"/>
  </si>
  <si>
    <t>生命</t>
    <phoneticPr fontId="1" type="noConversion"/>
  </si>
  <si>
    <t>暴击</t>
    <phoneticPr fontId="1" type="noConversion"/>
  </si>
  <si>
    <t>命中</t>
    <phoneticPr fontId="1" type="noConversion"/>
  </si>
  <si>
    <t>闪避</t>
    <phoneticPr fontId="1" type="noConversion"/>
  </si>
  <si>
    <t>抗暴</t>
    <phoneticPr fontId="1" type="noConversion"/>
  </si>
  <si>
    <t>攻击</t>
    <phoneticPr fontId="1" type="noConversion"/>
  </si>
  <si>
    <t>暴击回合</t>
    <phoneticPr fontId="1" type="noConversion"/>
  </si>
  <si>
    <t>暴击伤害</t>
    <phoneticPr fontId="1" type="noConversion"/>
  </si>
  <si>
    <t>标准伤害</t>
    <phoneticPr fontId="1" type="noConversion"/>
  </si>
  <si>
    <t>减少回合</t>
    <phoneticPr fontId="1" type="noConversion"/>
  </si>
  <si>
    <t>统一等级</t>
    <phoneticPr fontId="1" type="noConversion"/>
  </si>
  <si>
    <t>统一品质</t>
    <phoneticPr fontId="1" type="noConversion"/>
  </si>
  <si>
    <t>统一强化</t>
    <phoneticPr fontId="1" type="noConversion"/>
  </si>
  <si>
    <t>持续回合</t>
    <phoneticPr fontId="1" type="noConversion"/>
  </si>
  <si>
    <t>攻击降低</t>
    <phoneticPr fontId="1" type="noConversion"/>
  </si>
  <si>
    <t>一击之力</t>
    <phoneticPr fontId="1" type="noConversion"/>
  </si>
  <si>
    <t>等级1</t>
    <phoneticPr fontId="1" type="noConversion"/>
  </si>
  <si>
    <t>等级2</t>
  </si>
  <si>
    <t>等级3</t>
  </si>
  <si>
    <t>等级4</t>
  </si>
  <si>
    <t>等级5</t>
  </si>
  <si>
    <t>等级6</t>
  </si>
  <si>
    <t>等级7</t>
  </si>
  <si>
    <t>等级8</t>
  </si>
  <si>
    <t>等级9</t>
  </si>
  <si>
    <t>等级10</t>
  </si>
  <si>
    <t>致命一击</t>
    <phoneticPr fontId="1" type="noConversion"/>
  </si>
  <si>
    <t>绝处逢生</t>
    <phoneticPr fontId="1" type="noConversion"/>
  </si>
  <si>
    <t>立即恢复x点生命值</t>
    <phoneticPr fontId="1" type="noConversion"/>
  </si>
  <si>
    <t>主动</t>
    <phoneticPr fontId="1" type="noConversion"/>
  </si>
  <si>
    <t>被动</t>
    <phoneticPr fontId="1" type="noConversion"/>
  </si>
  <si>
    <t>战斗中有x%几率在3回合内使用技能体力消耗减少50%</t>
    <phoneticPr fontId="1" type="noConversion"/>
  </si>
  <si>
    <t>受到的陷阱伤害降低x%</t>
    <phoneticPr fontId="1" type="noConversion"/>
  </si>
  <si>
    <t>勇者无畏</t>
    <phoneticPr fontId="1" type="noConversion"/>
  </si>
  <si>
    <t>几率</t>
    <phoneticPr fontId="1" type="noConversion"/>
  </si>
  <si>
    <t>回合</t>
    <phoneticPr fontId="1" type="noConversion"/>
  </si>
  <si>
    <t>效果2</t>
    <phoneticPr fontId="1" type="noConversion"/>
  </si>
  <si>
    <t>反伤效果</t>
    <phoneticPr fontId="1" type="noConversion"/>
  </si>
  <si>
    <t>伤害降低</t>
    <phoneticPr fontId="1" type="noConversion"/>
  </si>
  <si>
    <t>体力消耗</t>
    <phoneticPr fontId="1" type="noConversion"/>
  </si>
  <si>
    <t>效果2</t>
    <phoneticPr fontId="1" type="noConversion"/>
  </si>
  <si>
    <t>冷却回合</t>
    <phoneticPr fontId="1" type="noConversion"/>
  </si>
  <si>
    <t>吸收伤害</t>
    <phoneticPr fontId="1" type="noConversion"/>
  </si>
  <si>
    <t>离子护盾</t>
    <phoneticPr fontId="1" type="noConversion"/>
  </si>
  <si>
    <t>吸收x%伤害，持续3回合</t>
    <phoneticPr fontId="1" type="noConversion"/>
  </si>
  <si>
    <t>自我恢复</t>
    <phoneticPr fontId="1" type="noConversion"/>
  </si>
  <si>
    <t>治疗粒子</t>
    <phoneticPr fontId="1" type="noConversion"/>
  </si>
  <si>
    <t>转移装甲</t>
    <phoneticPr fontId="1" type="noConversion"/>
  </si>
  <si>
    <t>迎头痛击</t>
    <phoneticPr fontId="1" type="noConversion"/>
  </si>
  <si>
    <t>陷阱克星</t>
    <phoneticPr fontId="1" type="noConversion"/>
  </si>
  <si>
    <t>当自身生命值低于20%时，暴击率提高x%，暴击伤害增加x%</t>
    <phoneticPr fontId="1" type="noConversion"/>
  </si>
  <si>
    <t>——</t>
    <phoneticPr fontId="1" type="noConversion"/>
  </si>
  <si>
    <t>学习等级</t>
    <phoneticPr fontId="1" type="noConversion"/>
  </si>
  <si>
    <t>等级</t>
    <phoneticPr fontId="1" type="noConversion"/>
  </si>
  <si>
    <t>技能数量</t>
    <phoneticPr fontId="1" type="noConversion"/>
  </si>
  <si>
    <t>玩家等级</t>
    <phoneticPr fontId="1" type="noConversion"/>
  </si>
  <si>
    <t>可用技能点</t>
    <phoneticPr fontId="1" type="noConversion"/>
  </si>
  <si>
    <t>给目标造成70%伤害，若目标血量低于30%时，则有x%几率将其直接杀死。对BOSS无效。</t>
    <phoneticPr fontId="1" type="noConversion"/>
  </si>
  <si>
    <t>额外伤害</t>
    <phoneticPr fontId="1" type="noConversion"/>
  </si>
  <si>
    <t>给目标造成120%点伤害，并使对手在3回合内承受x点伤害</t>
    <phoneticPr fontId="1" type="noConversion"/>
  </si>
  <si>
    <t>恢复生命</t>
    <phoneticPr fontId="1" type="noConversion"/>
  </si>
  <si>
    <t>造成伤害</t>
    <phoneticPr fontId="1" type="noConversion"/>
  </si>
  <si>
    <t>秒杀几率</t>
    <phoneticPr fontId="1" type="noConversion"/>
  </si>
  <si>
    <t>恢复量</t>
    <phoneticPr fontId="1" type="noConversion"/>
  </si>
  <si>
    <t>几率</t>
    <phoneticPr fontId="1" type="noConversion"/>
  </si>
  <si>
    <t>暴击率</t>
    <phoneticPr fontId="1" type="noConversion"/>
  </si>
  <si>
    <t>伤害</t>
    <phoneticPr fontId="1" type="noConversion"/>
  </si>
  <si>
    <t>——</t>
  </si>
  <si>
    <t>——</t>
    <phoneticPr fontId="1" type="noConversion"/>
  </si>
  <si>
    <t>伤害</t>
    <phoneticPr fontId="1" type="noConversion"/>
  </si>
  <si>
    <t>被伤害</t>
    <phoneticPr fontId="1" type="noConversion"/>
  </si>
  <si>
    <t>等级</t>
    <phoneticPr fontId="1" type="noConversion"/>
  </si>
  <si>
    <t>给目标造成x%伤害</t>
    <phoneticPr fontId="1" type="noConversion"/>
  </si>
  <si>
    <t>损失生命</t>
    <phoneticPr fontId="1" type="noConversion"/>
  </si>
  <si>
    <t>战斗结束后立即恢复x点生命</t>
    <phoneticPr fontId="1" type="noConversion"/>
  </si>
  <si>
    <t>闪避成功有x%几率可使敌人在5回合内攻击降低x%，最多叠加3次</t>
    <phoneticPr fontId="1" type="noConversion"/>
  </si>
  <si>
    <t>给目标造成x%伤害，但会损失x点生命</t>
    <phoneticPr fontId="1" type="noConversion"/>
  </si>
  <si>
    <t>基础数</t>
    <phoneticPr fontId="1" type="noConversion"/>
  </si>
  <si>
    <t>等级</t>
    <phoneticPr fontId="1" type="noConversion"/>
  </si>
  <si>
    <t>灵活机能</t>
  </si>
  <si>
    <t>灵活机能</t>
    <phoneticPr fontId="1" type="noConversion"/>
  </si>
  <si>
    <t>战意高昂</t>
  </si>
  <si>
    <t>生命药水</t>
    <phoneticPr fontId="1" type="noConversion"/>
  </si>
  <si>
    <t>体力药水</t>
    <phoneticPr fontId="1" type="noConversion"/>
  </si>
  <si>
    <t>攻击药水</t>
    <phoneticPr fontId="1" type="noConversion"/>
  </si>
  <si>
    <t>防御药水</t>
    <phoneticPr fontId="1" type="noConversion"/>
  </si>
  <si>
    <t>暴击药水</t>
  </si>
  <si>
    <t>命中药水</t>
    <phoneticPr fontId="1" type="noConversion"/>
  </si>
  <si>
    <t>抗暴药水</t>
    <phoneticPr fontId="1" type="noConversion"/>
  </si>
  <si>
    <t>闪避药水</t>
    <phoneticPr fontId="1" type="noConversion"/>
  </si>
  <si>
    <t>增加值</t>
    <phoneticPr fontId="1" type="noConversion"/>
  </si>
  <si>
    <t>增加值</t>
    <phoneticPr fontId="1" type="noConversion"/>
  </si>
  <si>
    <t>系数1</t>
    <phoneticPr fontId="1" type="noConversion"/>
  </si>
  <si>
    <t>体力</t>
    <phoneticPr fontId="1" type="noConversion"/>
  </si>
  <si>
    <t>--</t>
    <phoneticPr fontId="1" type="noConversion"/>
  </si>
  <si>
    <t>--</t>
    <phoneticPr fontId="1" type="noConversion"/>
  </si>
  <si>
    <t>--</t>
    <phoneticPr fontId="1" type="noConversion"/>
  </si>
  <si>
    <t>生命</t>
    <phoneticPr fontId="1" type="noConversion"/>
  </si>
  <si>
    <t>防御</t>
    <phoneticPr fontId="1" type="noConversion"/>
  </si>
  <si>
    <t>体力</t>
    <phoneticPr fontId="1" type="noConversion"/>
  </si>
  <si>
    <t>攻击</t>
    <phoneticPr fontId="1" type="noConversion"/>
  </si>
  <si>
    <t>命中</t>
    <phoneticPr fontId="1" type="noConversion"/>
  </si>
  <si>
    <t>暴击</t>
    <phoneticPr fontId="1" type="noConversion"/>
  </si>
  <si>
    <t>闪避</t>
    <phoneticPr fontId="1" type="noConversion"/>
  </si>
  <si>
    <t>抗暴</t>
    <phoneticPr fontId="1" type="noConversion"/>
  </si>
  <si>
    <t>经验药水</t>
    <phoneticPr fontId="1" type="noConversion"/>
  </si>
  <si>
    <t>生命增加值</t>
    <phoneticPr fontId="1" type="noConversion"/>
  </si>
  <si>
    <t>体力增加值</t>
    <phoneticPr fontId="1" type="noConversion"/>
  </si>
  <si>
    <t>全能药水</t>
    <phoneticPr fontId="1" type="noConversion"/>
  </si>
  <si>
    <t>逃跑成功率</t>
    <phoneticPr fontId="1" type="noConversion"/>
  </si>
  <si>
    <t>能源</t>
  </si>
  <si>
    <t>能源数据</t>
  </si>
  <si>
    <t>能源材料(命中)</t>
  </si>
  <si>
    <t>饰品</t>
  </si>
  <si>
    <t>饰品数据</t>
  </si>
  <si>
    <t>饰品材料(暴击)</t>
  </si>
  <si>
    <t>宇宙合金</t>
  </si>
  <si>
    <t>反核金属</t>
  </si>
  <si>
    <t xml:space="preserve">核子重组器 </t>
  </si>
  <si>
    <t xml:space="preserve">电磁核金属 </t>
    <phoneticPr fontId="1" type="noConversion"/>
  </si>
  <si>
    <t xml:space="preserve">太阳能模组 </t>
  </si>
  <si>
    <t>重核金属</t>
    <phoneticPr fontId="1" type="noConversion"/>
  </si>
  <si>
    <t>生命检测仪</t>
  </si>
  <si>
    <t xml:space="preserve">脉冲核金属 </t>
  </si>
  <si>
    <t>分子转化器</t>
  </si>
  <si>
    <t xml:space="preserve">光核金属 </t>
  </si>
  <si>
    <t xml:space="preserve">伽马发射器 </t>
  </si>
  <si>
    <t>轻水核金属</t>
  </si>
  <si>
    <t xml:space="preserve">引力控制仪 </t>
  </si>
  <si>
    <t xml:space="preserve">泰坦之核 </t>
  </si>
  <si>
    <t xml:space="preserve">能源稳定仪 </t>
  </si>
  <si>
    <t xml:space="preserve">超核心元件 </t>
  </si>
  <si>
    <t xml:space="preserve">量子核心板 </t>
  </si>
  <si>
    <t>等级</t>
    <phoneticPr fontId="1" type="noConversion"/>
  </si>
  <si>
    <t>装备品质</t>
    <phoneticPr fontId="1" type="noConversion"/>
  </si>
  <si>
    <t>基础价格</t>
    <phoneticPr fontId="1" type="noConversion"/>
  </si>
  <si>
    <t>系数1</t>
  </si>
  <si>
    <t>武器买入</t>
    <phoneticPr fontId="1" type="noConversion"/>
  </si>
  <si>
    <t>武器卖出</t>
    <phoneticPr fontId="1" type="noConversion"/>
  </si>
  <si>
    <t>饰品卖出</t>
    <phoneticPr fontId="1" type="noConversion"/>
  </si>
  <si>
    <t>头盔卖出</t>
    <phoneticPr fontId="1" type="noConversion"/>
  </si>
  <si>
    <t>衣服卖出</t>
    <phoneticPr fontId="1" type="noConversion"/>
  </si>
  <si>
    <t>护手卖出</t>
    <phoneticPr fontId="1" type="noConversion"/>
  </si>
  <si>
    <t>裤子卖出</t>
    <phoneticPr fontId="1" type="noConversion"/>
  </si>
  <si>
    <t>靴子卖出</t>
    <phoneticPr fontId="1" type="noConversion"/>
  </si>
  <si>
    <t>能源卖出</t>
    <phoneticPr fontId="1" type="noConversion"/>
  </si>
  <si>
    <t>饰品买入</t>
    <phoneticPr fontId="1" type="noConversion"/>
  </si>
  <si>
    <t>能源买入</t>
    <phoneticPr fontId="1" type="noConversion"/>
  </si>
  <si>
    <t>靴子买入</t>
    <phoneticPr fontId="1" type="noConversion"/>
  </si>
  <si>
    <t>裤子买入</t>
    <phoneticPr fontId="1" type="noConversion"/>
  </si>
  <si>
    <t>护手买入</t>
    <phoneticPr fontId="1" type="noConversion"/>
  </si>
  <si>
    <t>衣服买入</t>
    <phoneticPr fontId="1" type="noConversion"/>
  </si>
  <si>
    <t>头盔买入</t>
    <phoneticPr fontId="1" type="noConversion"/>
  </si>
  <si>
    <t>金钱收益</t>
    <phoneticPr fontId="1" type="noConversion"/>
  </si>
  <si>
    <t>买入</t>
  </si>
  <si>
    <t>买入</t>
    <phoneticPr fontId="1" type="noConversion"/>
  </si>
  <si>
    <t>卖出</t>
  </si>
  <si>
    <t>卖出</t>
    <phoneticPr fontId="1" type="noConversion"/>
  </si>
  <si>
    <t>价格修正</t>
    <phoneticPr fontId="1" type="noConversion"/>
  </si>
  <si>
    <t>系数1</t>
    <phoneticPr fontId="1" type="noConversion"/>
  </si>
  <si>
    <t>基础金额</t>
    <phoneticPr fontId="1" type="noConversion"/>
  </si>
  <si>
    <t>等级</t>
    <phoneticPr fontId="1" type="noConversion"/>
  </si>
  <si>
    <t>卖价</t>
    <phoneticPr fontId="1" type="noConversion"/>
  </si>
  <si>
    <t>宇宙合金价格</t>
    <phoneticPr fontId="1" type="noConversion"/>
  </si>
  <si>
    <t>反弹x%伤害给敌人，有x%几率将敌人震晕1回合</t>
    <phoneticPr fontId="1" type="noConversion"/>
  </si>
  <si>
    <t>生命药水Ⅰ</t>
  </si>
  <si>
    <t>胶原蛋白Ⅰ</t>
  </si>
  <si>
    <t>氨基酸Ⅰ</t>
  </si>
  <si>
    <t>纤维素Ⅰ</t>
  </si>
  <si>
    <t>生命药水Ⅱ</t>
  </si>
  <si>
    <t>胶原蛋白Ⅱ</t>
  </si>
  <si>
    <t>氨基酸Ⅱ</t>
  </si>
  <si>
    <t>纤维素Ⅱ</t>
  </si>
  <si>
    <t>生命药水Ⅲ</t>
  </si>
  <si>
    <t>胶原蛋白Ⅲ</t>
  </si>
  <si>
    <t>氨基酸Ⅲ</t>
  </si>
  <si>
    <t>纤维素Ⅲ</t>
  </si>
  <si>
    <t>生命药水Ⅳ</t>
  </si>
  <si>
    <t>胶原蛋白Ⅳ</t>
  </si>
  <si>
    <t>氨基酸Ⅳ</t>
  </si>
  <si>
    <t>纤维素Ⅳ</t>
  </si>
  <si>
    <t>生命药水Ⅴ</t>
  </si>
  <si>
    <t>胶原蛋白Ⅴ</t>
  </si>
  <si>
    <t>氨基酸Ⅴ</t>
  </si>
  <si>
    <t>纤维素Ⅴ</t>
  </si>
  <si>
    <t>经验药水Ⅰ</t>
  </si>
  <si>
    <t>依达霉素Ⅰ</t>
  </si>
  <si>
    <t>酯钠盐Ⅰ</t>
  </si>
  <si>
    <t>经验药水Ⅱ</t>
  </si>
  <si>
    <t>依达霉素Ⅱ</t>
  </si>
  <si>
    <t>酯钠盐Ⅱ</t>
  </si>
  <si>
    <t>经验药水Ⅲ</t>
  </si>
  <si>
    <t>依达霉素Ⅲ</t>
  </si>
  <si>
    <t>酯钠盐Ⅲ</t>
  </si>
  <si>
    <t>经验药水Ⅳ</t>
  </si>
  <si>
    <t>依达霉素Ⅳ</t>
  </si>
  <si>
    <t>酯钠盐Ⅳ</t>
  </si>
  <si>
    <t>经验药水Ⅴ</t>
  </si>
  <si>
    <t>依达霉素Ⅴ</t>
  </si>
  <si>
    <t>酯钠盐Ⅴ</t>
  </si>
  <si>
    <t>体力药水Ⅰ</t>
  </si>
  <si>
    <t>托瑞米芬Ⅰ</t>
  </si>
  <si>
    <t>受体兴奋剂Ⅰ</t>
  </si>
  <si>
    <t>体力药水Ⅱ</t>
  </si>
  <si>
    <t>托瑞米芬Ⅱ</t>
  </si>
  <si>
    <t>受体兴奋剂Ⅱ</t>
  </si>
  <si>
    <t>体力药水Ⅲ</t>
  </si>
  <si>
    <t>托瑞米芬Ⅲ</t>
  </si>
  <si>
    <t>受体兴奋剂Ⅲ</t>
  </si>
  <si>
    <t>体力药水Ⅳ</t>
  </si>
  <si>
    <t>托瑞米芬Ⅳ</t>
  </si>
  <si>
    <t>受体兴奋剂Ⅳ</t>
  </si>
  <si>
    <t>体力药水Ⅴ</t>
  </si>
  <si>
    <t>托瑞米芬Ⅴ</t>
  </si>
  <si>
    <t>受体兴奋剂Ⅴ</t>
  </si>
  <si>
    <t>攻击药水Ⅰ</t>
  </si>
  <si>
    <t>亚丙基1Ⅰ</t>
  </si>
  <si>
    <t>苯氧基Ⅰ</t>
  </si>
  <si>
    <t>攻击药水Ⅱ</t>
  </si>
  <si>
    <t>亚丙基1Ⅱ</t>
  </si>
  <si>
    <t>苯氧基Ⅱ</t>
  </si>
  <si>
    <t>攻击药水Ⅲ</t>
  </si>
  <si>
    <t>亚丙基1Ⅲ</t>
  </si>
  <si>
    <t>苯氧基Ⅲ</t>
  </si>
  <si>
    <t>攻击药水Ⅳ</t>
  </si>
  <si>
    <t>亚丙基1Ⅳ</t>
  </si>
  <si>
    <t>苯氧基Ⅳ</t>
  </si>
  <si>
    <t>攻击药水Ⅴ</t>
  </si>
  <si>
    <t>亚丙基1Ⅴ</t>
  </si>
  <si>
    <t>苯氧基Ⅴ</t>
  </si>
  <si>
    <t>防御药水Ⅰ</t>
  </si>
  <si>
    <t>弗拉盐Ⅰ</t>
  </si>
  <si>
    <t>卡因盐Ⅰ</t>
  </si>
  <si>
    <t>防御药水Ⅱ</t>
  </si>
  <si>
    <t>弗拉盐Ⅱ</t>
  </si>
  <si>
    <t>卡因盐Ⅱ</t>
  </si>
  <si>
    <t>防御药水Ⅲ</t>
  </si>
  <si>
    <t>弗拉盐Ⅲ</t>
  </si>
  <si>
    <t>卡因盐Ⅲ</t>
  </si>
  <si>
    <t>防御药水Ⅳ</t>
  </si>
  <si>
    <t>弗拉盐Ⅳ</t>
  </si>
  <si>
    <t>卡因盐Ⅳ</t>
  </si>
  <si>
    <t>防御药水Ⅴ</t>
  </si>
  <si>
    <t>弗拉盐Ⅴ</t>
  </si>
  <si>
    <t>卡因盐Ⅴ</t>
  </si>
  <si>
    <t>暴击药水Ⅰ</t>
  </si>
  <si>
    <t>二钠氨基Ⅰ</t>
  </si>
  <si>
    <t>苯甲酸Ⅰ</t>
  </si>
  <si>
    <t>暴击药水Ⅱ</t>
  </si>
  <si>
    <t>二钠氨基Ⅱ</t>
  </si>
  <si>
    <t>苯甲酸Ⅱ</t>
  </si>
  <si>
    <t>暴击药水Ⅲ</t>
  </si>
  <si>
    <t>二钠氨基Ⅲ</t>
  </si>
  <si>
    <t>苯甲酸Ⅲ</t>
  </si>
  <si>
    <t>暴击药水Ⅳ</t>
  </si>
  <si>
    <t>二钠氨基Ⅳ</t>
  </si>
  <si>
    <t>苯甲酸Ⅳ</t>
  </si>
  <si>
    <t>暴击药水Ⅴ</t>
  </si>
  <si>
    <t>二钠氨基Ⅴ</t>
  </si>
  <si>
    <t>苯甲酸Ⅴ</t>
  </si>
  <si>
    <t>命中药水Ⅰ</t>
  </si>
  <si>
    <t>洛尔粉Ⅰ</t>
  </si>
  <si>
    <t>格列齐特Ⅰ</t>
  </si>
  <si>
    <t>命中药水Ⅱ</t>
  </si>
  <si>
    <t>洛尔粉Ⅱ</t>
  </si>
  <si>
    <t>格列齐特Ⅱ</t>
  </si>
  <si>
    <t>命中药水Ⅲ</t>
  </si>
  <si>
    <t>洛尔粉Ⅲ</t>
  </si>
  <si>
    <t>格列齐特Ⅲ</t>
  </si>
  <si>
    <t>命中药水Ⅳ</t>
  </si>
  <si>
    <t>洛尔粉Ⅳ</t>
  </si>
  <si>
    <t>格列齐特Ⅳ</t>
  </si>
  <si>
    <t>命中药水Ⅴ</t>
  </si>
  <si>
    <t>洛尔粉Ⅴ</t>
  </si>
  <si>
    <t>格列齐特Ⅴ</t>
  </si>
  <si>
    <t>洛拉霉素Ⅰ</t>
  </si>
  <si>
    <t>卡替洛尔Ⅰ</t>
  </si>
  <si>
    <t>抗暴药水Ⅱ</t>
  </si>
  <si>
    <t>洛拉霉素Ⅱ</t>
  </si>
  <si>
    <t>卡替洛尔Ⅱ</t>
  </si>
  <si>
    <t>抗暴药水Ⅲ</t>
  </si>
  <si>
    <t>洛拉霉素Ⅲ</t>
  </si>
  <si>
    <t>卡替洛尔Ⅲ</t>
  </si>
  <si>
    <t>抗暴药水Ⅳ</t>
  </si>
  <si>
    <t>洛拉霉素Ⅳ</t>
  </si>
  <si>
    <t>卡替洛尔Ⅳ</t>
  </si>
  <si>
    <t>抗暴药水Ⅴ</t>
  </si>
  <si>
    <t>洛拉霉素Ⅴ</t>
  </si>
  <si>
    <t>卡替洛尔Ⅴ</t>
  </si>
  <si>
    <t>闪避药水Ⅰ</t>
  </si>
  <si>
    <t>伊达吡星Ⅰ</t>
  </si>
  <si>
    <t>闪避药水Ⅱ</t>
  </si>
  <si>
    <t>伊达吡星Ⅱ</t>
  </si>
  <si>
    <t>闪避药水Ⅲ</t>
  </si>
  <si>
    <t>伊达吡星Ⅲ</t>
  </si>
  <si>
    <t>闪避药水Ⅳ</t>
  </si>
  <si>
    <t>伊达吡星Ⅳ</t>
  </si>
  <si>
    <t>闪避药水Ⅴ</t>
  </si>
  <si>
    <t>伊达吡星Ⅴ</t>
  </si>
  <si>
    <t>全能药水Ⅰ</t>
  </si>
  <si>
    <t>全能药水Ⅱ</t>
  </si>
  <si>
    <t>全能药水Ⅲ</t>
  </si>
  <si>
    <t>全能药水Ⅳ</t>
  </si>
  <si>
    <t>全能药水Ⅴ</t>
  </si>
  <si>
    <t>价格</t>
    <phoneticPr fontId="1" type="noConversion"/>
  </si>
  <si>
    <t>成品</t>
    <phoneticPr fontId="1" type="noConversion"/>
  </si>
  <si>
    <t>材料1</t>
    <phoneticPr fontId="1" type="noConversion"/>
  </si>
  <si>
    <t>材料2</t>
  </si>
  <si>
    <t>材料3</t>
  </si>
  <si>
    <t>制造价格</t>
    <phoneticPr fontId="1" type="noConversion"/>
  </si>
  <si>
    <t>数量</t>
    <phoneticPr fontId="1" type="noConversion"/>
  </si>
  <si>
    <t>价值</t>
    <phoneticPr fontId="1" type="noConversion"/>
  </si>
  <si>
    <t>系数1</t>
    <phoneticPr fontId="1" type="noConversion"/>
  </si>
  <si>
    <t>总成本</t>
    <phoneticPr fontId="1" type="noConversion"/>
  </si>
  <si>
    <t>抗暴药水Ⅰ</t>
    <phoneticPr fontId="1" type="noConversion"/>
  </si>
  <si>
    <t>材料1价格</t>
    <phoneticPr fontId="1" type="noConversion"/>
  </si>
  <si>
    <t>材料2价格</t>
    <phoneticPr fontId="1" type="noConversion"/>
  </si>
  <si>
    <t>材料3价格</t>
    <phoneticPr fontId="1" type="noConversion"/>
  </si>
  <si>
    <t>平均价</t>
    <phoneticPr fontId="1" type="noConversion"/>
  </si>
  <si>
    <t>AP地雷</t>
  </si>
  <si>
    <t>持续回合</t>
    <phoneticPr fontId="1" type="noConversion"/>
  </si>
  <si>
    <t>毒水</t>
  </si>
  <si>
    <t>黄色针剂</t>
  </si>
  <si>
    <t>生命损失x点</t>
    <phoneticPr fontId="1" type="noConversion"/>
  </si>
  <si>
    <t>生命损失x%</t>
    <phoneticPr fontId="1" type="noConversion"/>
  </si>
  <si>
    <t>攻击降低x%</t>
    <phoneticPr fontId="1" type="noConversion"/>
  </si>
  <si>
    <t>夜视镜</t>
  </si>
  <si>
    <t>视野范围减小</t>
    <phoneticPr fontId="1" type="noConversion"/>
  </si>
  <si>
    <t>视野范围增大</t>
    <phoneticPr fontId="1" type="noConversion"/>
  </si>
  <si>
    <t>红色针剂</t>
  </si>
  <si>
    <t>生命恢复x%</t>
    <phoneticPr fontId="1" type="noConversion"/>
  </si>
  <si>
    <t>粉色针剂-可叠加</t>
    <phoneticPr fontId="1" type="noConversion"/>
  </si>
  <si>
    <t>毒虫群-可叠加</t>
    <phoneticPr fontId="1" type="noConversion"/>
  </si>
  <si>
    <t>蓝色针剂</t>
    <phoneticPr fontId="1" type="noConversion"/>
  </si>
  <si>
    <t>体力恢复x%</t>
    <phoneticPr fontId="1" type="noConversion"/>
  </si>
  <si>
    <t>绿色针剂</t>
  </si>
  <si>
    <t>等级</t>
    <phoneticPr fontId="1" type="noConversion"/>
  </si>
  <si>
    <t>迷雾-离开恢复</t>
    <phoneticPr fontId="1" type="noConversion"/>
  </si>
  <si>
    <t>毒雾-离开恢复</t>
    <phoneticPr fontId="1" type="noConversion"/>
  </si>
  <si>
    <t>暴击伤害-n%%</t>
    <phoneticPr fontId="1" type="noConversion"/>
  </si>
  <si>
    <t>闪避几率+n‰</t>
    <phoneticPr fontId="1" type="noConversion"/>
  </si>
  <si>
    <t>命中几率+n‰</t>
    <phoneticPr fontId="1" type="noConversion"/>
  </si>
  <si>
    <t>暴击伤害+n‰</t>
    <phoneticPr fontId="1" type="noConversion"/>
  </si>
  <si>
    <t>抗暴几率+n‰</t>
    <phoneticPr fontId="1" type="noConversion"/>
  </si>
  <si>
    <t>暴击几率+n‰</t>
    <phoneticPr fontId="1" type="noConversion"/>
  </si>
  <si>
    <t>暴击伤害+n%</t>
    <phoneticPr fontId="1" type="noConversion"/>
  </si>
  <si>
    <t>攻击增加x%</t>
    <phoneticPr fontId="1" type="noConversion"/>
  </si>
  <si>
    <t>体力损失%</t>
    <phoneticPr fontId="1" type="noConversion"/>
  </si>
  <si>
    <t>买价</t>
    <phoneticPr fontId="1" type="noConversion"/>
  </si>
  <si>
    <t>总数</t>
  </si>
  <si>
    <t>总数</t>
    <phoneticPr fontId="1" type="noConversion"/>
  </si>
  <si>
    <t>单次价格</t>
    <phoneticPr fontId="1" type="noConversion"/>
  </si>
  <si>
    <t>价格</t>
    <phoneticPr fontId="1" type="noConversion"/>
  </si>
  <si>
    <t>价格</t>
    <phoneticPr fontId="1" type="noConversion"/>
  </si>
  <si>
    <t>1.【玩家】对【怪物】造成暴击伤害——281点！</t>
  </si>
  <si>
    <t>2.【怪物】对【玩家】造成普通伤害——28点！</t>
  </si>
  <si>
    <t>3.【玩家】对【怪物】造成普通伤害——332点！</t>
  </si>
  <si>
    <t>4.【怪物】对【玩家】造成普通伤害——28点！</t>
  </si>
  <si>
    <t>5.【玩家】对【怪物】造成普通伤害——279点！</t>
  </si>
  <si>
    <t>6.【怪物】被【玩家】击杀！</t>
  </si>
  <si>
    <t>Lv.1-0</t>
  </si>
  <si>
    <t>##药品</t>
    <phoneticPr fontId="1" type="noConversion"/>
  </si>
  <si>
    <t>抗暴药水Ⅰ</t>
  </si>
  <si>
    <t>id</t>
    <phoneticPr fontId="1" type="noConversion"/>
  </si>
  <si>
    <t>odds</t>
    <phoneticPr fontId="1" type="noConversion"/>
  </si>
  <si>
    <t>min</t>
    <phoneticPr fontId="1" type="noConversion"/>
  </si>
  <si>
    <t>宇宙合金Ⅰ</t>
  </si>
  <si>
    <t>宇宙合金Ⅱ</t>
  </si>
  <si>
    <t>宇宙合金Ⅲ</t>
  </si>
  <si>
    <t>宇宙合金Ⅳ</t>
  </si>
  <si>
    <t>宇宙合金Ⅴ</t>
  </si>
  <si>
    <t>反核金属Ⅰ</t>
  </si>
  <si>
    <t>反核金属Ⅱ</t>
  </si>
  <si>
    <t>反核金属Ⅲ</t>
  </si>
  <si>
    <t>反核金属Ⅳ</t>
  </si>
  <si>
    <t>反核金属Ⅴ</t>
  </si>
  <si>
    <t>核子重组器Ⅰ</t>
  </si>
  <si>
    <t>核子重组器Ⅱ</t>
  </si>
  <si>
    <t>核子重组器Ⅲ</t>
  </si>
  <si>
    <t>核子重组器Ⅳ</t>
  </si>
  <si>
    <t>核子重组器Ⅴ</t>
  </si>
  <si>
    <t>电磁核金属Ⅰ</t>
  </si>
  <si>
    <t>电磁核金属Ⅱ</t>
  </si>
  <si>
    <t>电磁核金属Ⅲ</t>
  </si>
  <si>
    <t>电磁核金属Ⅳ</t>
  </si>
  <si>
    <t>电磁核金属Ⅴ</t>
  </si>
  <si>
    <t>太阳能模组Ⅰ</t>
  </si>
  <si>
    <t>太阳能模组Ⅱ</t>
  </si>
  <si>
    <t>太阳能模组Ⅲ</t>
  </si>
  <si>
    <t>太阳能模组Ⅳ</t>
  </si>
  <si>
    <t>太阳能模组Ⅴ</t>
  </si>
  <si>
    <t>重核金属Ⅰ</t>
  </si>
  <si>
    <t>重核金属Ⅱ</t>
  </si>
  <si>
    <t>重核金属Ⅲ</t>
  </si>
  <si>
    <t>重核金属Ⅳ</t>
  </si>
  <si>
    <t>重核金属Ⅴ</t>
  </si>
  <si>
    <t>生命检测仪Ⅰ</t>
  </si>
  <si>
    <t>生命检测仪Ⅱ</t>
  </si>
  <si>
    <t>生命检测仪Ⅲ</t>
  </si>
  <si>
    <t>生命检测仪Ⅳ</t>
  </si>
  <si>
    <t>生命检测仪Ⅴ</t>
  </si>
  <si>
    <t>脉冲核金属Ⅰ</t>
  </si>
  <si>
    <t>脉冲核金属Ⅱ</t>
  </si>
  <si>
    <t>脉冲核金属Ⅲ</t>
  </si>
  <si>
    <t>脉冲核金属Ⅳ</t>
  </si>
  <si>
    <t>脉冲核金属Ⅴ</t>
  </si>
  <si>
    <t>分子转化器Ⅰ</t>
  </si>
  <si>
    <t>分子转化器Ⅱ</t>
  </si>
  <si>
    <t>分子转化器Ⅲ</t>
  </si>
  <si>
    <t>分子转化器Ⅳ</t>
  </si>
  <si>
    <t>分子转化器Ⅴ</t>
  </si>
  <si>
    <t>光核金属Ⅰ</t>
  </si>
  <si>
    <t>光核金属Ⅱ</t>
  </si>
  <si>
    <t>光核金属Ⅲ</t>
  </si>
  <si>
    <t>光核金属Ⅳ</t>
  </si>
  <si>
    <t>光核金属Ⅴ</t>
  </si>
  <si>
    <t>伽马发射器Ⅰ</t>
  </si>
  <si>
    <t>伽马发射器Ⅱ</t>
  </si>
  <si>
    <t>伽马发射器Ⅲ</t>
  </si>
  <si>
    <t>伽马发射器Ⅳ</t>
  </si>
  <si>
    <t>伽马发射器Ⅴ</t>
  </si>
  <si>
    <t>轻水核金属Ⅰ</t>
  </si>
  <si>
    <t>轻水核金属Ⅱ</t>
  </si>
  <si>
    <t>轻水核金属Ⅲ</t>
  </si>
  <si>
    <t>轻水核金属Ⅳ</t>
  </si>
  <si>
    <t>轻水核金属Ⅴ</t>
  </si>
  <si>
    <t>引力控制仪Ⅰ</t>
  </si>
  <si>
    <t>引力控制仪Ⅱ</t>
  </si>
  <si>
    <t>引力控制仪Ⅲ</t>
  </si>
  <si>
    <t>引力控制仪Ⅳ</t>
  </si>
  <si>
    <t>引力控制仪Ⅴ</t>
  </si>
  <si>
    <t>泰坦之核Ⅰ</t>
  </si>
  <si>
    <t>泰坦之核Ⅱ</t>
  </si>
  <si>
    <t>泰坦之核Ⅲ</t>
  </si>
  <si>
    <t>泰坦之核Ⅳ</t>
  </si>
  <si>
    <t>泰坦之核Ⅴ</t>
  </si>
  <si>
    <t>能源稳定仪Ⅰ</t>
  </si>
  <si>
    <t>能源稳定仪Ⅱ</t>
  </si>
  <si>
    <t>能源稳定仪Ⅲ</t>
  </si>
  <si>
    <t>能源稳定仪Ⅳ</t>
  </si>
  <si>
    <t>能源稳定仪Ⅴ</t>
  </si>
  <si>
    <t>超核心元件Ⅰ</t>
  </si>
  <si>
    <t>超核心元件Ⅱ</t>
  </si>
  <si>
    <t>超核心元件Ⅲ</t>
  </si>
  <si>
    <t>超核心元件Ⅳ</t>
  </si>
  <si>
    <t>超核心元件Ⅴ</t>
  </si>
  <si>
    <t>量子核心板Ⅰ</t>
  </si>
  <si>
    <t>量子核心板Ⅱ</t>
  </si>
  <si>
    <t>量子核心板Ⅲ</t>
  </si>
  <si>
    <t>量子核心板Ⅳ</t>
  </si>
  <si>
    <t>量子核心板Ⅴ</t>
  </si>
  <si>
    <t>##强化材料</t>
    <phoneticPr fontId="1" type="noConversion"/>
  </si>
  <si>
    <t>#药品材料</t>
    <phoneticPr fontId="1" type="noConversion"/>
  </si>
  <si>
    <t>##头盔</t>
    <phoneticPr fontId="1" type="noConversion"/>
  </si>
  <si>
    <t>#护手</t>
    <phoneticPr fontId="1" type="noConversion"/>
  </si>
  <si>
    <t>#裤子</t>
    <phoneticPr fontId="1" type="noConversion"/>
  </si>
  <si>
    <t>#靴子</t>
    <phoneticPr fontId="1" type="noConversion"/>
  </si>
  <si>
    <t>#能源</t>
    <phoneticPr fontId="1" type="noConversion"/>
  </si>
  <si>
    <t>#饰品</t>
    <phoneticPr fontId="1" type="noConversion"/>
  </si>
  <si>
    <t>工业扳手</t>
  </si>
  <si>
    <t>军用铲</t>
  </si>
  <si>
    <t>折叠凳</t>
  </si>
  <si>
    <t>狼牙棒</t>
  </si>
  <si>
    <t>标志牌</t>
  </si>
  <si>
    <t>战术榔头</t>
  </si>
  <si>
    <t>巨锤</t>
  </si>
  <si>
    <t>电吉他</t>
  </si>
  <si>
    <t>双刃斧</t>
  </si>
  <si>
    <t>阔剑</t>
  </si>
  <si>
    <t>电锯</t>
  </si>
  <si>
    <t>防风帽</t>
  </si>
  <si>
    <t>单车帽</t>
  </si>
  <si>
    <t>机车帽</t>
  </si>
  <si>
    <t>防暴头盔</t>
  </si>
  <si>
    <t>突击头盔</t>
  </si>
  <si>
    <t>侦查头盔</t>
  </si>
  <si>
    <t>热能头盔</t>
  </si>
  <si>
    <t>红外线头盔</t>
  </si>
  <si>
    <t>HUD头盔</t>
  </si>
  <si>
    <t>战术头盔</t>
  </si>
  <si>
    <t>合金头盔</t>
  </si>
  <si>
    <t>防暴背心</t>
  </si>
  <si>
    <t>防弹衣</t>
  </si>
  <si>
    <t>特工外套</t>
  </si>
  <si>
    <t>反侦查外套</t>
  </si>
  <si>
    <t>耐热战衣</t>
  </si>
  <si>
    <t>超导战甲</t>
  </si>
  <si>
    <t>钛金战甲</t>
  </si>
  <si>
    <t>超纤钢战甲</t>
  </si>
  <si>
    <t>静压防护装甲</t>
  </si>
  <si>
    <t>脉冲装甲</t>
  </si>
  <si>
    <t>粒子电磁装甲</t>
  </si>
  <si>
    <t>忍者手套</t>
  </si>
  <si>
    <t>天行手</t>
  </si>
  <si>
    <t>金属合制</t>
  </si>
  <si>
    <t>野战护手</t>
  </si>
  <si>
    <t>银月护手</t>
  </si>
  <si>
    <t>机车护手</t>
  </si>
  <si>
    <t>士兵突击</t>
  </si>
  <si>
    <t>厄运护手</t>
  </si>
  <si>
    <t>狼魂护手</t>
  </si>
  <si>
    <t>凛冬护手</t>
  </si>
  <si>
    <t>脉冲暴烈护手</t>
  </si>
  <si>
    <t>破牛仔短裤</t>
  </si>
  <si>
    <t>超人短裤</t>
  </si>
  <si>
    <t>湛蓝休闲裤</t>
  </si>
  <si>
    <t>牛仔裤</t>
  </si>
  <si>
    <t>太空棉长裤</t>
  </si>
  <si>
    <t>武之信长裤</t>
  </si>
  <si>
    <t>联合军护腿</t>
  </si>
  <si>
    <t>学院派</t>
  </si>
  <si>
    <t>钢铁合制护腿</t>
  </si>
  <si>
    <t>沙漠型护腿</t>
  </si>
  <si>
    <t>超电导护腿</t>
  </si>
  <si>
    <t>常用皮鞋</t>
  </si>
  <si>
    <t>特勤作战靴</t>
  </si>
  <si>
    <t>突击部队靴</t>
  </si>
  <si>
    <t>士官长靴</t>
  </si>
  <si>
    <t>军官鞋</t>
  </si>
  <si>
    <t>铁甲骑士</t>
  </si>
  <si>
    <t>机械长靴</t>
  </si>
  <si>
    <t>钢制长靴</t>
  </si>
  <si>
    <t>暗黑之意</t>
  </si>
  <si>
    <t>烈日</t>
  </si>
  <si>
    <t>征服者</t>
  </si>
  <si>
    <t>微型能源</t>
  </si>
  <si>
    <t>通用静电能源</t>
  </si>
  <si>
    <t>阵风能源</t>
  </si>
  <si>
    <t>单循环能源</t>
  </si>
  <si>
    <t>离子能源</t>
  </si>
  <si>
    <t>脉冲中子能源</t>
  </si>
  <si>
    <t>中核能源</t>
  </si>
  <si>
    <t>聚核能源</t>
  </si>
  <si>
    <t>弧光粒子能源</t>
  </si>
  <si>
    <t>亚空间能源</t>
  </si>
  <si>
    <t>超聚变能源</t>
  </si>
  <si>
    <t>高保真耳机</t>
  </si>
  <si>
    <t>荣耀项链</t>
  </si>
  <si>
    <t>亚瑟胸章</t>
  </si>
  <si>
    <t>多功能眼睛</t>
  </si>
  <si>
    <t>英雄面罩</t>
  </si>
  <si>
    <t>磁暴干扰仪</t>
  </si>
  <si>
    <t>曲速探测仪</t>
  </si>
  <si>
    <t>万能数据线</t>
  </si>
  <si>
    <t>微型机械臂</t>
  </si>
  <si>
    <t>VR侦查仪</t>
  </si>
  <si>
    <t>脑电波控制器</t>
  </si>
  <si>
    <t>max</t>
    <phoneticPr fontId="1" type="noConversion"/>
  </si>
  <si>
    <t>minLevel</t>
    <phoneticPr fontId="1" type="noConversion"/>
  </si>
  <si>
    <t>maxLevel</t>
    <phoneticPr fontId="1" type="noConversion"/>
  </si>
  <si>
    <t>##武器</t>
    <phoneticPr fontId="1" type="noConversion"/>
  </si>
  <si>
    <t>掉落包ID</t>
    <phoneticPr fontId="1" type="noConversion"/>
  </si>
  <si>
    <t>最小掉落数量</t>
    <phoneticPr fontId="1" type="noConversion"/>
  </si>
  <si>
    <t>最大掉落数量</t>
    <phoneticPr fontId="1" type="noConversion"/>
  </si>
  <si>
    <t>抽包方式</t>
    <phoneticPr fontId="1" type="noConversion"/>
  </si>
  <si>
    <t>总包概率</t>
    <phoneticPr fontId="1" type="noConversion"/>
  </si>
  <si>
    <t>内容</t>
    <phoneticPr fontId="1" type="noConversion"/>
  </si>
  <si>
    <t>等级</t>
    <phoneticPr fontId="1" type="noConversion"/>
  </si>
  <si>
    <t>#</t>
    <phoneticPr fontId="1" type="noConversion"/>
  </si>
  <si>
    <t>生成掉落包</t>
    <phoneticPr fontId="1" type="noConversion"/>
  </si>
  <si>
    <t>##功能道具</t>
    <phoneticPr fontId="1" type="noConversion"/>
  </si>
  <si>
    <t>空间传送仪</t>
  </si>
  <si>
    <t>心跳起搏器</t>
  </si>
  <si>
    <t>资料记录器</t>
  </si>
  <si>
    <t>微型复印机</t>
  </si>
  <si>
    <t>推进器</t>
  </si>
  <si>
    <t>机械蜘蛛</t>
  </si>
  <si>
    <t>无人机</t>
  </si>
  <si>
    <t>隐形衣</t>
  </si>
  <si>
    <t>物品探测器</t>
  </si>
  <si>
    <t>#白色装备</t>
    <phoneticPr fontId="1" type="noConversion"/>
  </si>
  <si>
    <t>#绿色装备</t>
    <phoneticPr fontId="1" type="noConversion"/>
  </si>
  <si>
    <t>#蓝色装备</t>
    <phoneticPr fontId="1" type="noConversion"/>
  </si>
  <si>
    <t>#紫色装备</t>
    <phoneticPr fontId="1" type="noConversion"/>
  </si>
  <si>
    <t>#橙色装备</t>
    <phoneticPr fontId="1" type="noConversion"/>
  </si>
  <si>
    <t>金钱掉落</t>
  </si>
  <si>
    <t>杀怪需求</t>
    <phoneticPr fontId="1" type="noConversion"/>
  </si>
  <si>
    <t>攻击 = int ( 攻击基础值*(1+强化加成比)*品质分数^0 )
攻击基础值 = 298+int ( 装备等级*品质分数^1.2*4.5 )</t>
    <phoneticPr fontId="1" type="noConversion"/>
  </si>
  <si>
    <t>强化加成比 = 1.75^(强化等级/2.5+2.7)*1.9/100-0.09</t>
    <phoneticPr fontId="1" type="noConversion"/>
  </si>
  <si>
    <t>防御 = int ( 防御基础值*(1+强化加成比)*品质分数^0 )
防御基础值 = 223+int ( 装备等级*品质分数^1.2*3.37 )</t>
    <phoneticPr fontId="1" type="noConversion"/>
  </si>
  <si>
    <t>暴击 = int ( 暴击基础值*(1+强化加成比)*品质分数^0)
暴击基础值 = 199+int ( 装备等级*品质分数^1.2*1.5 )</t>
    <phoneticPr fontId="1" type="noConversion"/>
  </si>
  <si>
    <t>抗暴 = int ( 抗暴基础值*(1+强化加成比)*品质分数^0 )
抗暴基础值 = 99+int ( 装备等级*品质分数^1.2*0.75 )</t>
    <phoneticPr fontId="1" type="noConversion"/>
  </si>
  <si>
    <t>命中 = int ( 命中基础值*(1+强化加成比)*品质分数^0 )
命中基础值 = 199+int ( 装备等级*品质分数^1.2*1.75 )</t>
    <phoneticPr fontId="1" type="noConversion"/>
  </si>
  <si>
    <t>抗暴 = int ( 抗暴基础值*(1+强化加成比)*品质分数^0)
抗暴基础值 = 99+int ( 装备等级*品质分数^1.2*0.88 )</t>
    <phoneticPr fontId="1" type="noConversion"/>
  </si>
  <si>
    <t>生命 = int ( 生命基础值*(1+强化加成比)*品质分数^0 )
生命基础值 = 3000+int ( 装备等级*品质分数^2.8*7.75 )</t>
    <phoneticPr fontId="1" type="noConversion"/>
  </si>
  <si>
    <t>体力 = int ( 体力基础值*(1+强化加成比)*品质分数^0 )
体力基础值 = 299+int ( 装备等级*品质分数^1.2*2.75 )</t>
    <phoneticPr fontId="1" type="noConversion"/>
  </si>
  <si>
    <t>成功率
成功率 = ((100-装备等级)/100) ^ (1.7+当前强化等级/2) *100 +1.69</t>
    <phoneticPr fontId="1" type="noConversion"/>
  </si>
  <si>
    <t>金钱消耗
单次强化所需金钱 = 99 + 装备等级^2 + int(当前强化等级^2*1.7*装备等级)</t>
    <phoneticPr fontId="1" type="noConversion"/>
  </si>
  <si>
    <t>装备经验值
经验值 =99+INT( (品质分数+1)^4*装备等级*1.11 )</t>
    <phoneticPr fontId="1" type="noConversion"/>
  </si>
  <si>
    <t>装备升品值
升品值 = 装备等级*29+INT(品质分数^2*1.5)</t>
    <phoneticPr fontId="1" type="noConversion"/>
  </si>
  <si>
    <t>金钱消耗
单次升品 = 199 +  int( 装备等级^1.2 +(品质分数+1)^2.5*装备等级*1.9 )</t>
    <phoneticPr fontId="1" type="noConversion"/>
  </si>
  <si>
    <t>金钱消耗
单次改造 = INT( 装备等级*49/2 + 品质分数^2.5*装备等级/7 )</t>
    <phoneticPr fontId="1" type="noConversion"/>
  </si>
  <si>
    <t>##橙色装备</t>
    <phoneticPr fontId="1" type="noConversion"/>
  </si>
  <si>
    <t>{id:20000104,min:1,max:1}, {id:20100104,min:1,max:1}, {id:20200104,min:1,max:1}, {id:20300104,min:1,max:1}, {id:20400104,min:1,max:1}, {id:20500104,min:1,max:1}, {id:20600104,min:1,max:1}, {id:20700104,min:1,max:1}</t>
  </si>
  <si>
    <t>{id:20000104,min:1,max:1}, {id:20000504,min:1,max:1}, {id:20100104,min:1,max:1}, {id:20100504,min:1,max:1}, {id:20200104,min:1,max:1}, {id:20200504,min:1,max:1}, {id:20300104,min:1,max:1}, {id:20300504,min:1,max:1}, {id:20400104,min:1,max:1}, {id:20400504,min:1,max:1}, {id:20500104,min:1,max:1}, {id:20500504,min:1,max:1}, {id:20600104,min:1,max:1}, {id:20600504,min:1,max:1}, {id:20700104,min:1,max:1}, {id:20700504,min:1,max:1}</t>
  </si>
  <si>
    <t>{id:20000104,min:1,max:1}, {id:20000504,min:1,max:1}, {id:20001004,min:1,max:1}, {id:20100104,min:1,max:1}, {id:20100504,min:1,max:1}, {id:20101004,min:1,max:1}, {id:20200104,min:1,max:1}, {id:20200504,min:1,max:1}, {id:20201004,min:1,max:1}, {id:20300104,min:1,max:1}, {id:20300504,min:1,max:1}, {id:20301004,min:1,max:1}, {id:20400104,min:1,max:1}, {id:20400504,min:1,max:1}, {id:20401004,min:1,max:1}, {id:20500104,min:1,max:1}, {id:20500504,min:1,max:1}, {id:20501004,min:1,max:1}, {id:20600104,min:1,max:1}, {id:20600504,min:1,max:1}, {id:20601004,min:1,max:1}, {id:20700104,min:1,max:1}, {id:20700504,min:1,max:1}, {id:20701004,min:1,max:1}</t>
  </si>
  <si>
    <t>{id:20000504,min:1,max:1}, {id:20001004,min:1,max:1}, {id:20100504,min:1,max:1}, {id:20101004,min:1,max:1}, {id:20200504,min:1,max:1}, {id:20201004,min:1,max:1}, {id:20300504,min:1,max:1}, {id:20301004,min:1,max:1}, {id:20400504,min:1,max:1}, {id:20401004,min:1,max:1}, {id:20500504,min:1,max:1}, {id:20501004,min:1,max:1}, {id:20600504,min:1,max:1}, {id:20601004,min:1,max:1}, {id:20700504,min:1,max:1}, {id:20701004,min:1,max:1}</t>
  </si>
  <si>
    <t>{id:20000504,min:1,max:1}, {id:20001004,min:1,max:1}, {id:20001504,min:1,max:1}, {id:20100504,min:1,max:1}, {id:20101004,min:1,max:1}, {id:20101504,min:1,max:1}, {id:20200504,min:1,max:1}, {id:20201004,min:1,max:1}, {id:20201504,min:1,max:1}, {id:20300504,min:1,max:1}, {id:20301004,min:1,max:1}, {id:20301504,min:1,max:1}, {id:20400504,min:1,max:1}, {id:20401004,min:1,max:1}, {id:20401504,min:1,max:1}, {id:20500504,min:1,max:1}, {id:20501004,min:1,max:1}, {id:20501504,min:1,max:1}, {id:20600504,min:1,max:1}, {id:20601004,min:1,max:1}, {id:20601504,min:1,max:1}, {id:20700504,min:1,max:1}, {id:20701004,min:1,max:1}, {id:20701504,min:1,max:1}</t>
  </si>
  <si>
    <t>{id:20001004,min:1,max:1}, {id:20001504,min:1,max:1}, {id:20101004,min:1,max:1}, {id:20101504,min:1,max:1}, {id:20201004,min:1,max:1}, {id:20201504,min:1,max:1}, {id:20301004,min:1,max:1}, {id:20301504,min:1,max:1}, {id:20401004,min:1,max:1}, {id:20401504,min:1,max:1}, {id:20501004,min:1,max:1}, {id:20501504,min:1,max:1}, {id:20601004,min:1,max:1}, {id:20601504,min:1,max:1}, {id:20701004,min:1,max:1}, {id:20701504,min:1,max:1}</t>
  </si>
  <si>
    <t>{id:20001004,min:1,max:1}, {id:20001504,min:1,max:1}, {id:20002004,min:1,max:1}, {id:20101004,min:1,max:1}, {id:20101504,min:1,max:1}, {id:20102004,min:1,max:1}, {id:20201004,min:1,max:1}, {id:20201504,min:1,max:1}, {id:20202004,min:1,max:1}, {id:20301004,min:1,max:1}, {id:20301504,min:1,max:1}, {id:20302004,min:1,max:1}, {id:20401004,min:1,max:1}, {id:20401504,min:1,max:1}, {id:20402004,min:1,max:1}, {id:20501004,min:1,max:1}, {id:20501504,min:1,max:1}, {id:20502004,min:1,max:1}, {id:20601004,min:1,max:1}, {id:20601504,min:1,max:1}, {id:20602004,min:1,max:1}, {id:20701004,min:1,max:1}, {id:20701504,min:1,max:1}, {id:20702004,min:1,max:1}</t>
  </si>
  <si>
    <t>{id:20001504,min:1,max:1}, {id:20002004,min:1,max:1}, {id:20101504,min:1,max:1}, {id:20102004,min:1,max:1}, {id:20201504,min:1,max:1}, {id:20202004,min:1,max:1}, {id:20301504,min:1,max:1}, {id:20302004,min:1,max:1}, {id:20401504,min:1,max:1}, {id:20402004,min:1,max:1}, {id:20501504,min:1,max:1}, {id:20502004,min:1,max:1}, {id:20601504,min:1,max:1}, {id:20602004,min:1,max:1}, {id:20701504,min:1,max:1}, {id:20702004,min:1,max:1}</t>
  </si>
  <si>
    <t>{id:20001504,min:1,max:1}, {id:20002004,min:1,max:1}, {id:20002504,min:1,max:1}, {id:20101504,min:1,max:1}, {id:20102004,min:1,max:1}, {id:20102504,min:1,max:1}, {id:20201504,min:1,max:1}, {id:20202004,min:1,max:1}, {id:20202504,min:1,max:1}, {id:20301504,min:1,max:1}, {id:20302004,min:1,max:1}, {id:20302504,min:1,max:1}, {id:20401504,min:1,max:1}, {id:20402004,min:1,max:1}, {id:20402504,min:1,max:1}, {id:20501504,min:1,max:1}, {id:20502004,min:1,max:1}, {id:20502504,min:1,max:1}, {id:20601504,min:1,max:1}, {id:20602004,min:1,max:1}, {id:20602504,min:1,max:1}, {id:20701504,min:1,max:1}, {id:20702004,min:1,max:1}, {id:20702504,min:1,max:1}</t>
  </si>
  <si>
    <t>{id:20002004,min:1,max:1}, {id:20002504,min:1,max:1}, {id:20102004,min:1,max:1}, {id:20102504,min:1,max:1}, {id:20202004,min:1,max:1}, {id:20202504,min:1,max:1}, {id:20302004,min:1,max:1}, {id:20302504,min:1,max:1}, {id:20402004,min:1,max:1}, {id:20402504,min:1,max:1}, {id:20502004,min:1,max:1}, {id:20502504,min:1,max:1}, {id:20602004,min:1,max:1}, {id:20602504,min:1,max:1}, {id:20702004,min:1,max:1}, {id:20702504,min:1,max:1}</t>
  </si>
  <si>
    <t>{id:20002004,min:1,max:1}, {id:20002504,min:1,max:1}, {id:20003004,min:1,max:1}, {id:20102004,min:1,max:1}, {id:20102504,min:1,max:1}, {id:20103004,min:1,max:1}, {id:20202004,min:1,max:1}, {id:20202504,min:1,max:1}, {id:20203004,min:1,max:1}, {id:20302004,min:1,max:1}, {id:20302504,min:1,max:1}, {id:20303004,min:1,max:1}, {id:20402004,min:1,max:1}, {id:20402504,min:1,max:1}, {id:20403004,min:1,max:1}, {id:20502004,min:1,max:1}, {id:20502504,min:1,max:1}, {id:20503004,min:1,max:1}, {id:20602004,min:1,max:1}, {id:20602504,min:1,max:1}, {id:20603004,min:1,max:1}, {id:20702004,min:1,max:1}, {id:20702504,min:1,max:1}, {id:20703004,min:1,max:1}</t>
  </si>
  <si>
    <t>{id:20002504,min:1,max:1}, {id:20003004,min:1,max:1}, {id:20102504,min:1,max:1}, {id:20103004,min:1,max:1}, {id:20202504,min:1,max:1}, {id:20203004,min:1,max:1}, {id:20302504,min:1,max:1}, {id:20303004,min:1,max:1}, {id:20402504,min:1,max:1}, {id:20403004,min:1,max:1}, {id:20502504,min:1,max:1}, {id:20503004,min:1,max:1}, {id:20602504,min:1,max:1}, {id:20603004,min:1,max:1}, {id:20702504,min:1,max:1}, {id:20703004,min:1,max:1}</t>
  </si>
  <si>
    <t>{id:20002504,min:1,max:1}, {id:20003004,min:1,max:1}, {id:20003504,min:1,max:1}, {id:20102504,min:1,max:1}, {id:20103004,min:1,max:1}, {id:20103504,min:1,max:1}, {id:20202504,min:1,max:1}, {id:20203004,min:1,max:1}, {id:20203504,min:1,max:1}, {id:20302504,min:1,max:1}, {id:20303004,min:1,max:1}, {id:20303504,min:1,max:1}, {id:20402504,min:1,max:1}, {id:20403004,min:1,max:1}, {id:20403504,min:1,max:1}, {id:20502504,min:1,max:1}, {id:20503004,min:1,max:1}, {id:20503504,min:1,max:1}, {id:20602504,min:1,max:1}, {id:20603004,min:1,max:1}, {id:20603504,min:1,max:1}, {id:20702504,min:1,max:1}, {id:20703004,min:1,max:1}, {id:20703504,min:1,max:1}</t>
  </si>
  <si>
    <t>{id:20003004,min:1,max:1}, {id:20003504,min:1,max:1}, {id:20103004,min:1,max:1}, {id:20103504,min:1,max:1}, {id:20203004,min:1,max:1}, {id:20203504,min:1,max:1}, {id:20303004,min:1,max:1}, {id:20303504,min:1,max:1}, {id:20403004,min:1,max:1}, {id:20403504,min:1,max:1}, {id:20503004,min:1,max:1}, {id:20503504,min:1,max:1}, {id:20603004,min:1,max:1}, {id:20603504,min:1,max:1}, {id:20703004,min:1,max:1}, {id:20703504,min:1,max:1}</t>
  </si>
  <si>
    <t>{id:20003004,min:1,max:1}, {id:20003504,min:1,max:1}, {id:20004004,min:1,max:1}, {id:20103004,min:1,max:1}, {id:20103504,min:1,max:1}, {id:20104004,min:1,max:1}, {id:20203004,min:1,max:1}, {id:20203504,min:1,max:1}, {id:20204004,min:1,max:1}, {id:20303004,min:1,max:1}, {id:20303504,min:1,max:1}, {id:20304004,min:1,max:1}, {id:20403004,min:1,max:1}, {id:20403504,min:1,max:1}, {id:20404004,min:1,max:1}, {id:20503004,min:1,max:1}, {id:20503504,min:1,max:1}, {id:20504004,min:1,max:1}, {id:20603004,min:1,max:1}, {id:20603504,min:1,max:1}, {id:20604004,min:1,max:1}, {id:20703004,min:1,max:1}, {id:20703504,min:1,max:1}, {id:20704004,min:1,max:1}</t>
  </si>
  <si>
    <t>{id:20003504,min:1,max:1}, {id:20004004,min:1,max:1}, {id:20103504,min:1,max:1}, {id:20104004,min:1,max:1}, {id:20203504,min:1,max:1}, {id:20204004,min:1,max:1}, {id:20303504,min:1,max:1}, {id:20304004,min:1,max:1}, {id:20403504,min:1,max:1}, {id:20404004,min:1,max:1}, {id:20503504,min:1,max:1}, {id:20504004,min:1,max:1}, {id:20603504,min:1,max:1}, {id:20604004,min:1,max:1}, {id:20703504,min:1,max:1}, {id:20704004,min:1,max:1}</t>
  </si>
  <si>
    <t>{id:20003504,min:1,max:1}, {id:20004004,min:1,max:1}, {id:20004504,min:1,max:1}, {id:20005004,min:1,max:1}, {id:20103504,min:1,max:1}, {id:20104004,min:1,max:1}, {id:20104504,min:1,max:1}, {id:20105004,min:1,max:1}, {id:20203504,min:1,max:1}, {id:20204004,min:1,max:1}, {id:20204504,min:1,max:1}, {id:20205004,min:1,max:1}, {id:20303504,min:1,max:1}, {id:20304004,min:1,max:1}, {id:20304504,min:1,max:1}, {id:20305004,min:1,max:1}, {id:20403504,min:1,max:1}, {id:20404004,min:1,max:1}, {id:20404504,min:1,max:1}, {id:20405004,min:1,max:1}, {id:20503504,min:1,max:1}, {id:20504004,min:1,max:1}, {id:20504504,min:1,max:1}, {id:20505004,min:1,max:1}, {id:20603504,min:1,max:1}, {id:20604004,min:1,max:1}, {id:20604504,min:1,max:1}, {id:20605004,min:1,max:1}, {id:20703504,min:1,max:1}, {id:20704004,min:1,max:1}, {id:20704504,min:1,max:1}, {id:20705004,min:1,max:1}</t>
  </si>
  <si>
    <t>{id:20004004,min:1,max:1}, {id:20004504,min:1,max:1}, {id:20005004,min:1,max:1}, {id:20104004,min:1,max:1}, {id:20104504,min:1,max:1}, {id:20105004,min:1,max:1}, {id:20204004,min:1,max:1}, {id:20204504,min:1,max:1}, {id:20205004,min:1,max:1}, {id:20304004,min:1,max:1}, {id:20304504,min:1,max:1}, {id:20305004,min:1,max:1}, {id:20404004,min:1,max:1}, {id:20404504,min:1,max:1}, {id:20405004,min:1,max:1}, {id:20504004,min:1,max:1}, {id:20504504,min:1,max:1}, {id:20505004,min:1,max:1}, {id:20604004,min:1,max:1}, {id:20604504,min:1,max:1}, {id:20605004,min:1,max:1}, {id:20704004,min:1,max:1}, {id:20704504,min:1,max:1}, {id:20705004,min:1,max:1}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</si>
</sst>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0"/>
      <color rgb="FFFFFFFF"/>
      <name val="宋体"/>
      <family val="3"/>
      <charset val="134"/>
    </font>
    <font>
      <b/>
      <sz val="10"/>
      <color rgb="FF355B84"/>
      <name val="宋体"/>
      <family val="3"/>
      <charset val="134"/>
    </font>
    <font>
      <sz val="10"/>
      <color rgb="FF355B84"/>
      <name val="宋体"/>
      <family val="3"/>
      <charset val="134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indexed="8"/>
      <name val="宋体"/>
      <family val="3"/>
      <charset val="134"/>
      <scheme val="minor"/>
    </font>
    <font>
      <sz val="9"/>
      <color indexed="1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indexed="12"/>
      <name val="宋体"/>
      <family val="3"/>
      <charset val="134"/>
      <scheme val="minor"/>
    </font>
    <font>
      <sz val="11"/>
      <color rgb="FF9C6500"/>
      <name val="宋体"/>
      <family val="2"/>
      <charset val="134"/>
      <scheme val="minor"/>
    </font>
    <font>
      <sz val="9"/>
      <color indexed="12"/>
      <name val="宋体"/>
      <family val="2"/>
      <scheme val="minor"/>
    </font>
    <font>
      <sz val="9"/>
      <color indexed="14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0DDE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14" fillId="22" borderId="0" applyNumberFormat="0" applyBorder="0" applyAlignment="0" applyProtection="0">
      <alignment vertical="center"/>
    </xf>
  </cellStyleXfs>
  <cellXfs count="213">
    <xf numFmtId="0" fontId="0" fillId="0" borderId="0" xfId="0"/>
    <xf numFmtId="0" fontId="2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 wrapText="1"/>
    </xf>
    <xf numFmtId="0" fontId="3" fillId="2" borderId="0" xfId="0" applyFont="1" applyFill="1" applyAlignment="1">
      <alignment wrapText="1"/>
    </xf>
    <xf numFmtId="0" fontId="3" fillId="2" borderId="0" xfId="0" applyFont="1" applyFill="1"/>
    <xf numFmtId="0" fontId="3" fillId="5" borderId="0" xfId="0" applyFont="1" applyFill="1" applyAlignment="1">
      <alignment vertical="center" wrapText="1"/>
    </xf>
    <xf numFmtId="176" fontId="3" fillId="5" borderId="0" xfId="0" applyNumberFormat="1" applyFont="1" applyFill="1" applyAlignment="1">
      <alignment wrapText="1"/>
    </xf>
    <xf numFmtId="176" fontId="3" fillId="0" borderId="0" xfId="0" applyNumberFormat="1" applyFont="1" applyAlignment="1">
      <alignment wrapText="1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8" borderId="0" xfId="0" applyFont="1" applyFill="1"/>
    <xf numFmtId="0" fontId="3" fillId="5" borderId="0" xfId="0" applyFont="1" applyFill="1" applyAlignment="1">
      <alignment vertical="center"/>
    </xf>
    <xf numFmtId="176" fontId="3" fillId="5" borderId="0" xfId="0" applyNumberFormat="1" applyFont="1" applyFill="1"/>
    <xf numFmtId="176" fontId="3" fillId="0" borderId="0" xfId="0" applyNumberFormat="1" applyFont="1"/>
    <xf numFmtId="176" fontId="3" fillId="7" borderId="0" xfId="0" applyNumberFormat="1" applyFont="1" applyFill="1"/>
    <xf numFmtId="0" fontId="3" fillId="0" borderId="0" xfId="0" applyFont="1"/>
    <xf numFmtId="0" fontId="3" fillId="0" borderId="1" xfId="0" applyFont="1" applyBorder="1"/>
    <xf numFmtId="0" fontId="2" fillId="2" borderId="1" xfId="0" applyFont="1" applyFill="1" applyBorder="1"/>
    <xf numFmtId="0" fontId="3" fillId="4" borderId="1" xfId="0" applyFont="1" applyFill="1" applyBorder="1"/>
    <xf numFmtId="0" fontId="3" fillId="3" borderId="1" xfId="0" applyFont="1" applyFill="1" applyBorder="1"/>
    <xf numFmtId="0" fontId="3" fillId="3" borderId="0" xfId="0" applyFont="1" applyFill="1"/>
    <xf numFmtId="0" fontId="5" fillId="9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11" borderId="0" xfId="0" applyFont="1" applyFill="1"/>
    <xf numFmtId="0" fontId="3" fillId="4" borderId="0" xfId="0" applyFont="1" applyFill="1" applyAlignment="1">
      <alignment vertical="center"/>
    </xf>
    <xf numFmtId="0" fontId="3" fillId="12" borderId="0" xfId="0" applyFont="1" applyFill="1" applyAlignment="1">
      <alignment vertical="center"/>
    </xf>
    <xf numFmtId="0" fontId="4" fillId="13" borderId="0" xfId="0" applyFont="1" applyFill="1"/>
    <xf numFmtId="0" fontId="4" fillId="3" borderId="0" xfId="0" applyFont="1" applyFill="1"/>
    <xf numFmtId="0" fontId="3" fillId="15" borderId="1" xfId="0" applyFont="1" applyFill="1" applyBorder="1" applyAlignment="1">
      <alignment vertical="center"/>
    </xf>
    <xf numFmtId="0" fontId="3" fillId="14" borderId="0" xfId="0" applyFont="1" applyFill="1" applyAlignment="1">
      <alignment vertical="center"/>
    </xf>
    <xf numFmtId="10" fontId="3" fillId="0" borderId="0" xfId="0" applyNumberFormat="1" applyFont="1"/>
    <xf numFmtId="0" fontId="2" fillId="0" borderId="0" xfId="0" applyFont="1"/>
    <xf numFmtId="0" fontId="2" fillId="4" borderId="1" xfId="0" applyFont="1" applyFill="1" applyBorder="1"/>
    <xf numFmtId="0" fontId="2" fillId="0" borderId="1" xfId="0" applyFont="1" applyBorder="1"/>
    <xf numFmtId="0" fontId="2" fillId="4" borderId="0" xfId="0" applyFont="1" applyFill="1"/>
    <xf numFmtId="10" fontId="2" fillId="0" borderId="0" xfId="0" applyNumberFormat="1" applyFont="1"/>
    <xf numFmtId="0" fontId="2" fillId="8" borderId="0" xfId="0" applyFont="1" applyFill="1"/>
    <xf numFmtId="0" fontId="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16" borderId="8" xfId="0" applyFont="1" applyFill="1" applyBorder="1" applyProtection="1">
      <protection locked="0"/>
    </xf>
    <xf numFmtId="0" fontId="9" fillId="0" borderId="4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9" fillId="7" borderId="8" xfId="0" applyFont="1" applyFill="1" applyBorder="1" applyProtection="1">
      <protection locked="0"/>
    </xf>
    <xf numFmtId="0" fontId="9" fillId="7" borderId="9" xfId="0" applyFont="1" applyFill="1" applyBorder="1" applyProtection="1">
      <protection locked="0"/>
    </xf>
    <xf numFmtId="10" fontId="9" fillId="0" borderId="0" xfId="0" applyNumberFormat="1" applyFont="1" applyProtection="1">
      <protection locked="0"/>
    </xf>
    <xf numFmtId="0" fontId="12" fillId="0" borderId="0" xfId="0" applyFont="1" applyProtection="1">
      <protection locked="0"/>
    </xf>
    <xf numFmtId="0" fontId="12" fillId="0" borderId="0" xfId="0" applyFont="1" applyProtection="1"/>
    <xf numFmtId="0" fontId="9" fillId="11" borderId="0" xfId="0" applyFont="1" applyFill="1" applyProtection="1">
      <protection locked="0"/>
    </xf>
    <xf numFmtId="0" fontId="9" fillId="8" borderId="0" xfId="0" applyFont="1" applyFill="1" applyProtection="1"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/>
    <xf numFmtId="0" fontId="8" fillId="17" borderId="0" xfId="0" applyFont="1" applyFill="1" applyProtection="1">
      <protection locked="0"/>
    </xf>
    <xf numFmtId="0" fontId="2" fillId="3" borderId="0" xfId="0" applyFont="1" applyFill="1"/>
    <xf numFmtId="0" fontId="2" fillId="18" borderId="1" xfId="0" applyFont="1" applyFill="1" applyBorder="1"/>
    <xf numFmtId="0" fontId="3" fillId="18" borderId="0" xfId="0" applyFont="1" applyFill="1"/>
    <xf numFmtId="0" fontId="3" fillId="4" borderId="0" xfId="0" applyFont="1" applyFill="1"/>
    <xf numFmtId="0" fontId="3" fillId="12" borderId="0" xfId="0" applyFont="1" applyFill="1"/>
    <xf numFmtId="0" fontId="3" fillId="15" borderId="0" xfId="0" applyFont="1" applyFill="1"/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9" fillId="0" borderId="0" xfId="0" applyFont="1" applyBorder="1" applyAlignment="1" applyProtection="1">
      <alignment horizontal="center" vertical="center"/>
      <protection locked="0"/>
    </xf>
    <xf numFmtId="0" fontId="13" fillId="0" borderId="0" xfId="0" applyFont="1"/>
    <xf numFmtId="0" fontId="1" fillId="0" borderId="0" xfId="0" applyFont="1" applyBorder="1" applyAlignment="1" applyProtection="1">
      <alignment horizontal="center" vertical="center"/>
      <protection locked="0"/>
    </xf>
    <xf numFmtId="0" fontId="14" fillId="22" borderId="1" xfId="1" applyBorder="1" applyAlignment="1" applyProtection="1">
      <protection locked="0"/>
    </xf>
    <xf numFmtId="0" fontId="8" fillId="23" borderId="1" xfId="0" applyFont="1" applyFill="1" applyBorder="1" applyProtection="1">
      <protection locked="0"/>
    </xf>
    <xf numFmtId="0" fontId="8" fillId="24" borderId="1" xfId="0" applyFont="1" applyFill="1" applyBorder="1" applyProtection="1">
      <protection locked="0"/>
    </xf>
    <xf numFmtId="0" fontId="8" fillId="25" borderId="1" xfId="0" applyFont="1" applyFill="1" applyBorder="1" applyProtection="1">
      <protection locked="0"/>
    </xf>
    <xf numFmtId="0" fontId="15" fillId="0" borderId="0" xfId="0" applyFont="1" applyProtection="1">
      <protection locked="0"/>
    </xf>
    <xf numFmtId="0" fontId="2" fillId="11" borderId="1" xfId="0" applyFont="1" applyFill="1" applyBorder="1"/>
    <xf numFmtId="0" fontId="2" fillId="7" borderId="1" xfId="0" applyFont="1" applyFill="1" applyBorder="1"/>
    <xf numFmtId="0" fontId="2" fillId="26" borderId="1" xfId="0" applyFont="1" applyFill="1" applyBorder="1"/>
    <xf numFmtId="9" fontId="2" fillId="0" borderId="1" xfId="0" applyNumberFormat="1" applyFont="1" applyBorder="1"/>
    <xf numFmtId="0" fontId="2" fillId="0" borderId="0" xfId="0" applyFont="1" applyBorder="1"/>
    <xf numFmtId="0" fontId="2" fillId="11" borderId="13" xfId="0" applyFont="1" applyFill="1" applyBorder="1"/>
    <xf numFmtId="0" fontId="2" fillId="26" borderId="13" xfId="0" applyFont="1" applyFill="1" applyBorder="1"/>
    <xf numFmtId="0" fontId="4" fillId="15" borderId="1" xfId="0" applyFont="1" applyFill="1" applyBorder="1"/>
    <xf numFmtId="0" fontId="4" fillId="27" borderId="1" xfId="0" applyFont="1" applyFill="1" applyBorder="1"/>
    <xf numFmtId="0" fontId="2" fillId="28" borderId="1" xfId="0" applyFont="1" applyFill="1" applyBorder="1"/>
    <xf numFmtId="0" fontId="2" fillId="29" borderId="1" xfId="0" applyFont="1" applyFill="1" applyBorder="1"/>
    <xf numFmtId="0" fontId="2" fillId="30" borderId="1" xfId="0" applyFont="1" applyFill="1" applyBorder="1"/>
    <xf numFmtId="0" fontId="2" fillId="3" borderId="1" xfId="0" applyFont="1" applyFill="1" applyBorder="1"/>
    <xf numFmtId="0" fontId="2" fillId="12" borderId="1" xfId="0" applyFont="1" applyFill="1" applyBorder="1"/>
    <xf numFmtId="0" fontId="2" fillId="31" borderId="1" xfId="0" applyFont="1" applyFill="1" applyBorder="1"/>
    <xf numFmtId="0" fontId="2" fillId="15" borderId="1" xfId="0" applyFont="1" applyFill="1" applyBorder="1"/>
    <xf numFmtId="0" fontId="2" fillId="21" borderId="1" xfId="0" applyFont="1" applyFill="1" applyBorder="1"/>
    <xf numFmtId="0" fontId="3" fillId="13" borderId="0" xfId="0" applyFont="1" applyFill="1"/>
    <xf numFmtId="0" fontId="2" fillId="13" borderId="0" xfId="0" applyFont="1" applyFill="1"/>
    <xf numFmtId="0" fontId="2" fillId="14" borderId="1" xfId="0" applyFont="1" applyFill="1" applyBorder="1"/>
    <xf numFmtId="0" fontId="3" fillId="0" borderId="0" xfId="0" applyFont="1" applyBorder="1" applyAlignment="1">
      <alignment vertical="center"/>
    </xf>
    <xf numFmtId="0" fontId="2" fillId="2" borderId="0" xfId="0" applyFont="1" applyFill="1"/>
    <xf numFmtId="0" fontId="2" fillId="14" borderId="0" xfId="0" applyFont="1" applyFill="1"/>
    <xf numFmtId="0" fontId="2" fillId="32" borderId="0" xfId="0" applyFont="1" applyFill="1"/>
    <xf numFmtId="49" fontId="2" fillId="0" borderId="0" xfId="0" applyNumberFormat="1" applyFont="1"/>
    <xf numFmtId="0" fontId="2" fillId="33" borderId="0" xfId="0" applyFont="1" applyFill="1"/>
    <xf numFmtId="0" fontId="2" fillId="34" borderId="0" xfId="0" applyFont="1" applyFill="1"/>
    <xf numFmtId="0" fontId="2" fillId="21" borderId="0" xfId="0" applyFont="1" applyFill="1"/>
    <xf numFmtId="0" fontId="2" fillId="11" borderId="0" xfId="0" applyFont="1" applyFill="1"/>
    <xf numFmtId="0" fontId="10" fillId="0" borderId="0" xfId="0" applyFont="1"/>
    <xf numFmtId="0" fontId="2" fillId="0" borderId="0" xfId="0" applyFont="1" applyAlignment="1">
      <alignment horizontal="center" vertical="center"/>
    </xf>
    <xf numFmtId="49" fontId="3" fillId="0" borderId="16" xfId="0" applyNumberFormat="1" applyFont="1" applyBorder="1"/>
    <xf numFmtId="0" fontId="3" fillId="0" borderId="16" xfId="0" applyNumberFormat="1" applyFont="1" applyBorder="1"/>
    <xf numFmtId="0" fontId="2" fillId="0" borderId="16" xfId="0" applyFont="1" applyBorder="1"/>
    <xf numFmtId="0" fontId="2" fillId="0" borderId="16" xfId="0" applyNumberFormat="1" applyFont="1" applyBorder="1"/>
    <xf numFmtId="0" fontId="2" fillId="0" borderId="0" xfId="0" applyNumberFormat="1" applyFont="1"/>
    <xf numFmtId="0" fontId="2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left"/>
    </xf>
    <xf numFmtId="0" fontId="9" fillId="11" borderId="10" xfId="0" applyFont="1" applyFill="1" applyBorder="1" applyAlignment="1" applyProtection="1">
      <alignment horizontal="center" vertical="center"/>
      <protection locked="0"/>
    </xf>
    <xf numFmtId="0" fontId="9" fillId="11" borderId="11" xfId="0" applyFont="1" applyFill="1" applyBorder="1" applyAlignment="1" applyProtection="1">
      <alignment horizontal="center" vertical="center"/>
      <protection locked="0"/>
    </xf>
    <xf numFmtId="0" fontId="9" fillId="11" borderId="12" xfId="0" applyFont="1" applyFill="1" applyBorder="1" applyAlignment="1" applyProtection="1">
      <alignment horizontal="center" vertical="center"/>
      <protection locked="0"/>
    </xf>
    <xf numFmtId="0" fontId="9" fillId="11" borderId="0" xfId="0" applyFont="1" applyFill="1" applyBorder="1" applyAlignment="1" applyProtection="1">
      <alignment horizontal="center" vertical="center"/>
      <protection locked="0"/>
    </xf>
    <xf numFmtId="0" fontId="9" fillId="11" borderId="6" xfId="0" applyFont="1" applyFill="1" applyBorder="1" applyAlignment="1" applyProtection="1">
      <alignment horizontal="center" vertical="center"/>
      <protection locked="0"/>
    </xf>
    <xf numFmtId="0" fontId="9" fillId="11" borderId="8" xfId="0" applyFont="1" applyFill="1" applyBorder="1" applyAlignment="1" applyProtection="1">
      <alignment horizontal="center" vertical="center"/>
      <protection locked="0"/>
    </xf>
    <xf numFmtId="0" fontId="9" fillId="11" borderId="9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4" xfId="0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horizontal="center" vertical="center"/>
      <protection locked="0"/>
    </xf>
    <xf numFmtId="0" fontId="9" fillId="4" borderId="6" xfId="0" applyFont="1" applyFill="1" applyBorder="1" applyAlignment="1" applyProtection="1">
      <alignment horizontal="center" vertical="center"/>
      <protection locked="0"/>
    </xf>
    <xf numFmtId="0" fontId="9" fillId="4" borderId="8" xfId="0" applyFont="1" applyFill="1" applyBorder="1" applyAlignment="1" applyProtection="1">
      <alignment horizontal="center" vertical="center"/>
      <protection locked="0"/>
    </xf>
    <xf numFmtId="0" fontId="9" fillId="4" borderId="9" xfId="0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8" fillId="11" borderId="2" xfId="0" applyFont="1" applyFill="1" applyBorder="1" applyAlignment="1" applyProtection="1">
      <alignment horizontal="center" vertical="center"/>
      <protection locked="0"/>
    </xf>
    <xf numFmtId="0" fontId="9" fillId="11" borderId="5" xfId="0" applyFont="1" applyFill="1" applyBorder="1" applyAlignment="1" applyProtection="1">
      <alignment horizontal="center" vertical="center"/>
      <protection locked="0"/>
    </xf>
    <xf numFmtId="0" fontId="9" fillId="11" borderId="7" xfId="0" applyFont="1" applyFill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8" fillId="0" borderId="0" xfId="0" applyFont="1" applyFill="1" applyAlignment="1" applyProtection="1">
      <alignment horizontal="left" vertical="center"/>
      <protection locked="0"/>
    </xf>
    <xf numFmtId="0" fontId="8" fillId="0" borderId="6" xfId="0" applyFont="1" applyFill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4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horizontal="left" vertical="center"/>
      <protection locked="0"/>
    </xf>
    <xf numFmtId="0" fontId="9" fillId="0" borderId="9" xfId="0" applyFont="1" applyBorder="1" applyAlignment="1" applyProtection="1">
      <alignment horizontal="left" vertical="center"/>
      <protection locked="0"/>
    </xf>
    <xf numFmtId="0" fontId="10" fillId="0" borderId="5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6" xfId="0" applyFont="1" applyBorder="1" applyAlignment="1" applyProtection="1">
      <alignment horizontal="left" vertical="center"/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6" fillId="0" borderId="5" xfId="0" applyFont="1" applyBorder="1" applyAlignment="1" applyProtection="1">
      <alignment horizontal="left" vertical="center"/>
      <protection locked="0"/>
    </xf>
    <xf numFmtId="0" fontId="2" fillId="11" borderId="0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" fillId="33" borderId="0" xfId="0" applyFont="1" applyFill="1" applyAlignment="1">
      <alignment horizontal="center"/>
    </xf>
    <xf numFmtId="0" fontId="2" fillId="18" borderId="1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/>
    </xf>
    <xf numFmtId="0" fontId="2" fillId="18" borderId="15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26" borderId="2" xfId="0" applyFont="1" applyFill="1" applyBorder="1" applyAlignment="1">
      <alignment horizontal="center" vertical="center"/>
    </xf>
    <xf numFmtId="0" fontId="2" fillId="26" borderId="4" xfId="0" applyFont="1" applyFill="1" applyBorder="1" applyAlignment="1">
      <alignment horizontal="center" vertical="center"/>
    </xf>
    <xf numFmtId="0" fontId="2" fillId="26" borderId="5" xfId="0" applyFont="1" applyFill="1" applyBorder="1" applyAlignment="1">
      <alignment horizontal="center" vertical="center"/>
    </xf>
    <xf numFmtId="0" fontId="2" fillId="26" borderId="6" xfId="0" applyFont="1" applyFill="1" applyBorder="1" applyAlignment="1">
      <alignment horizontal="center" vertical="center"/>
    </xf>
    <xf numFmtId="0" fontId="2" fillId="26" borderId="7" xfId="0" applyFont="1" applyFill="1" applyBorder="1" applyAlignment="1">
      <alignment horizontal="center" vertical="center"/>
    </xf>
    <xf numFmtId="0" fontId="2" fillId="26" borderId="9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常规" xfId="0" builtinId="0"/>
    <cellStyle name="适中" xfId="1" builtinId="28"/>
  </cellStyles>
  <dxfs count="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角色属性!$G$11:$G$60</c:f>
              <c:numCache>
                <c:formatCode>General</c:formatCode>
                <c:ptCount val="50"/>
                <c:pt idx="0">
                  <c:v>672</c:v>
                </c:pt>
                <c:pt idx="1">
                  <c:v>695</c:v>
                </c:pt>
                <c:pt idx="2">
                  <c:v>774</c:v>
                </c:pt>
                <c:pt idx="3">
                  <c:v>952</c:v>
                </c:pt>
                <c:pt idx="4">
                  <c:v>1232</c:v>
                </c:pt>
                <c:pt idx="5">
                  <c:v>1692</c:v>
                </c:pt>
                <c:pt idx="6">
                  <c:v>2341</c:v>
                </c:pt>
                <c:pt idx="7">
                  <c:v>3261</c:v>
                </c:pt>
                <c:pt idx="8">
                  <c:v>4531</c:v>
                </c:pt>
                <c:pt idx="9">
                  <c:v>6181</c:v>
                </c:pt>
                <c:pt idx="10">
                  <c:v>8427</c:v>
                </c:pt>
                <c:pt idx="11">
                  <c:v>11256</c:v>
                </c:pt>
                <c:pt idx="12">
                  <c:v>14753</c:v>
                </c:pt>
                <c:pt idx="13">
                  <c:v>19143</c:v>
                </c:pt>
                <c:pt idx="14">
                  <c:v>24594</c:v>
                </c:pt>
                <c:pt idx="15">
                  <c:v>31109</c:v>
                </c:pt>
                <c:pt idx="16">
                  <c:v>39024</c:v>
                </c:pt>
                <c:pt idx="17">
                  <c:v>48561</c:v>
                </c:pt>
                <c:pt idx="18">
                  <c:v>59680</c:v>
                </c:pt>
                <c:pt idx="19">
                  <c:v>72856</c:v>
                </c:pt>
                <c:pt idx="20">
                  <c:v>88005</c:v>
                </c:pt>
                <c:pt idx="21">
                  <c:v>105710</c:v>
                </c:pt>
                <c:pt idx="22">
                  <c:v>125828</c:v>
                </c:pt>
                <c:pt idx="23">
                  <c:v>149067</c:v>
                </c:pt>
                <c:pt idx="24">
                  <c:v>175214</c:v>
                </c:pt>
                <c:pt idx="25">
                  <c:v>205114</c:v>
                </c:pt>
                <c:pt idx="26">
                  <c:v>238471</c:v>
                </c:pt>
                <c:pt idx="27">
                  <c:v>276286</c:v>
                </c:pt>
                <c:pt idx="28">
                  <c:v>319007</c:v>
                </c:pt>
                <c:pt idx="29">
                  <c:v>366196</c:v>
                </c:pt>
                <c:pt idx="30">
                  <c:v>418120</c:v>
                </c:pt>
                <c:pt idx="31">
                  <c:v>476134</c:v>
                </c:pt>
                <c:pt idx="32">
                  <c:v>539611</c:v>
                </c:pt>
                <c:pt idx="33">
                  <c:v>610109</c:v>
                </c:pt>
                <c:pt idx="34">
                  <c:v>686858</c:v>
                </c:pt>
                <c:pt idx="35">
                  <c:v>771640</c:v>
                </c:pt>
                <c:pt idx="36">
                  <c:v>863527</c:v>
                </c:pt>
                <c:pt idx="37">
                  <c:v>962862</c:v>
                </c:pt>
                <c:pt idx="38">
                  <c:v>1073577</c:v>
                </c:pt>
                <c:pt idx="39">
                  <c:v>1191006</c:v>
                </c:pt>
                <c:pt idx="40">
                  <c:v>1319235</c:v>
                </c:pt>
                <c:pt idx="41">
                  <c:v>1456863</c:v>
                </c:pt>
                <c:pt idx="42">
                  <c:v>1606585</c:v>
                </c:pt>
                <c:pt idx="43">
                  <c:v>1769218</c:v>
                </c:pt>
                <c:pt idx="44">
                  <c:v>1940456</c:v>
                </c:pt>
                <c:pt idx="45">
                  <c:v>2125752</c:v>
                </c:pt>
                <c:pt idx="46">
                  <c:v>2326001</c:v>
                </c:pt>
                <c:pt idx="47">
                  <c:v>2539091</c:v>
                </c:pt>
                <c:pt idx="48">
                  <c:v>2765497</c:v>
                </c:pt>
                <c:pt idx="49">
                  <c:v>3009072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92544"/>
        <c:axId val="133093104"/>
      </c:lineChart>
      <c:catAx>
        <c:axId val="133092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093104"/>
        <c:crosses val="autoZero"/>
        <c:auto val="1"/>
        <c:lblAlgn val="ctr"/>
        <c:lblOffset val="100"/>
        <c:noMultiLvlLbl val="0"/>
      </c:catAx>
      <c:valAx>
        <c:axId val="13309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09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加成趋势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装备属性!$B$2:$B$11</c:f>
              <c:numCache>
                <c:formatCode>General</c:formatCode>
                <c:ptCount val="10"/>
                <c:pt idx="0">
                  <c:v>1.7689051516474846E-2</c:v>
                </c:pt>
                <c:pt idx="1">
                  <c:v>4.4705947610999469E-2</c:v>
                </c:pt>
                <c:pt idx="2">
                  <c:v>7.8500809193229132E-2</c:v>
                </c:pt>
                <c:pt idx="3">
                  <c:v>0.12077408386424196</c:v>
                </c:pt>
                <c:pt idx="4">
                  <c:v>0.17365282541679131</c:v>
                </c:pt>
                <c:pt idx="5">
                  <c:v>0.23979772026920407</c:v>
                </c:pt>
                <c:pt idx="6">
                  <c:v>0.32253696455868597</c:v>
                </c:pt>
                <c:pt idx="7">
                  <c:v>0.4260337281542641</c:v>
                </c:pt>
                <c:pt idx="8">
                  <c:v>0.555495631834241</c:v>
                </c:pt>
                <c:pt idx="9">
                  <c:v>0.71743677783892357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97024"/>
        <c:axId val="133097584"/>
      </c:lineChart>
      <c:catAx>
        <c:axId val="133097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097584"/>
        <c:crosses val="autoZero"/>
        <c:auto val="1"/>
        <c:lblAlgn val="ctr"/>
        <c:lblOffset val="100"/>
        <c:noMultiLvlLbl val="0"/>
      </c:catAx>
      <c:valAx>
        <c:axId val="1330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09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攻击成长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装备属性!$E$20:$O$20</c:f>
              <c:numCache>
                <c:formatCode>General</c:formatCode>
                <c:ptCount val="11"/>
                <c:pt idx="0">
                  <c:v>302</c:v>
                </c:pt>
                <c:pt idx="1">
                  <c:v>307</c:v>
                </c:pt>
                <c:pt idx="2">
                  <c:v>315</c:v>
                </c:pt>
                <c:pt idx="3">
                  <c:v>325</c:v>
                </c:pt>
                <c:pt idx="4">
                  <c:v>338</c:v>
                </c:pt>
                <c:pt idx="5">
                  <c:v>354</c:v>
                </c:pt>
                <c:pt idx="6">
                  <c:v>374</c:v>
                </c:pt>
                <c:pt idx="7">
                  <c:v>399</c:v>
                </c:pt>
                <c:pt idx="8">
                  <c:v>430</c:v>
                </c:pt>
                <c:pt idx="9">
                  <c:v>469</c:v>
                </c:pt>
                <c:pt idx="10">
                  <c:v>518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装备属性!$E$21:$O$21</c:f>
              <c:numCache>
                <c:formatCode>General</c:formatCode>
                <c:ptCount val="11"/>
                <c:pt idx="0">
                  <c:v>308</c:v>
                </c:pt>
                <c:pt idx="1">
                  <c:v>313</c:v>
                </c:pt>
                <c:pt idx="2">
                  <c:v>321</c:v>
                </c:pt>
                <c:pt idx="3">
                  <c:v>332</c:v>
                </c:pt>
                <c:pt idx="4">
                  <c:v>345</c:v>
                </c:pt>
                <c:pt idx="5">
                  <c:v>361</c:v>
                </c:pt>
                <c:pt idx="6">
                  <c:v>381</c:v>
                </c:pt>
                <c:pt idx="7">
                  <c:v>407</c:v>
                </c:pt>
                <c:pt idx="8">
                  <c:v>439</c:v>
                </c:pt>
                <c:pt idx="9">
                  <c:v>479</c:v>
                </c:pt>
                <c:pt idx="10">
                  <c:v>528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装备属性!$E$22:$O$22</c:f>
              <c:numCache>
                <c:formatCode>General</c:formatCode>
                <c:ptCount val="11"/>
                <c:pt idx="0">
                  <c:v>314</c:v>
                </c:pt>
                <c:pt idx="1">
                  <c:v>319</c:v>
                </c:pt>
                <c:pt idx="2">
                  <c:v>328</c:v>
                </c:pt>
                <c:pt idx="3">
                  <c:v>338</c:v>
                </c:pt>
                <c:pt idx="4">
                  <c:v>351</c:v>
                </c:pt>
                <c:pt idx="5">
                  <c:v>368</c:v>
                </c:pt>
                <c:pt idx="6">
                  <c:v>389</c:v>
                </c:pt>
                <c:pt idx="7">
                  <c:v>415</c:v>
                </c:pt>
                <c:pt idx="8">
                  <c:v>447</c:v>
                </c:pt>
                <c:pt idx="9">
                  <c:v>488</c:v>
                </c:pt>
                <c:pt idx="10">
                  <c:v>539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装备属性!$E$23:$O$23</c:f>
              <c:numCache>
                <c:formatCode>General</c:formatCode>
                <c:ptCount val="11"/>
                <c:pt idx="0">
                  <c:v>321</c:v>
                </c:pt>
                <c:pt idx="1">
                  <c:v>326</c:v>
                </c:pt>
                <c:pt idx="2">
                  <c:v>335</c:v>
                </c:pt>
                <c:pt idx="3">
                  <c:v>346</c:v>
                </c:pt>
                <c:pt idx="4">
                  <c:v>359</c:v>
                </c:pt>
                <c:pt idx="5">
                  <c:v>376</c:v>
                </c:pt>
                <c:pt idx="6">
                  <c:v>397</c:v>
                </c:pt>
                <c:pt idx="7">
                  <c:v>424</c:v>
                </c:pt>
                <c:pt idx="8">
                  <c:v>457</c:v>
                </c:pt>
                <c:pt idx="9">
                  <c:v>499</c:v>
                </c:pt>
                <c:pt idx="10">
                  <c:v>551</c:v>
                </c:pt>
              </c:numCache>
            </c:numRef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装备属性!$E$24:$O$24</c:f>
              <c:numCache>
                <c:formatCode>General</c:formatCode>
                <c:ptCount val="11"/>
                <c:pt idx="0">
                  <c:v>329</c:v>
                </c:pt>
                <c:pt idx="1">
                  <c:v>334</c:v>
                </c:pt>
                <c:pt idx="2">
                  <c:v>343</c:v>
                </c:pt>
                <c:pt idx="3">
                  <c:v>354</c:v>
                </c:pt>
                <c:pt idx="4">
                  <c:v>368</c:v>
                </c:pt>
                <c:pt idx="5">
                  <c:v>386</c:v>
                </c:pt>
                <c:pt idx="6">
                  <c:v>407</c:v>
                </c:pt>
                <c:pt idx="7">
                  <c:v>435</c:v>
                </c:pt>
                <c:pt idx="8">
                  <c:v>469</c:v>
                </c:pt>
                <c:pt idx="9">
                  <c:v>511</c:v>
                </c:pt>
                <c:pt idx="10">
                  <c:v>565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5364768"/>
        <c:axId val="245365328"/>
      </c:lineChart>
      <c:catAx>
        <c:axId val="245364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65328"/>
        <c:crosses val="autoZero"/>
        <c:auto val="1"/>
        <c:lblAlgn val="ctr"/>
        <c:lblOffset val="100"/>
        <c:noMultiLvlLbl val="0"/>
      </c:catAx>
      <c:valAx>
        <c:axId val="24536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6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装备强化!$C$9:$L$9</c:f>
              <c:numCache>
                <c:formatCode>0.00_ </c:formatCode>
                <c:ptCount val="10"/>
                <c:pt idx="0">
                  <c:v>99.99595596942693</c:v>
                </c:pt>
                <c:pt idx="1">
                  <c:v>99.503191182336337</c:v>
                </c:pt>
                <c:pt idx="2">
                  <c:v>99.012896409732676</c:v>
                </c:pt>
                <c:pt idx="3">
                  <c:v>98.525059270512983</c:v>
                </c:pt>
                <c:pt idx="4">
                  <c:v>98.039667445635345</c:v>
                </c:pt>
                <c:pt idx="5">
                  <c:v>97.556708677807848</c:v>
                </c:pt>
                <c:pt idx="6">
                  <c:v>97.076170771178994</c:v>
                </c:pt>
                <c:pt idx="7">
                  <c:v>96.598041591029769</c:v>
                </c:pt>
                <c:pt idx="8">
                  <c:v>96.122309063467199</c:v>
                </c:pt>
                <c:pt idx="9">
                  <c:v>95.648961175119467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装备强化!$C$18:$L$18</c:f>
              <c:numCache>
                <c:formatCode>0.00_ </c:formatCode>
                <c:ptCount val="10"/>
                <c:pt idx="0">
                  <c:v>85.291152791683402</c:v>
                </c:pt>
                <c:pt idx="1">
                  <c:v>81.001017351239113</c:v>
                </c:pt>
                <c:pt idx="2">
                  <c:v>76.931037512515047</c:v>
                </c:pt>
                <c:pt idx="3">
                  <c:v>73.06991561611521</c:v>
                </c:pt>
                <c:pt idx="4">
                  <c:v>69.406933761263545</c:v>
                </c:pt>
                <c:pt idx="5">
                  <c:v>65.931924054503696</c:v>
                </c:pt>
                <c:pt idx="6">
                  <c:v>62.635240385137195</c:v>
                </c:pt>
                <c:pt idx="7">
                  <c:v>59.507731649053312</c:v>
                </c:pt>
                <c:pt idx="8">
                  <c:v>56.540716346623483</c:v>
                </c:pt>
                <c:pt idx="9">
                  <c:v>53.725958484147988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装备强化!$C$28:$L$28</c:f>
              <c:numCache>
                <c:formatCode>0.00_ </c:formatCode>
                <c:ptCount val="10"/>
                <c:pt idx="0">
                  <c:v>70.121014399436035</c:v>
                </c:pt>
                <c:pt idx="1">
                  <c:v>62.896559986562366</c:v>
                </c:pt>
                <c:pt idx="2">
                  <c:v>56.43481151954883</c:v>
                </c:pt>
                <c:pt idx="3">
                  <c:v>50.655247989249894</c:v>
                </c:pt>
                <c:pt idx="4">
                  <c:v>45.485849215639064</c:v>
                </c:pt>
                <c:pt idx="5">
                  <c:v>40.862198391399922</c:v>
                </c:pt>
                <c:pt idx="6">
                  <c:v>36.726679372511249</c:v>
                </c:pt>
                <c:pt idx="7">
                  <c:v>33.027758713119937</c:v>
                </c:pt>
                <c:pt idx="8">
                  <c:v>29.719343498009007</c:v>
                </c:pt>
                <c:pt idx="9">
                  <c:v>26.76020697049595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装备强化!$C$38:$L$38</c:f>
              <c:numCache>
                <c:formatCode>0.00_ </c:formatCode>
                <c:ptCount val="10"/>
                <c:pt idx="0">
                  <c:v>56.223913886931427</c:v>
                </c:pt>
                <c:pt idx="1">
                  <c:v>47.316345839647035</c:v>
                </c:pt>
                <c:pt idx="2">
                  <c:v>39.863739720851996</c:v>
                </c:pt>
                <c:pt idx="3">
                  <c:v>33.628442087752923</c:v>
                </c:pt>
                <c:pt idx="4">
                  <c:v>28.411617804596393</c:v>
                </c:pt>
                <c:pt idx="5">
                  <c:v>24.046909461427045</c:v>
                </c:pt>
                <c:pt idx="6">
                  <c:v>20.395132463217475</c:v>
                </c:pt>
                <c:pt idx="7">
                  <c:v>17.339836622998931</c:v>
                </c:pt>
                <c:pt idx="8">
                  <c:v>14.78359272425223</c:v>
                </c:pt>
                <c:pt idx="9">
                  <c:v>12.64488563609925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装备强化!$C$48:$L$48</c:f>
              <c:numCache>
                <c:formatCode>0.00_ </c:formatCode>
                <c:ptCount val="10"/>
                <c:pt idx="0">
                  <c:v>43.652091424865759</c:v>
                </c:pt>
                <c:pt idx="1">
                  <c:v>34.193696252107628</c:v>
                </c:pt>
                <c:pt idx="2">
                  <c:v>26.867254854919459</c:v>
                </c:pt>
                <c:pt idx="3">
                  <c:v>21.192217751264575</c:v>
                </c:pt>
                <c:pt idx="4">
                  <c:v>16.796352912951672</c:v>
                </c:pt>
                <c:pt idx="5">
                  <c:v>13.391330650758745</c:v>
                </c:pt>
                <c:pt idx="6">
                  <c:v>10.753811747771003</c:v>
                </c:pt>
                <c:pt idx="7">
                  <c:v>8.7107983904552473</c:v>
                </c:pt>
                <c:pt idx="8">
                  <c:v>7.1282870486626013</c:v>
                </c:pt>
                <c:pt idx="9">
                  <c:v>5.9024790342731475</c:v>
                </c:pt>
              </c:numCache>
            </c:numRef>
          </c:val>
          <c:smooth val="0"/>
        </c:ser>
        <c:ser>
          <c:idx val="5"/>
          <c:order val="5"/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装备强化!$C$53:$L$53</c:f>
              <c:numCache>
                <c:formatCode>0.00_ </c:formatCode>
                <c:ptCount val="10"/>
                <c:pt idx="0">
                  <c:v>37.882332416716146</c:v>
                </c:pt>
                <c:pt idx="1">
                  <c:v>28.530952091331361</c:v>
                </c:pt>
                <c:pt idx="2">
                  <c:v>21.595782829193887</c:v>
                </c:pt>
                <c:pt idx="3">
                  <c:v>16.452523650232248</c:v>
                </c:pt>
                <c:pt idx="4">
                  <c:v>12.638180556056637</c:v>
                </c:pt>
                <c:pt idx="5">
                  <c:v>9.8093880076277369</c:v>
                </c:pt>
                <c:pt idx="6">
                  <c:v>7.7114993058311487</c:v>
                </c:pt>
                <c:pt idx="7">
                  <c:v>6.1556634041952574</c:v>
                </c:pt>
                <c:pt idx="8">
                  <c:v>5.0018246182071326</c:v>
                </c:pt>
                <c:pt idx="9">
                  <c:v>4.1461148723073906</c:v>
                </c:pt>
              </c:numCache>
            </c:numRef>
          </c:val>
          <c:smooth val="0"/>
        </c:ser>
        <c:ser>
          <c:idx val="6"/>
          <c:order val="6"/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装备强化!$C$53:$L$53</c:f>
              <c:numCache>
                <c:formatCode>0.00_ </c:formatCode>
                <c:ptCount val="10"/>
                <c:pt idx="0">
                  <c:v>37.882332416716146</c:v>
                </c:pt>
                <c:pt idx="1">
                  <c:v>28.530952091331361</c:v>
                </c:pt>
                <c:pt idx="2">
                  <c:v>21.595782829193887</c:v>
                </c:pt>
                <c:pt idx="3">
                  <c:v>16.452523650232248</c:v>
                </c:pt>
                <c:pt idx="4">
                  <c:v>12.638180556056637</c:v>
                </c:pt>
                <c:pt idx="5">
                  <c:v>9.8093880076277369</c:v>
                </c:pt>
                <c:pt idx="6">
                  <c:v>7.7114993058311487</c:v>
                </c:pt>
                <c:pt idx="7">
                  <c:v>6.1556634041952574</c:v>
                </c:pt>
                <c:pt idx="8">
                  <c:v>5.0018246182071326</c:v>
                </c:pt>
                <c:pt idx="9">
                  <c:v>4.1461148723073906</c:v>
                </c:pt>
              </c:numCache>
            </c:numRef>
          </c:val>
          <c:smooth val="0"/>
        </c:ser>
        <c:ser>
          <c:idx val="7"/>
          <c:order val="7"/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装备强化!$C$58:$L$58</c:f>
              <c:numCache>
                <c:formatCode>0.00_ </c:formatCode>
                <c:ptCount val="10"/>
                <c:pt idx="0">
                  <c:v>32.468610333622905</c:v>
                </c:pt>
                <c:pt idx="1">
                  <c:v>23.453764082403104</c:v>
                </c:pt>
                <c:pt idx="2">
                  <c:v>17.079305166811455</c:v>
                </c:pt>
                <c:pt idx="3">
                  <c:v>12.571882041201553</c:v>
                </c:pt>
                <c:pt idx="4">
                  <c:v>9.3846525834057282</c:v>
                </c:pt>
                <c:pt idx="5">
                  <c:v>7.1309410206007762</c:v>
                </c:pt>
                <c:pt idx="6">
                  <c:v>5.5373262917028629</c:v>
                </c:pt>
                <c:pt idx="7">
                  <c:v>4.4104705103003878</c:v>
                </c:pt>
                <c:pt idx="8">
                  <c:v>3.6136631458514317</c:v>
                </c:pt>
                <c:pt idx="9">
                  <c:v>3.0502352551501941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5372608"/>
        <c:axId val="245373168"/>
      </c:lineChart>
      <c:catAx>
        <c:axId val="245372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73168"/>
        <c:crosses val="autoZero"/>
        <c:auto val="1"/>
        <c:lblAlgn val="ctr"/>
        <c:lblOffset val="100"/>
        <c:noMultiLvlLbl val="0"/>
      </c:catAx>
      <c:valAx>
        <c:axId val="24537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7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装备强化!$W$9:$AF$9</c:f>
              <c:numCache>
                <c:formatCode>0.00_ </c:formatCode>
                <c:ptCount val="10"/>
                <c:pt idx="0">
                  <c:v>100</c:v>
                </c:pt>
                <c:pt idx="1">
                  <c:v>101</c:v>
                </c:pt>
                <c:pt idx="2">
                  <c:v>106</c:v>
                </c:pt>
                <c:pt idx="3">
                  <c:v>115</c:v>
                </c:pt>
                <c:pt idx="4">
                  <c:v>127</c:v>
                </c:pt>
                <c:pt idx="5">
                  <c:v>142</c:v>
                </c:pt>
                <c:pt idx="6">
                  <c:v>161</c:v>
                </c:pt>
                <c:pt idx="7">
                  <c:v>183</c:v>
                </c:pt>
                <c:pt idx="8">
                  <c:v>208</c:v>
                </c:pt>
                <c:pt idx="9">
                  <c:v>237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装备强化!$W$18:$AF$18</c:f>
              <c:numCache>
                <c:formatCode>0.00_ </c:formatCode>
                <c:ptCount val="10"/>
                <c:pt idx="0">
                  <c:v>199</c:v>
                </c:pt>
                <c:pt idx="1">
                  <c:v>216</c:v>
                </c:pt>
                <c:pt idx="2">
                  <c:v>267</c:v>
                </c:pt>
                <c:pt idx="3">
                  <c:v>352</c:v>
                </c:pt>
                <c:pt idx="4">
                  <c:v>471</c:v>
                </c:pt>
                <c:pt idx="5">
                  <c:v>624</c:v>
                </c:pt>
                <c:pt idx="6">
                  <c:v>811</c:v>
                </c:pt>
                <c:pt idx="7">
                  <c:v>1032</c:v>
                </c:pt>
                <c:pt idx="8">
                  <c:v>1287</c:v>
                </c:pt>
                <c:pt idx="9">
                  <c:v>1576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装备强化!$W$28:$AF$28</c:f>
              <c:numCache>
                <c:formatCode>0.00_ </c:formatCode>
                <c:ptCount val="10"/>
                <c:pt idx="0">
                  <c:v>499</c:v>
                </c:pt>
                <c:pt idx="1">
                  <c:v>533</c:v>
                </c:pt>
                <c:pt idx="2">
                  <c:v>635</c:v>
                </c:pt>
                <c:pt idx="3">
                  <c:v>805</c:v>
                </c:pt>
                <c:pt idx="4">
                  <c:v>1043</c:v>
                </c:pt>
                <c:pt idx="5">
                  <c:v>1349</c:v>
                </c:pt>
                <c:pt idx="6">
                  <c:v>1723</c:v>
                </c:pt>
                <c:pt idx="7">
                  <c:v>2165</c:v>
                </c:pt>
                <c:pt idx="8">
                  <c:v>2675</c:v>
                </c:pt>
                <c:pt idx="9">
                  <c:v>3253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装备强化!$W$38:$AF$38</c:f>
              <c:numCache>
                <c:formatCode>0.00_ </c:formatCode>
                <c:ptCount val="10"/>
                <c:pt idx="0">
                  <c:v>999</c:v>
                </c:pt>
                <c:pt idx="1">
                  <c:v>1050</c:v>
                </c:pt>
                <c:pt idx="2">
                  <c:v>1203</c:v>
                </c:pt>
                <c:pt idx="3">
                  <c:v>1458</c:v>
                </c:pt>
                <c:pt idx="4">
                  <c:v>1815</c:v>
                </c:pt>
                <c:pt idx="5">
                  <c:v>2274</c:v>
                </c:pt>
                <c:pt idx="6">
                  <c:v>2835</c:v>
                </c:pt>
                <c:pt idx="7">
                  <c:v>3498</c:v>
                </c:pt>
                <c:pt idx="8">
                  <c:v>4263</c:v>
                </c:pt>
                <c:pt idx="9">
                  <c:v>5130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装备强化!$W$48:$AF$48</c:f>
              <c:numCache>
                <c:formatCode>0.00_ </c:formatCode>
                <c:ptCount val="10"/>
                <c:pt idx="0">
                  <c:v>1699</c:v>
                </c:pt>
                <c:pt idx="1">
                  <c:v>1767</c:v>
                </c:pt>
                <c:pt idx="2">
                  <c:v>1971</c:v>
                </c:pt>
                <c:pt idx="3">
                  <c:v>2311</c:v>
                </c:pt>
                <c:pt idx="4">
                  <c:v>2787</c:v>
                </c:pt>
                <c:pt idx="5">
                  <c:v>3399</c:v>
                </c:pt>
                <c:pt idx="6">
                  <c:v>4147</c:v>
                </c:pt>
                <c:pt idx="7">
                  <c:v>5031</c:v>
                </c:pt>
                <c:pt idx="8">
                  <c:v>6051</c:v>
                </c:pt>
                <c:pt idx="9">
                  <c:v>7207</c:v>
                </c:pt>
              </c:numCache>
            </c:numRef>
          </c:val>
          <c:smooth val="0"/>
        </c:ser>
        <c:ser>
          <c:idx val="5"/>
          <c:order val="5"/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装备强化!$W$58:$AF$58</c:f>
              <c:numCache>
                <c:formatCode>0.00_ </c:formatCode>
                <c:ptCount val="10"/>
                <c:pt idx="0">
                  <c:v>2599</c:v>
                </c:pt>
                <c:pt idx="1">
                  <c:v>2684</c:v>
                </c:pt>
                <c:pt idx="2">
                  <c:v>2939</c:v>
                </c:pt>
                <c:pt idx="3">
                  <c:v>3364</c:v>
                </c:pt>
                <c:pt idx="4">
                  <c:v>3959</c:v>
                </c:pt>
                <c:pt idx="5">
                  <c:v>4724</c:v>
                </c:pt>
                <c:pt idx="6">
                  <c:v>5659</c:v>
                </c:pt>
                <c:pt idx="7">
                  <c:v>6764</c:v>
                </c:pt>
                <c:pt idx="8">
                  <c:v>8039</c:v>
                </c:pt>
                <c:pt idx="9">
                  <c:v>9484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5378768"/>
        <c:axId val="232639312"/>
      </c:lineChart>
      <c:catAx>
        <c:axId val="24537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639312"/>
        <c:crosses val="autoZero"/>
        <c:auto val="1"/>
        <c:lblAlgn val="ctr"/>
        <c:lblOffset val="100"/>
        <c:noMultiLvlLbl val="0"/>
      </c:catAx>
      <c:valAx>
        <c:axId val="2326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7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(装备升级!$AB$7,装备升级!$AB$16,装备升级!$AB$26,装备升级!$AB$36,装备升级!$AB$46,装备升级!$AB$56)</c:f>
              <c:numCache>
                <c:formatCode>0.00_ </c:formatCode>
                <c:ptCount val="6"/>
                <c:pt idx="0">
                  <c:v>210</c:v>
                </c:pt>
                <c:pt idx="1">
                  <c:v>322</c:v>
                </c:pt>
                <c:pt idx="2">
                  <c:v>450</c:v>
                </c:pt>
                <c:pt idx="3">
                  <c:v>580</c:v>
                </c:pt>
                <c:pt idx="4">
                  <c:v>712</c:v>
                </c:pt>
                <c:pt idx="5">
                  <c:v>845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(装备升级!$AC$7,装备升级!$AC$16,装备升级!$AC$26,装备升级!$AC$36,装备升级!$AC$46,装备升级!$AC$56)</c:f>
              <c:numCache>
                <c:formatCode>0.00_ </c:formatCode>
                <c:ptCount val="6"/>
                <c:pt idx="0">
                  <c:v>229</c:v>
                </c:pt>
                <c:pt idx="1">
                  <c:v>511</c:v>
                </c:pt>
                <c:pt idx="2">
                  <c:v>827</c:v>
                </c:pt>
                <c:pt idx="3">
                  <c:v>1146</c:v>
                </c:pt>
                <c:pt idx="4">
                  <c:v>1467</c:v>
                </c:pt>
                <c:pt idx="5">
                  <c:v>1789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(装备升级!$AD$7,装备升级!$AD$16,装备升级!$AD$26,装备升级!$AD$36,装备升级!$AD$46,装备升级!$AD$56)</c:f>
              <c:numCache>
                <c:formatCode>0.00_ </c:formatCode>
                <c:ptCount val="6"/>
                <c:pt idx="0">
                  <c:v>260</c:v>
                </c:pt>
                <c:pt idx="1">
                  <c:v>822</c:v>
                </c:pt>
                <c:pt idx="2">
                  <c:v>1451</c:v>
                </c:pt>
                <c:pt idx="3">
                  <c:v>2082</c:v>
                </c:pt>
                <c:pt idx="4">
                  <c:v>2714</c:v>
                </c:pt>
                <c:pt idx="5">
                  <c:v>3348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(装备升级!$AE$7,装备升级!$AE$16,装备升级!$AE$26,装备升级!$AE$36,装备升级!$AE$46,装备升级!$AE$56)</c:f>
              <c:numCache>
                <c:formatCode>0.00_ </c:formatCode>
                <c:ptCount val="6"/>
                <c:pt idx="0">
                  <c:v>306</c:v>
                </c:pt>
                <c:pt idx="1">
                  <c:v>1276</c:v>
                </c:pt>
                <c:pt idx="2">
                  <c:v>2359</c:v>
                </c:pt>
                <c:pt idx="3">
                  <c:v>3444</c:v>
                </c:pt>
                <c:pt idx="4">
                  <c:v>4531</c:v>
                </c:pt>
                <c:pt idx="5">
                  <c:v>5618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644352"/>
        <c:axId val="232644912"/>
      </c:lineChart>
      <c:catAx>
        <c:axId val="232644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644912"/>
        <c:crosses val="autoZero"/>
        <c:auto val="1"/>
        <c:lblAlgn val="ctr"/>
        <c:lblOffset val="100"/>
        <c:noMultiLvlLbl val="0"/>
      </c:catAx>
      <c:valAx>
        <c:axId val="23264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64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(装备升级!$C$7,装备升级!$C$16,装备升级!$C$26,装备升级!$C$36,装备升级!$C$46,装备升级!$C$56)</c:f>
              <c:numCache>
                <c:formatCode>0.00_ </c:formatCode>
                <c:ptCount val="6"/>
                <c:pt idx="0">
                  <c:v>116</c:v>
                </c:pt>
                <c:pt idx="1">
                  <c:v>276</c:v>
                </c:pt>
                <c:pt idx="2">
                  <c:v>454</c:v>
                </c:pt>
                <c:pt idx="3">
                  <c:v>631</c:v>
                </c:pt>
                <c:pt idx="4">
                  <c:v>809</c:v>
                </c:pt>
                <c:pt idx="5">
                  <c:v>987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(装备升级!$D$7,装备升级!$D$16,装备升级!$D$26,装备升级!$D$36,装备升级!$D$46,装备升级!$D$56)</c:f>
              <c:numCache>
                <c:formatCode>0.00_ </c:formatCode>
                <c:ptCount val="6"/>
                <c:pt idx="0">
                  <c:v>188</c:v>
                </c:pt>
                <c:pt idx="1">
                  <c:v>998</c:v>
                </c:pt>
                <c:pt idx="2">
                  <c:v>1897</c:v>
                </c:pt>
                <c:pt idx="3">
                  <c:v>2796</c:v>
                </c:pt>
                <c:pt idx="4">
                  <c:v>3695</c:v>
                </c:pt>
                <c:pt idx="5">
                  <c:v>4594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(装备升级!$E$7,装备升级!$E$16,装备升级!$E$26,装备升级!$E$36,装备升级!$E$46,装备升级!$E$56)</c:f>
              <c:numCache>
                <c:formatCode>0.00_ </c:formatCode>
                <c:ptCount val="6"/>
                <c:pt idx="0">
                  <c:v>383</c:v>
                </c:pt>
                <c:pt idx="1">
                  <c:v>2940</c:v>
                </c:pt>
                <c:pt idx="2">
                  <c:v>5782</c:v>
                </c:pt>
                <c:pt idx="3">
                  <c:v>8623</c:v>
                </c:pt>
                <c:pt idx="4">
                  <c:v>11465</c:v>
                </c:pt>
                <c:pt idx="5">
                  <c:v>14307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(装备升级!$F$7,装备升级!$F$16,装备升级!$F$26,装备升级!$F$36,装备升级!$F$46,装备升级!$F$56)</c:f>
              <c:numCache>
                <c:formatCode>0.00_ </c:formatCode>
                <c:ptCount val="6"/>
                <c:pt idx="0">
                  <c:v>792</c:v>
                </c:pt>
                <c:pt idx="1">
                  <c:v>7036</c:v>
                </c:pt>
                <c:pt idx="2">
                  <c:v>13974</c:v>
                </c:pt>
                <c:pt idx="3">
                  <c:v>20911</c:v>
                </c:pt>
                <c:pt idx="4">
                  <c:v>27849</c:v>
                </c:pt>
                <c:pt idx="5">
                  <c:v>34786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648832"/>
        <c:axId val="232649392"/>
      </c:lineChart>
      <c:catAx>
        <c:axId val="232648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649392"/>
        <c:crosses val="autoZero"/>
        <c:auto val="1"/>
        <c:lblAlgn val="ctr"/>
        <c:lblOffset val="100"/>
        <c:noMultiLvlLbl val="0"/>
      </c:catAx>
      <c:valAx>
        <c:axId val="23264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64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(装备升级!$O$7,装备升级!$O$16,装备升级!$O$26,装备升级!$O$36,装备升级!$O$46,装备升级!$O$56)</c:f>
              <c:numCache>
                <c:formatCode>0.00_ </c:formatCode>
                <c:ptCount val="6"/>
                <c:pt idx="0">
                  <c:v>30</c:v>
                </c:pt>
                <c:pt idx="1">
                  <c:v>291</c:v>
                </c:pt>
                <c:pt idx="2">
                  <c:v>581</c:v>
                </c:pt>
                <c:pt idx="3">
                  <c:v>871</c:v>
                </c:pt>
                <c:pt idx="4">
                  <c:v>1161</c:v>
                </c:pt>
                <c:pt idx="5">
                  <c:v>1451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(装备升级!$P$7,装备升级!$P$16,装备升级!$P$26,装备升级!$P$36,装备升级!$P$46,装备升级!$P$56)</c:f>
              <c:numCache>
                <c:formatCode>0.00_ </c:formatCode>
                <c:ptCount val="6"/>
                <c:pt idx="0">
                  <c:v>41</c:v>
                </c:pt>
                <c:pt idx="1">
                  <c:v>302</c:v>
                </c:pt>
                <c:pt idx="2">
                  <c:v>592</c:v>
                </c:pt>
                <c:pt idx="3">
                  <c:v>882</c:v>
                </c:pt>
                <c:pt idx="4">
                  <c:v>1172</c:v>
                </c:pt>
                <c:pt idx="5">
                  <c:v>1462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(装备升级!$Q$7,装备升级!$Q$16,装备升级!$Q$26,装备升级!$Q$36,装备升级!$Q$46,装备升级!$Q$56)</c:f>
              <c:numCache>
                <c:formatCode>0.00_ </c:formatCode>
                <c:ptCount val="6"/>
                <c:pt idx="0">
                  <c:v>69</c:v>
                </c:pt>
                <c:pt idx="1">
                  <c:v>330</c:v>
                </c:pt>
                <c:pt idx="2">
                  <c:v>620</c:v>
                </c:pt>
                <c:pt idx="3">
                  <c:v>910</c:v>
                </c:pt>
                <c:pt idx="4">
                  <c:v>1200</c:v>
                </c:pt>
                <c:pt idx="5">
                  <c:v>1490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(装备升级!$R$7,装备升级!$R$16,装备升级!$R$26,装备升级!$R$36,装备升级!$R$46,装备升级!$R$56)</c:f>
              <c:numCache>
                <c:formatCode>0.00_ </c:formatCode>
                <c:ptCount val="6"/>
                <c:pt idx="0">
                  <c:v>125</c:v>
                </c:pt>
                <c:pt idx="1">
                  <c:v>386</c:v>
                </c:pt>
                <c:pt idx="2">
                  <c:v>676</c:v>
                </c:pt>
                <c:pt idx="3">
                  <c:v>966</c:v>
                </c:pt>
                <c:pt idx="4">
                  <c:v>1256</c:v>
                </c:pt>
                <c:pt idx="5">
                  <c:v>1546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(装备升级!$S$7,装备升级!$S$16,装备升级!$S$26,装备升级!$S$36,装备升级!$S$46,装备升级!$S$56)</c:f>
              <c:numCache>
                <c:formatCode>0.00_ </c:formatCode>
                <c:ptCount val="6"/>
                <c:pt idx="0">
                  <c:v>216</c:v>
                </c:pt>
                <c:pt idx="1">
                  <c:v>477</c:v>
                </c:pt>
                <c:pt idx="2">
                  <c:v>767</c:v>
                </c:pt>
                <c:pt idx="3">
                  <c:v>1057</c:v>
                </c:pt>
                <c:pt idx="4">
                  <c:v>1347</c:v>
                </c:pt>
                <c:pt idx="5">
                  <c:v>1637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653872"/>
        <c:axId val="232654432"/>
      </c:lineChart>
      <c:catAx>
        <c:axId val="232653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654432"/>
        <c:crosses val="autoZero"/>
        <c:auto val="1"/>
        <c:lblAlgn val="ctr"/>
        <c:lblOffset val="100"/>
        <c:noMultiLvlLbl val="0"/>
      </c:catAx>
      <c:valAx>
        <c:axId val="23265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265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(装备改造!$D$8,装备改造!$D$17,装备改造!$D$27,装备改造!$D$37,装备改造!$D$47,装备改造!$D$57)</c:f>
              <c:numCache>
                <c:formatCode>0.00_ </c:formatCode>
                <c:ptCount val="6"/>
                <c:pt idx="0">
                  <c:v>24</c:v>
                </c:pt>
                <c:pt idx="1">
                  <c:v>246</c:v>
                </c:pt>
                <c:pt idx="2">
                  <c:v>492</c:v>
                </c:pt>
                <c:pt idx="3">
                  <c:v>739</c:v>
                </c:pt>
                <c:pt idx="4">
                  <c:v>985</c:v>
                </c:pt>
                <c:pt idx="5">
                  <c:v>1232</c:v>
                </c:pt>
              </c:numCache>
            </c:numRef>
          </c:val>
          <c:smooth val="0"/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(装备改造!$E$8,装备改造!$E$17,装备改造!$E$27,装备改造!$E$37,装备改造!$E$47,装备改造!$E$57)</c:f>
              <c:numCache>
                <c:formatCode>0.00_ </c:formatCode>
                <c:ptCount val="6"/>
                <c:pt idx="0">
                  <c:v>25</c:v>
                </c:pt>
                <c:pt idx="1">
                  <c:v>253</c:v>
                </c:pt>
                <c:pt idx="2">
                  <c:v>506</c:v>
                </c:pt>
                <c:pt idx="3">
                  <c:v>759</c:v>
                </c:pt>
                <c:pt idx="4">
                  <c:v>1012</c:v>
                </c:pt>
                <c:pt idx="5">
                  <c:v>1265</c:v>
                </c:pt>
              </c:numCache>
            </c:numRef>
          </c:val>
          <c:smooth val="0"/>
        </c:ser>
        <c:ser>
          <c:idx val="2"/>
          <c:order val="2"/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(装备改造!$F$8,装备改造!$F$17,装备改造!$F$27,装备改造!$F$37,装备改造!$F$47,装备改造!$F$57)</c:f>
              <c:numCache>
                <c:formatCode>0.00_ </c:formatCode>
                <c:ptCount val="6"/>
                <c:pt idx="0">
                  <c:v>26</c:v>
                </c:pt>
                <c:pt idx="1">
                  <c:v>267</c:v>
                </c:pt>
                <c:pt idx="2">
                  <c:v>534</c:v>
                </c:pt>
                <c:pt idx="3">
                  <c:v>801</c:v>
                </c:pt>
                <c:pt idx="4">
                  <c:v>1069</c:v>
                </c:pt>
                <c:pt idx="5">
                  <c:v>1336</c:v>
                </c:pt>
              </c:numCache>
            </c:numRef>
          </c:val>
          <c:smooth val="0"/>
        </c:ser>
        <c:ser>
          <c:idx val="3"/>
          <c:order val="3"/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(装备改造!$G$8,装备改造!$G$17,装备改造!$G$27,装备改造!$G$37,装备改造!$G$47,装备改造!$G$57)</c:f>
              <c:numCache>
                <c:formatCode>0.00_ </c:formatCode>
                <c:ptCount val="6"/>
                <c:pt idx="0">
                  <c:v>29</c:v>
                </c:pt>
                <c:pt idx="1">
                  <c:v>290</c:v>
                </c:pt>
                <c:pt idx="2">
                  <c:v>581</c:v>
                </c:pt>
                <c:pt idx="3">
                  <c:v>872</c:v>
                </c:pt>
                <c:pt idx="4">
                  <c:v>1162</c:v>
                </c:pt>
                <c:pt idx="5">
                  <c:v>1453</c:v>
                </c:pt>
              </c:numCache>
            </c:numRef>
          </c:val>
          <c:smooth val="0"/>
        </c:ser>
        <c:ser>
          <c:idx val="4"/>
          <c:order val="4"/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(装备改造!$H$8,装备改造!$H$17,装备改造!$H$27,装备改造!$H$37,装备改造!$H$47,装备改造!$H$57)</c:f>
              <c:numCache>
                <c:formatCode>0.00_ </c:formatCode>
                <c:ptCount val="6"/>
                <c:pt idx="0">
                  <c:v>32</c:v>
                </c:pt>
                <c:pt idx="1">
                  <c:v>324</c:v>
                </c:pt>
                <c:pt idx="2">
                  <c:v>649</c:v>
                </c:pt>
                <c:pt idx="3">
                  <c:v>974</c:v>
                </c:pt>
                <c:pt idx="4">
                  <c:v>1299</c:v>
                </c:pt>
                <c:pt idx="5">
                  <c:v>1624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5202416"/>
        <c:axId val="245202976"/>
      </c:lineChart>
      <c:catAx>
        <c:axId val="24520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202976"/>
        <c:crosses val="autoZero"/>
        <c:auto val="1"/>
        <c:lblAlgn val="ctr"/>
        <c:lblOffset val="100"/>
        <c:noMultiLvlLbl val="0"/>
      </c:catAx>
      <c:valAx>
        <c:axId val="24520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20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2" fmlaLink="$E$10" horiz="1" max="50" min="1" page="10"/>
</file>

<file path=xl/ctrlProps/ctrlProp2.xml><?xml version="1.0" encoding="utf-8"?>
<formControlPr xmlns="http://schemas.microsoft.com/office/spreadsheetml/2009/9/main" objectType="Scroll" dx="22" fmlaLink="$E$14" horiz="1" max="50" min="1" page="10"/>
</file>

<file path=xl/ctrlProps/ctrlProp3.xml><?xml version="1.0" encoding="utf-8"?>
<formControlPr xmlns="http://schemas.microsoft.com/office/spreadsheetml/2009/9/main" objectType="Scroll" dx="22" fmlaLink="$E$18" horiz="1" max="50" min="1" page="10"/>
</file>

<file path=xl/ctrlProps/ctrlProp4.xml><?xml version="1.0" encoding="utf-8"?>
<formControlPr xmlns="http://schemas.microsoft.com/office/spreadsheetml/2009/9/main" objectType="Scroll" dx="22" fmlaLink="$E$22" horiz="1" max="50" min="1" page="10"/>
</file>

<file path=xl/ctrlProps/ctrlProp5.xml><?xml version="1.0" encoding="utf-8"?>
<formControlPr xmlns="http://schemas.microsoft.com/office/spreadsheetml/2009/9/main" objectType="Scroll" dx="22" fmlaLink="$E$26" horiz="1" max="50" min="1" page="10"/>
</file>

<file path=xl/ctrlProps/ctrlProp6.xml><?xml version="1.0" encoding="utf-8"?>
<formControlPr xmlns="http://schemas.microsoft.com/office/spreadsheetml/2009/9/main" objectType="Scroll" dx="22" fmlaLink="$E$30" horiz="1" max="50" min="1" page="10"/>
</file>

<file path=xl/ctrlProps/ctrlProp7.xml><?xml version="1.0" encoding="utf-8"?>
<formControlPr xmlns="http://schemas.microsoft.com/office/spreadsheetml/2009/9/main" objectType="Scroll" dx="22" fmlaLink="$E$34" horiz="1" max="50" min="1" page="10"/>
</file>

<file path=xl/ctrlProps/ctrlProp8.xml><?xml version="1.0" encoding="utf-8"?>
<formControlPr xmlns="http://schemas.microsoft.com/office/spreadsheetml/2009/9/main" objectType="Scroll" dx="22" fmlaLink="$E$38" horiz="1" max="50" min="1" page="10"/>
</file>

<file path=xl/ctrlProps/ctrlProp9.xml><?xml version="1.0" encoding="utf-8"?>
<formControlPr xmlns="http://schemas.microsoft.com/office/spreadsheetml/2009/9/main" objectType="Scroll" dx="22" fmlaLink="$G$10" horiz="1" max="5" min="1" page="10"/>
</file>

<file path=xl/ctrlProps/ctrlProp10.xml><?xml version="1.0" encoding="utf-8"?>
<formControlPr xmlns="http://schemas.microsoft.com/office/spreadsheetml/2009/9/main" objectType="Scroll" dx="22" fmlaLink="$G$14" horiz="1" max="5" min="1" page="10"/>
</file>

<file path=xl/ctrlProps/ctrlProp11.xml><?xml version="1.0" encoding="utf-8"?>
<formControlPr xmlns="http://schemas.microsoft.com/office/spreadsheetml/2009/9/main" objectType="Scroll" dx="22" fmlaLink="$G$18" horiz="1" max="5" min="1" page="10"/>
</file>

<file path=xl/ctrlProps/ctrlProp12.xml><?xml version="1.0" encoding="utf-8"?>
<formControlPr xmlns="http://schemas.microsoft.com/office/spreadsheetml/2009/9/main" objectType="Scroll" dx="22" fmlaLink="$G$22" horiz="1" max="5" min="1" page="10"/>
</file>

<file path=xl/ctrlProps/ctrlProp13.xml><?xml version="1.0" encoding="utf-8"?>
<formControlPr xmlns="http://schemas.microsoft.com/office/spreadsheetml/2009/9/main" objectType="Scroll" dx="22" fmlaLink="$G$26" horiz="1" max="5" min="1" page="10"/>
</file>

<file path=xl/ctrlProps/ctrlProp14.xml><?xml version="1.0" encoding="utf-8"?>
<formControlPr xmlns="http://schemas.microsoft.com/office/spreadsheetml/2009/9/main" objectType="Scroll" dx="22" fmlaLink="$G$30" horiz="1" max="5" min="1" page="10"/>
</file>

<file path=xl/ctrlProps/ctrlProp15.xml><?xml version="1.0" encoding="utf-8"?>
<formControlPr xmlns="http://schemas.microsoft.com/office/spreadsheetml/2009/9/main" objectType="Scroll" dx="22" fmlaLink="$G$10" horiz="1" max="5" min="1" page="10"/>
</file>

<file path=xl/ctrlProps/ctrlProp16.xml><?xml version="1.0" encoding="utf-8"?>
<formControlPr xmlns="http://schemas.microsoft.com/office/spreadsheetml/2009/9/main" objectType="Scroll" dx="22" fmlaLink="$G$38" horiz="1" max="5" min="1" page="10"/>
</file>

<file path=xl/ctrlProps/ctrlProp17.xml><?xml version="1.0" encoding="utf-8"?>
<formControlPr xmlns="http://schemas.microsoft.com/office/spreadsheetml/2009/9/main" objectType="Scroll" dx="22" fmlaLink="$G$34" horiz="1" max="5" min="1" page="10"/>
</file>

<file path=xl/ctrlProps/ctrlProp18.xml><?xml version="1.0" encoding="utf-8"?>
<formControlPr xmlns="http://schemas.microsoft.com/office/spreadsheetml/2009/9/main" objectType="Scroll" dx="22" fmlaLink="$I$10" horiz="1" max="10" page="10" val="0"/>
</file>

<file path=xl/ctrlProps/ctrlProp19.xml><?xml version="1.0" encoding="utf-8"?>
<formControlPr xmlns="http://schemas.microsoft.com/office/spreadsheetml/2009/9/main" objectType="Scroll" dx="22" fmlaLink="$I$14" horiz="1" max="10" page="10" val="0"/>
</file>

<file path=xl/ctrlProps/ctrlProp20.xml><?xml version="1.0" encoding="utf-8"?>
<formControlPr xmlns="http://schemas.microsoft.com/office/spreadsheetml/2009/9/main" objectType="Scroll" dx="22" fmlaLink="$I$18" horiz="1" max="10" page="10" val="0"/>
</file>

<file path=xl/ctrlProps/ctrlProp21.xml><?xml version="1.0" encoding="utf-8"?>
<formControlPr xmlns="http://schemas.microsoft.com/office/spreadsheetml/2009/9/main" objectType="Scroll" dx="22" fmlaLink="$I$22" horiz="1" max="10" page="10" val="0"/>
</file>

<file path=xl/ctrlProps/ctrlProp22.xml><?xml version="1.0" encoding="utf-8"?>
<formControlPr xmlns="http://schemas.microsoft.com/office/spreadsheetml/2009/9/main" objectType="Scroll" dx="22" fmlaLink="$I$26" horiz="1" max="10" page="10" val="0"/>
</file>

<file path=xl/ctrlProps/ctrlProp23.xml><?xml version="1.0" encoding="utf-8"?>
<formControlPr xmlns="http://schemas.microsoft.com/office/spreadsheetml/2009/9/main" objectType="Scroll" dx="22" fmlaLink="$I$30" horiz="1" max="10" page="10" val="0"/>
</file>

<file path=xl/ctrlProps/ctrlProp24.xml><?xml version="1.0" encoding="utf-8"?>
<formControlPr xmlns="http://schemas.microsoft.com/office/spreadsheetml/2009/9/main" objectType="Scroll" dx="22" fmlaLink="$I$34" horiz="1" max="10" page="10" val="0"/>
</file>

<file path=xl/ctrlProps/ctrlProp25.xml><?xml version="1.0" encoding="utf-8"?>
<formControlPr xmlns="http://schemas.microsoft.com/office/spreadsheetml/2009/9/main" objectType="Scroll" dx="22" fmlaLink="$I$38" horiz="1" max="10" page="10" val="0"/>
</file>

<file path=xl/ctrlProps/ctrlProp26.xml><?xml version="1.0" encoding="utf-8"?>
<formControlPr xmlns="http://schemas.microsoft.com/office/spreadsheetml/2009/9/main" objectType="Scroll" dx="22" fmlaLink="$O$5" horiz="1" max="50" min="1" page="10" val="4"/>
</file>

<file path=xl/ctrlProps/ctrlProp27.xml><?xml version="1.0" encoding="utf-8"?>
<formControlPr xmlns="http://schemas.microsoft.com/office/spreadsheetml/2009/9/main" objectType="Scroll" dx="22" fmlaLink="$T$5" horiz="1" max="50" min="1" page="10"/>
</file>

<file path=xl/ctrlProps/ctrlProp28.xml><?xml version="1.0" encoding="utf-8"?>
<formControlPr xmlns="http://schemas.microsoft.com/office/spreadsheetml/2009/9/main" objectType="Scroll" dx="22" fmlaLink="$K$10" horiz="1" max="50" min="1" page="1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514350</xdr:colOff>
      <xdr:row>1</xdr:row>
      <xdr:rowOff>38100</xdr:rowOff>
    </xdr:from>
    <xdr:to>
      <xdr:col>15</xdr:col>
      <xdr:colOff>19050</xdr:colOff>
      <xdr:row>16</xdr:row>
      <xdr:rowOff>28575</xdr:rowOff>
    </xdr:to>
    <xdr:sp macro="" textlink="">
      <xdr:nvSpPr>
        <xdr:cNvPr id="3" name="矩形 2"/>
        <xdr:cNvSpPr/>
      </xdr:nvSpPr>
      <xdr:spPr>
        <a:xfrm>
          <a:off x="9782175" y="190500"/>
          <a:ext cx="4991100" cy="2276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伤害  </a:t>
          </a:r>
          <a:r>
            <a:rPr lang="en-US" altLang="zh-CN" sz="1000"/>
            <a:t>=  (</a:t>
          </a:r>
          <a:r>
            <a:rPr lang="zh-CN" altLang="en-US" sz="1000"/>
            <a:t>自身攻击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*rnd(0.8,1.2))</a:t>
          </a:r>
          <a:r>
            <a:rPr lang="en-US" altLang="zh-CN" sz="1000"/>
            <a:t>^2  /  (</a:t>
          </a:r>
          <a:r>
            <a:rPr lang="zh-CN" altLang="en-US" sz="1000"/>
            <a:t>自身攻击</a:t>
          </a:r>
          <a:r>
            <a:rPr lang="en-US" altLang="zh-CN" sz="1000"/>
            <a:t>+</a:t>
          </a:r>
          <a:r>
            <a:rPr lang="zh-CN" altLang="en-US" sz="1000"/>
            <a:t>对方防御</a:t>
          </a:r>
          <a:r>
            <a:rPr lang="en-US" altLang="zh-CN" sz="1000"/>
            <a:t>)      【</a:t>
          </a:r>
          <a:r>
            <a:rPr lang="zh-CN" altLang="en-US" sz="1000"/>
            <a:t>结果四舍五入</a:t>
          </a:r>
          <a:r>
            <a:rPr lang="en-US" altLang="zh-CN" sz="1000"/>
            <a:t>】</a:t>
          </a:r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rnd(0.8,1.2)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取小数点后两位</a:t>
          </a:r>
          <a:endParaRPr lang="en-US" altLang="zh-CN" sz="1000"/>
        </a:p>
        <a:p>
          <a:pPr algn="l"/>
          <a:endParaRPr lang="en-US" altLang="zh-CN" sz="1000"/>
        </a:p>
        <a:p>
          <a:pPr algn="l"/>
          <a:r>
            <a:rPr lang="zh-CN" altLang="en-US" sz="1000"/>
            <a:t>暴击率  </a:t>
          </a:r>
          <a:r>
            <a:rPr lang="en-US" altLang="zh-CN" sz="1000"/>
            <a:t>=  </a:t>
          </a:r>
          <a:r>
            <a:rPr lang="zh-CN" altLang="en-US" sz="1000"/>
            <a:t>自身暴击   </a:t>
          </a:r>
          <a:r>
            <a:rPr lang="en-US" altLang="zh-CN" sz="1000"/>
            <a:t>/  (</a:t>
          </a:r>
          <a:r>
            <a:rPr lang="zh-CN" altLang="en-US" sz="1000"/>
            <a:t>自身暴击</a:t>
          </a:r>
          <a:r>
            <a:rPr lang="en-US" altLang="zh-CN" sz="1000"/>
            <a:t>+</a:t>
          </a:r>
          <a:r>
            <a:rPr lang="zh-CN" altLang="en-US" sz="1000"/>
            <a:t>对方抗暴</a:t>
          </a:r>
          <a:r>
            <a:rPr lang="en-US" altLang="zh-CN" sz="1000"/>
            <a:t>*15)    【</a:t>
          </a:r>
          <a:r>
            <a:rPr lang="zh-CN" altLang="en-US" sz="1000"/>
            <a:t>小数点后两位，四舍五入</a:t>
          </a:r>
          <a:r>
            <a:rPr lang="en-US" altLang="zh-CN" sz="1000"/>
            <a:t>】</a:t>
          </a:r>
        </a:p>
        <a:p>
          <a:pPr algn="l"/>
          <a:r>
            <a:rPr lang="zh-CN" altLang="en-US" sz="1000"/>
            <a:t>暴击伤害  </a:t>
          </a:r>
          <a:r>
            <a:rPr lang="en-US" altLang="zh-CN" sz="1000"/>
            <a:t>=  </a:t>
          </a:r>
          <a:r>
            <a:rPr lang="zh-CN" altLang="en-US" sz="1000"/>
            <a:t>伤害  *  </a:t>
          </a:r>
          <a:r>
            <a:rPr lang="en-US" altLang="zh-CN" sz="1000"/>
            <a:t>150%</a:t>
          </a:r>
        </a:p>
        <a:p>
          <a:pPr algn="l"/>
          <a:endParaRPr lang="en-US" altLang="zh-CN" sz="10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/>
            <a:t>命中率  </a:t>
          </a:r>
          <a:r>
            <a:rPr lang="en-US" altLang="zh-CN" sz="1000"/>
            <a:t>=  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自身命中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*1.1</a:t>
          </a:r>
          <a:r>
            <a:rPr lang="en-US" altLang="zh-CN" sz="1000"/>
            <a:t>/  ( (</a:t>
          </a:r>
          <a:r>
            <a:rPr lang="zh-CN" altLang="en-US" sz="1000"/>
            <a:t>自身命中</a:t>
          </a:r>
          <a:r>
            <a:rPr lang="en-US" altLang="zh-CN" sz="1000"/>
            <a:t>+</a:t>
          </a:r>
          <a:r>
            <a:rPr lang="zh-CN" altLang="en-US" sz="1000"/>
            <a:t>对方闪避</a:t>
          </a:r>
          <a:r>
            <a:rPr lang="en-US" altLang="zh-CN" sz="1000"/>
            <a:t>) *0.99 )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【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小数点后两位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，四舍五入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】</a:t>
          </a:r>
          <a:endParaRPr lang="zh-CN" altLang="zh-CN" sz="1000">
            <a:effectLst/>
          </a:endParaRPr>
        </a:p>
        <a:p>
          <a:pPr algn="l"/>
          <a:endParaRPr lang="en-US" altLang="zh-CN" sz="1000"/>
        </a:p>
        <a:p>
          <a:pPr algn="l"/>
          <a:r>
            <a:rPr lang="zh-CN" altLang="en-US" sz="1000"/>
            <a:t>生命剩余  </a:t>
          </a:r>
          <a:r>
            <a:rPr lang="en-US" altLang="zh-CN" sz="1000"/>
            <a:t>=  </a:t>
          </a:r>
          <a:r>
            <a:rPr lang="zh-CN" altLang="en-US" sz="1000"/>
            <a:t>当前生命  </a:t>
          </a:r>
          <a:r>
            <a:rPr lang="en-US" altLang="zh-CN" sz="1000"/>
            <a:t>-  </a:t>
          </a:r>
          <a:r>
            <a:rPr lang="zh-CN" altLang="en-US" sz="1000"/>
            <a:t>伤害</a:t>
          </a:r>
          <a:endParaRPr lang="en-US" altLang="zh-CN" sz="1000"/>
        </a:p>
        <a:p>
          <a:pPr algn="l"/>
          <a:r>
            <a:rPr lang="zh-CN" altLang="en-US" sz="1000"/>
            <a:t>能量剩余  </a:t>
          </a:r>
          <a:r>
            <a:rPr lang="en-US" altLang="zh-CN" sz="1000"/>
            <a:t>=  </a:t>
          </a:r>
          <a:r>
            <a:rPr lang="zh-CN" altLang="en-US" sz="1000"/>
            <a:t>当前能量  </a:t>
          </a:r>
          <a:r>
            <a:rPr lang="en-US" altLang="zh-CN" sz="1000"/>
            <a:t>-  </a:t>
          </a:r>
          <a:r>
            <a:rPr lang="zh-CN" altLang="en-US" sz="1000"/>
            <a:t>消耗量</a:t>
          </a:r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47625</xdr:colOff>
      <xdr:row>56</xdr:row>
      <xdr:rowOff>142875</xdr:rowOff>
    </xdr:to>
    <xdr:sp macro="" textlink="">
      <xdr:nvSpPr>
        <xdr:cNvPr id="4" name="矩形 3"/>
        <xdr:cNvSpPr/>
      </xdr:nvSpPr>
      <xdr:spPr>
        <a:xfrm>
          <a:off x="9267825" y="6400800"/>
          <a:ext cx="2105025" cy="2276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防装总计</a:t>
          </a:r>
          <a:r>
            <a:rPr lang="en-US" altLang="zh-CN" sz="1000"/>
            <a:t>4</a:t>
          </a:r>
          <a:r>
            <a:rPr lang="zh-CN" altLang="en-US" sz="1000"/>
            <a:t>件</a:t>
          </a:r>
          <a:endParaRPr lang="en-US" altLang="zh-CN" sz="1000"/>
        </a:p>
        <a:p>
          <a:pPr algn="l"/>
          <a:endParaRPr lang="en-US" altLang="zh-CN" sz="1000"/>
        </a:p>
        <a:p>
          <a:pPr algn="l"/>
          <a:r>
            <a:rPr lang="zh-CN" altLang="en-US" sz="1000"/>
            <a:t>在装等、品质和强等一致情况下</a:t>
          </a:r>
          <a:endParaRPr lang="en-US" altLang="zh-CN" sz="1000"/>
        </a:p>
        <a:p>
          <a:pPr algn="l"/>
          <a:r>
            <a:rPr lang="zh-CN" altLang="en-US" sz="1000"/>
            <a:t>防御总值</a:t>
          </a:r>
          <a:r>
            <a:rPr lang="en-US" altLang="zh-CN" sz="1000"/>
            <a:t>=</a:t>
          </a:r>
          <a:r>
            <a:rPr lang="zh-CN" altLang="en-US" sz="1000"/>
            <a:t>攻击值</a:t>
          </a:r>
          <a:r>
            <a:rPr lang="en-US" altLang="zh-CN" sz="1000"/>
            <a:t>*3/4</a:t>
          </a:r>
        </a:p>
        <a:p>
          <a:pPr algn="l"/>
          <a:endParaRPr lang="en-US" altLang="zh-CN" sz="1000"/>
        </a:p>
        <a:p>
          <a:pPr algn="l"/>
          <a:r>
            <a:rPr lang="zh-CN" altLang="en-US" sz="1000"/>
            <a:t>其中：</a:t>
          </a:r>
          <a:endParaRPr lang="en-US" altLang="zh-CN" sz="1000"/>
        </a:p>
        <a:p>
          <a:pPr algn="l"/>
          <a:r>
            <a:rPr lang="zh-CN" altLang="en-US" sz="1000"/>
            <a:t>头盔</a:t>
          </a:r>
          <a:r>
            <a:rPr lang="en-US" altLang="zh-CN" sz="1000"/>
            <a:t>20%</a:t>
          </a:r>
        </a:p>
        <a:p>
          <a:pPr algn="l"/>
          <a:r>
            <a:rPr lang="zh-CN" altLang="en-US" sz="1000"/>
            <a:t>衣服</a:t>
          </a:r>
          <a:r>
            <a:rPr lang="en-US" altLang="zh-CN" sz="1000"/>
            <a:t>35%</a:t>
          </a:r>
        </a:p>
        <a:p>
          <a:pPr algn="l"/>
          <a:r>
            <a:rPr lang="zh-CN" altLang="en-US" sz="1000"/>
            <a:t>裤子</a:t>
          </a:r>
          <a:r>
            <a:rPr lang="en-US" altLang="zh-CN" sz="1000"/>
            <a:t>30%</a:t>
          </a:r>
        </a:p>
        <a:p>
          <a:pPr algn="l"/>
          <a:r>
            <a:rPr lang="zh-CN" altLang="en-US" sz="1000"/>
            <a:t>靴子</a:t>
          </a:r>
          <a:r>
            <a:rPr lang="en-US" altLang="zh-CN" sz="1000"/>
            <a:t>15%</a:t>
          </a:r>
        </a:p>
      </xdr:txBody>
    </xdr:sp>
    <xdr:clientData/>
  </xdr:twoCellAnchor>
  <xdr:twoCellAnchor>
    <xdr:from>
      <xdr:col>10</xdr:col>
      <xdr:colOff>647700</xdr:colOff>
      <xdr:row>42</xdr:row>
      <xdr:rowOff>9525</xdr:rowOff>
    </xdr:from>
    <xdr:to>
      <xdr:col>14</xdr:col>
      <xdr:colOff>0</xdr:colOff>
      <xdr:row>57</xdr:row>
      <xdr:rowOff>0</xdr:rowOff>
    </xdr:to>
    <xdr:sp macro="" textlink="">
      <xdr:nvSpPr>
        <xdr:cNvPr id="5" name="矩形 4"/>
        <xdr:cNvSpPr/>
      </xdr:nvSpPr>
      <xdr:spPr>
        <a:xfrm>
          <a:off x="11972925" y="6410325"/>
          <a:ext cx="2095500" cy="2276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涉及暴击率的暴击和抗暴属性</a:t>
          </a:r>
          <a:endParaRPr lang="en-US" altLang="zh-CN" sz="1000"/>
        </a:p>
        <a:p>
          <a:pPr algn="l"/>
          <a:r>
            <a:rPr lang="zh-CN" altLang="en-US" sz="1000"/>
            <a:t>分别由戒指和护手提供</a:t>
          </a:r>
          <a:endParaRPr lang="en-US" altLang="zh-CN" sz="1000"/>
        </a:p>
        <a:p>
          <a:pPr algn="l"/>
          <a:endParaRPr lang="en-US" altLang="zh-CN" sz="1000"/>
        </a:p>
        <a:p>
          <a:pPr algn="l"/>
          <a:r>
            <a:rPr lang="zh-CN" altLang="en-US" sz="1000"/>
            <a:t>在装等、品质和强等一致情况下</a:t>
          </a:r>
          <a:endParaRPr lang="en-US" altLang="zh-CN" sz="1000"/>
        </a:p>
        <a:p>
          <a:pPr algn="l"/>
          <a:r>
            <a:rPr lang="zh-CN" altLang="en-US" sz="1000"/>
            <a:t>抗暴</a:t>
          </a:r>
          <a:r>
            <a:rPr lang="en-US" altLang="zh-CN" sz="1000"/>
            <a:t>=</a:t>
          </a:r>
          <a:r>
            <a:rPr lang="zh-CN" altLang="en-US" sz="1000"/>
            <a:t>暴击</a:t>
          </a:r>
          <a:r>
            <a:rPr lang="en-US" altLang="zh-CN" sz="1000"/>
            <a:t>/2</a:t>
          </a:r>
        </a:p>
      </xdr:txBody>
    </xdr:sp>
    <xdr:clientData/>
  </xdr:twoCellAnchor>
  <xdr:twoCellAnchor>
    <xdr:from>
      <xdr:col>15</xdr:col>
      <xdr:colOff>0</xdr:colOff>
      <xdr:row>42</xdr:row>
      <xdr:rowOff>0</xdr:rowOff>
    </xdr:from>
    <xdr:to>
      <xdr:col>18</xdr:col>
      <xdr:colOff>28575</xdr:colOff>
      <xdr:row>56</xdr:row>
      <xdr:rowOff>142875</xdr:rowOff>
    </xdr:to>
    <xdr:sp macro="" textlink="">
      <xdr:nvSpPr>
        <xdr:cNvPr id="6" name="矩形 5"/>
        <xdr:cNvSpPr/>
      </xdr:nvSpPr>
      <xdr:spPr>
        <a:xfrm>
          <a:off x="14754225" y="6400800"/>
          <a:ext cx="2095500" cy="2276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涉及命中率的命中和闪避属性</a:t>
          </a:r>
          <a:endParaRPr lang="en-US" altLang="zh-CN" sz="1000"/>
        </a:p>
        <a:p>
          <a:pPr algn="l"/>
          <a:r>
            <a:rPr lang="zh-CN" altLang="en-US" sz="1000"/>
            <a:t>分别由项链和靴子提供</a:t>
          </a:r>
          <a:endParaRPr lang="en-US" altLang="zh-CN" sz="1000"/>
        </a:p>
        <a:p>
          <a:pPr algn="l"/>
          <a:endParaRPr lang="en-US" altLang="zh-CN" sz="1000"/>
        </a:p>
        <a:p>
          <a:pPr algn="l"/>
          <a:r>
            <a:rPr lang="zh-CN" altLang="en-US" sz="1000"/>
            <a:t>在装等、品质和强等一致情况下</a:t>
          </a:r>
          <a:endParaRPr lang="en-US" altLang="zh-CN" sz="1000"/>
        </a:p>
        <a:p>
          <a:pPr algn="l"/>
          <a:r>
            <a:rPr lang="zh-CN" altLang="en-US" sz="1000"/>
            <a:t>闪避</a:t>
          </a:r>
          <a:r>
            <a:rPr lang="en-US" altLang="zh-CN" sz="1000"/>
            <a:t>=</a:t>
          </a:r>
          <a:r>
            <a:rPr lang="zh-CN" altLang="en-US" sz="1000"/>
            <a:t>命中</a:t>
          </a:r>
          <a:r>
            <a:rPr lang="en-US" altLang="zh-CN" sz="1000"/>
            <a:t>/2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114300</xdr:colOff>
      <xdr:row>0</xdr:row>
      <xdr:rowOff>133350</xdr:rowOff>
    </xdr:from>
    <xdr:to>
      <xdr:col>29</xdr:col>
      <xdr:colOff>657225</xdr:colOff>
      <xdr:row>3</xdr:row>
      <xdr:rowOff>104775</xdr:rowOff>
    </xdr:to>
    <xdr:sp macro="" textlink="">
      <xdr:nvSpPr>
        <xdr:cNvPr id="2" name="矩形 1"/>
        <xdr:cNvSpPr/>
      </xdr:nvSpPr>
      <xdr:spPr>
        <a:xfrm>
          <a:off x="800100" y="133350"/>
          <a:ext cx="20955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/>
            <a:t>标准数值下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47625</xdr:rowOff>
        </xdr:from>
        <xdr:to>
          <xdr:col>5</xdr:col>
          <xdr:colOff>638175</xdr:colOff>
          <xdr:row>8</xdr:row>
          <xdr:rowOff>123825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11</xdr:row>
          <xdr:rowOff>47625</xdr:rowOff>
        </xdr:from>
        <xdr:to>
          <xdr:col>5</xdr:col>
          <xdr:colOff>638175</xdr:colOff>
          <xdr:row>12</xdr:row>
          <xdr:rowOff>123825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15</xdr:row>
          <xdr:rowOff>47625</xdr:rowOff>
        </xdr:from>
        <xdr:to>
          <xdr:col>5</xdr:col>
          <xdr:colOff>638175</xdr:colOff>
          <xdr:row>16</xdr:row>
          <xdr:rowOff>123825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19</xdr:row>
          <xdr:rowOff>47625</xdr:rowOff>
        </xdr:from>
        <xdr:to>
          <xdr:col>5</xdr:col>
          <xdr:colOff>638175</xdr:colOff>
          <xdr:row>20</xdr:row>
          <xdr:rowOff>123825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5</xdr:col>
          <xdr:colOff>638175</xdr:colOff>
          <xdr:row>24</xdr:row>
          <xdr:rowOff>123825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27</xdr:row>
          <xdr:rowOff>47625</xdr:rowOff>
        </xdr:from>
        <xdr:to>
          <xdr:col>5</xdr:col>
          <xdr:colOff>638175</xdr:colOff>
          <xdr:row>28</xdr:row>
          <xdr:rowOff>123825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31</xdr:row>
          <xdr:rowOff>47625</xdr:rowOff>
        </xdr:from>
        <xdr:to>
          <xdr:col>5</xdr:col>
          <xdr:colOff>638175</xdr:colOff>
          <xdr:row>32</xdr:row>
          <xdr:rowOff>123825</xdr:rowOff>
        </xdr:to>
        <xdr:sp macro="" textlink="">
          <xdr:nvSpPr>
            <xdr:cNvPr id="2057" name="Scroll Ba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5</xdr:col>
          <xdr:colOff>638175</xdr:colOff>
          <xdr:row>36</xdr:row>
          <xdr:rowOff>123825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47625</xdr:rowOff>
        </xdr:from>
        <xdr:to>
          <xdr:col>7</xdr:col>
          <xdr:colOff>638175</xdr:colOff>
          <xdr:row>8</xdr:row>
          <xdr:rowOff>123825</xdr:rowOff>
        </xdr:to>
        <xdr:sp macro="" textlink="">
          <xdr:nvSpPr>
            <xdr:cNvPr id="2059" name="Scroll Bar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11</xdr:row>
          <xdr:rowOff>47625</xdr:rowOff>
        </xdr:from>
        <xdr:to>
          <xdr:col>7</xdr:col>
          <xdr:colOff>638175</xdr:colOff>
          <xdr:row>12</xdr:row>
          <xdr:rowOff>123825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15</xdr:row>
          <xdr:rowOff>47625</xdr:rowOff>
        </xdr:from>
        <xdr:to>
          <xdr:col>7</xdr:col>
          <xdr:colOff>638175</xdr:colOff>
          <xdr:row>16</xdr:row>
          <xdr:rowOff>123825</xdr:rowOff>
        </xdr:to>
        <xdr:sp macro="" textlink="">
          <xdr:nvSpPr>
            <xdr:cNvPr id="2061" name="Scroll Ba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19</xdr:row>
          <xdr:rowOff>47625</xdr:rowOff>
        </xdr:from>
        <xdr:to>
          <xdr:col>7</xdr:col>
          <xdr:colOff>638175</xdr:colOff>
          <xdr:row>20</xdr:row>
          <xdr:rowOff>123825</xdr:rowOff>
        </xdr:to>
        <xdr:sp macro="" textlink="">
          <xdr:nvSpPr>
            <xdr:cNvPr id="2062" name="Scroll Bar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23</xdr:row>
          <xdr:rowOff>47625</xdr:rowOff>
        </xdr:from>
        <xdr:to>
          <xdr:col>7</xdr:col>
          <xdr:colOff>638175</xdr:colOff>
          <xdr:row>24</xdr:row>
          <xdr:rowOff>123825</xdr:rowOff>
        </xdr:to>
        <xdr:sp macro="" textlink="">
          <xdr:nvSpPr>
            <xdr:cNvPr id="2063" name="Scroll Bar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27</xdr:row>
          <xdr:rowOff>47625</xdr:rowOff>
        </xdr:from>
        <xdr:to>
          <xdr:col>7</xdr:col>
          <xdr:colOff>638175</xdr:colOff>
          <xdr:row>28</xdr:row>
          <xdr:rowOff>123825</xdr:rowOff>
        </xdr:to>
        <xdr:sp macro="" textlink="">
          <xdr:nvSpPr>
            <xdr:cNvPr id="2064" name="Scroll Ba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31</xdr:row>
          <xdr:rowOff>47625</xdr:rowOff>
        </xdr:from>
        <xdr:to>
          <xdr:col>7</xdr:col>
          <xdr:colOff>638175</xdr:colOff>
          <xdr:row>32</xdr:row>
          <xdr:rowOff>123825</xdr:rowOff>
        </xdr:to>
        <xdr:sp macro="" textlink="">
          <xdr:nvSpPr>
            <xdr:cNvPr id="2065" name="Scroll Bar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35</xdr:row>
          <xdr:rowOff>47625</xdr:rowOff>
        </xdr:from>
        <xdr:to>
          <xdr:col>7</xdr:col>
          <xdr:colOff>638175</xdr:colOff>
          <xdr:row>36</xdr:row>
          <xdr:rowOff>123825</xdr:rowOff>
        </xdr:to>
        <xdr:sp macro="" textlink="">
          <xdr:nvSpPr>
            <xdr:cNvPr id="2066" name="Scroll Bar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31</xdr:row>
          <xdr:rowOff>47625</xdr:rowOff>
        </xdr:from>
        <xdr:to>
          <xdr:col>7</xdr:col>
          <xdr:colOff>638175</xdr:colOff>
          <xdr:row>32</xdr:row>
          <xdr:rowOff>123825</xdr:rowOff>
        </xdr:to>
        <xdr:sp macro="" textlink="">
          <xdr:nvSpPr>
            <xdr:cNvPr id="2067" name="Scroll Bar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47625</xdr:rowOff>
        </xdr:from>
        <xdr:to>
          <xdr:col>9</xdr:col>
          <xdr:colOff>638175</xdr:colOff>
          <xdr:row>8</xdr:row>
          <xdr:rowOff>123825</xdr:rowOff>
        </xdr:to>
        <xdr:sp macro="" textlink="">
          <xdr:nvSpPr>
            <xdr:cNvPr id="2068" name="Scroll Bar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47625</xdr:rowOff>
        </xdr:from>
        <xdr:to>
          <xdr:col>9</xdr:col>
          <xdr:colOff>638175</xdr:colOff>
          <xdr:row>12</xdr:row>
          <xdr:rowOff>123825</xdr:rowOff>
        </xdr:to>
        <xdr:sp macro="" textlink="">
          <xdr:nvSpPr>
            <xdr:cNvPr id="2069" name="Scroll Bar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47625</xdr:rowOff>
        </xdr:from>
        <xdr:to>
          <xdr:col>9</xdr:col>
          <xdr:colOff>638175</xdr:colOff>
          <xdr:row>16</xdr:row>
          <xdr:rowOff>123825</xdr:rowOff>
        </xdr:to>
        <xdr:sp macro="" textlink="">
          <xdr:nvSpPr>
            <xdr:cNvPr id="2070" name="Scroll Bar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47625</xdr:rowOff>
        </xdr:from>
        <xdr:to>
          <xdr:col>9</xdr:col>
          <xdr:colOff>638175</xdr:colOff>
          <xdr:row>20</xdr:row>
          <xdr:rowOff>123825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47625</xdr:rowOff>
        </xdr:from>
        <xdr:to>
          <xdr:col>9</xdr:col>
          <xdr:colOff>638175</xdr:colOff>
          <xdr:row>24</xdr:row>
          <xdr:rowOff>123825</xdr:rowOff>
        </xdr:to>
        <xdr:sp macro="" textlink="">
          <xdr:nvSpPr>
            <xdr:cNvPr id="2072" name="Scroll Bar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47625</xdr:rowOff>
        </xdr:from>
        <xdr:to>
          <xdr:col>9</xdr:col>
          <xdr:colOff>638175</xdr:colOff>
          <xdr:row>28</xdr:row>
          <xdr:rowOff>123825</xdr:rowOff>
        </xdr:to>
        <xdr:sp macro="" textlink="">
          <xdr:nvSpPr>
            <xdr:cNvPr id="2073" name="Scroll Bar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47625</xdr:rowOff>
        </xdr:from>
        <xdr:to>
          <xdr:col>9</xdr:col>
          <xdr:colOff>638175</xdr:colOff>
          <xdr:row>32</xdr:row>
          <xdr:rowOff>123825</xdr:rowOff>
        </xdr:to>
        <xdr:sp macro="" textlink="">
          <xdr:nvSpPr>
            <xdr:cNvPr id="2074" name="Scroll Bar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35</xdr:row>
          <xdr:rowOff>47625</xdr:rowOff>
        </xdr:from>
        <xdr:to>
          <xdr:col>9</xdr:col>
          <xdr:colOff>638175</xdr:colOff>
          <xdr:row>36</xdr:row>
          <xdr:rowOff>123825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</xdr:row>
          <xdr:rowOff>47625</xdr:rowOff>
        </xdr:from>
        <xdr:to>
          <xdr:col>15</xdr:col>
          <xdr:colOff>638175</xdr:colOff>
          <xdr:row>3</xdr:row>
          <xdr:rowOff>123825</xdr:rowOff>
        </xdr:to>
        <xdr:sp macro="" textlink="">
          <xdr:nvSpPr>
            <xdr:cNvPr id="2076" name="Scroll Bar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</xdr:row>
          <xdr:rowOff>47625</xdr:rowOff>
        </xdr:from>
        <xdr:to>
          <xdr:col>20</xdr:col>
          <xdr:colOff>638175</xdr:colOff>
          <xdr:row>3</xdr:row>
          <xdr:rowOff>123825</xdr:rowOff>
        </xdr:to>
        <xdr:sp macro="" textlink="">
          <xdr:nvSpPr>
            <xdr:cNvPr id="2077" name="Scroll Bar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533400</xdr:colOff>
          <xdr:row>39</xdr:row>
          <xdr:rowOff>57150</xdr:rowOff>
        </xdr:from>
        <xdr:to>
          <xdr:col>13</xdr:col>
          <xdr:colOff>209550</xdr:colOff>
          <xdr:row>42</xdr:row>
          <xdr:rowOff>47625</xdr:rowOff>
        </xdr:to>
        <xdr:sp macro="" textlink="">
          <xdr:nvSpPr>
            <xdr:cNvPr id="2078" name="SingleFigh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19050</xdr:rowOff>
        </xdr:from>
        <xdr:to>
          <xdr:col>2</xdr:col>
          <xdr:colOff>628650</xdr:colOff>
          <xdr:row>4</xdr:row>
          <xdr:rowOff>123825</xdr:rowOff>
        </xdr:to>
        <xdr:sp macro="" textlink="">
          <xdr:nvSpPr>
            <xdr:cNvPr id="2079" name="Rese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42</xdr:row>
          <xdr:rowOff>0</xdr:rowOff>
        </xdr:from>
        <xdr:to>
          <xdr:col>4</xdr:col>
          <xdr:colOff>552450</xdr:colOff>
          <xdr:row>44</xdr:row>
          <xdr:rowOff>0</xdr:rowOff>
        </xdr:to>
        <xdr:sp macro="" textlink="">
          <xdr:nvSpPr>
            <xdr:cNvPr id="2080" name="Clear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39</xdr:row>
          <xdr:rowOff>57150</xdr:rowOff>
        </xdr:from>
        <xdr:to>
          <xdr:col>14</xdr:col>
          <xdr:colOff>676275</xdr:colOff>
          <xdr:row>42</xdr:row>
          <xdr:rowOff>47625</xdr:rowOff>
        </xdr:to>
        <xdr:sp macro="" textlink="">
          <xdr:nvSpPr>
            <xdr:cNvPr id="2081" name="SustainFight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</xdr:row>
      <xdr:rowOff>0</xdr:rowOff>
    </xdr:from>
    <xdr:to>
      <xdr:col>25</xdr:col>
      <xdr:colOff>190500</xdr:colOff>
      <xdr:row>15</xdr:row>
      <xdr:rowOff>142875</xdr:rowOff>
    </xdr:to>
    <xdr:sp macro="" textlink="">
      <xdr:nvSpPr>
        <xdr:cNvPr id="2" name="矩形 1"/>
        <xdr:cNvSpPr/>
      </xdr:nvSpPr>
      <xdr:spPr>
        <a:xfrm>
          <a:off x="11658600" y="152400"/>
          <a:ext cx="4991100" cy="2276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伤害  </a:t>
          </a:r>
          <a:r>
            <a:rPr lang="en-US" altLang="zh-CN" sz="1000"/>
            <a:t>=  (</a:t>
          </a:r>
          <a:r>
            <a:rPr lang="zh-CN" altLang="en-US" sz="1000"/>
            <a:t>自身攻击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*rnd(0.8,1.2))</a:t>
          </a:r>
          <a:r>
            <a:rPr lang="en-US" altLang="zh-CN" sz="1000"/>
            <a:t>^2  /  (</a:t>
          </a:r>
          <a:r>
            <a:rPr lang="zh-CN" altLang="en-US" sz="1000"/>
            <a:t>自身攻击</a:t>
          </a:r>
          <a:r>
            <a:rPr lang="en-US" altLang="zh-CN" sz="1000"/>
            <a:t>+</a:t>
          </a:r>
          <a:r>
            <a:rPr lang="zh-CN" altLang="en-US" sz="1000"/>
            <a:t>对方防御</a:t>
          </a:r>
          <a:r>
            <a:rPr lang="en-US" altLang="zh-CN" sz="1000"/>
            <a:t>)      【</a:t>
          </a:r>
          <a:r>
            <a:rPr lang="zh-CN" altLang="en-US" sz="1000"/>
            <a:t>结果四舍五入</a:t>
          </a:r>
          <a:r>
            <a:rPr lang="en-US" altLang="zh-CN" sz="1000"/>
            <a:t>】</a:t>
          </a:r>
        </a:p>
        <a:p>
          <a:pPr algn="l"/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rnd(0.8,1.2)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取小数点后两位</a:t>
          </a:r>
          <a:endParaRPr lang="en-US" altLang="zh-CN" sz="1000"/>
        </a:p>
        <a:p>
          <a:pPr algn="l"/>
          <a:endParaRPr lang="en-US" altLang="zh-CN" sz="1000"/>
        </a:p>
        <a:p>
          <a:pPr algn="l"/>
          <a:r>
            <a:rPr lang="zh-CN" altLang="en-US" sz="1000"/>
            <a:t>暴击率  </a:t>
          </a:r>
          <a:r>
            <a:rPr lang="en-US" altLang="zh-CN" sz="1000"/>
            <a:t>=  </a:t>
          </a:r>
          <a:r>
            <a:rPr lang="zh-CN" altLang="en-US" sz="1000"/>
            <a:t>自身暴击   </a:t>
          </a:r>
          <a:r>
            <a:rPr lang="en-US" altLang="zh-CN" sz="1000"/>
            <a:t>/  (</a:t>
          </a:r>
          <a:r>
            <a:rPr lang="zh-CN" altLang="en-US" sz="1000"/>
            <a:t>自身暴击</a:t>
          </a:r>
          <a:r>
            <a:rPr lang="en-US" altLang="zh-CN" sz="1000"/>
            <a:t>+</a:t>
          </a:r>
          <a:r>
            <a:rPr lang="zh-CN" altLang="en-US" sz="1000"/>
            <a:t>对方抗暴</a:t>
          </a:r>
          <a:r>
            <a:rPr lang="en-US" altLang="zh-CN" sz="1000"/>
            <a:t>*15)    【</a:t>
          </a:r>
          <a:r>
            <a:rPr lang="zh-CN" altLang="en-US" sz="1000"/>
            <a:t>小数点后两位，四舍五入</a:t>
          </a:r>
          <a:r>
            <a:rPr lang="en-US" altLang="zh-CN" sz="1000"/>
            <a:t>】</a:t>
          </a:r>
        </a:p>
        <a:p>
          <a:pPr algn="l"/>
          <a:r>
            <a:rPr lang="zh-CN" altLang="en-US" sz="1000"/>
            <a:t>暴伤害  </a:t>
          </a:r>
          <a:r>
            <a:rPr lang="en-US" altLang="zh-CN" sz="1000"/>
            <a:t>=  </a:t>
          </a:r>
          <a:r>
            <a:rPr lang="zh-CN" altLang="en-US" sz="1000"/>
            <a:t>伤害  *  </a:t>
          </a:r>
          <a:r>
            <a:rPr lang="en-US" altLang="zh-CN" sz="1000"/>
            <a:t>150%</a:t>
          </a:r>
        </a:p>
        <a:p>
          <a:pPr algn="l"/>
          <a:endParaRPr lang="en-US" altLang="zh-CN" sz="10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/>
            <a:t>命中率  </a:t>
          </a:r>
          <a:r>
            <a:rPr lang="en-US" altLang="zh-CN" sz="1000"/>
            <a:t>=  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自身命中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*1.1</a:t>
          </a:r>
          <a:r>
            <a:rPr lang="en-US" altLang="zh-CN" sz="1000"/>
            <a:t>/  ( (</a:t>
          </a:r>
          <a:r>
            <a:rPr lang="zh-CN" altLang="en-US" sz="1000"/>
            <a:t>自身命中</a:t>
          </a:r>
          <a:r>
            <a:rPr lang="en-US" altLang="zh-CN" sz="1000"/>
            <a:t>+</a:t>
          </a:r>
          <a:r>
            <a:rPr lang="zh-CN" altLang="en-US" sz="1000"/>
            <a:t>对方闪避</a:t>
          </a:r>
          <a:r>
            <a:rPr lang="en-US" altLang="zh-CN" sz="1000"/>
            <a:t>) *0.99 )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【</a:t>
          </a:r>
          <a:r>
            <a:rPr lang="zh-CN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小数点后两位</a:t>
          </a:r>
          <a:r>
            <a:rPr lang="zh-CN" altLang="en-US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，四舍五入</a:t>
          </a:r>
          <a:r>
            <a:rPr lang="en-US" altLang="zh-CN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】</a:t>
          </a:r>
          <a:endParaRPr lang="zh-CN" altLang="zh-CN" sz="1000">
            <a:effectLst/>
          </a:endParaRPr>
        </a:p>
        <a:p>
          <a:pPr algn="l"/>
          <a:endParaRPr lang="en-US" altLang="zh-CN" sz="1000"/>
        </a:p>
        <a:p>
          <a:pPr algn="l"/>
          <a:r>
            <a:rPr lang="zh-CN" altLang="en-US" sz="1000"/>
            <a:t>生命剩余  </a:t>
          </a:r>
          <a:r>
            <a:rPr lang="en-US" altLang="zh-CN" sz="1000"/>
            <a:t>=  </a:t>
          </a:r>
          <a:r>
            <a:rPr lang="zh-CN" altLang="en-US" sz="1000"/>
            <a:t>当前生命  </a:t>
          </a:r>
          <a:r>
            <a:rPr lang="en-US" altLang="zh-CN" sz="1000"/>
            <a:t>-  </a:t>
          </a:r>
          <a:r>
            <a:rPr lang="zh-CN" altLang="en-US" sz="1000"/>
            <a:t>伤害</a:t>
          </a:r>
          <a:endParaRPr lang="en-US" altLang="zh-CN" sz="1000"/>
        </a:p>
        <a:p>
          <a:pPr algn="l"/>
          <a:r>
            <a:rPr lang="zh-CN" altLang="en-US" sz="1000"/>
            <a:t>能量剩余  </a:t>
          </a:r>
          <a:r>
            <a:rPr lang="en-US" altLang="zh-CN" sz="1000"/>
            <a:t>=  </a:t>
          </a:r>
          <a:r>
            <a:rPr lang="zh-CN" altLang="en-US" sz="1000"/>
            <a:t>当前能量  </a:t>
          </a:r>
          <a:r>
            <a:rPr lang="en-US" altLang="zh-CN" sz="1000"/>
            <a:t>-  </a:t>
          </a:r>
          <a:r>
            <a:rPr lang="zh-CN" altLang="en-US" sz="1000"/>
            <a:t>消耗量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190499</xdr:colOff>
      <xdr:row>0</xdr:row>
      <xdr:rowOff>66675</xdr:rowOff>
    </xdr:from>
    <xdr:to>
      <xdr:col>12</xdr:col>
      <xdr:colOff>371475</xdr:colOff>
      <xdr:row>8</xdr:row>
      <xdr:rowOff>19050</xdr:rowOff>
    </xdr:to>
    <xdr:sp macro="" textlink="">
      <xdr:nvSpPr>
        <xdr:cNvPr id="2" name="矩形 1"/>
        <xdr:cNvSpPr/>
      </xdr:nvSpPr>
      <xdr:spPr>
        <a:xfrm>
          <a:off x="5676899" y="66675"/>
          <a:ext cx="2924176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每级经验公式</a:t>
          </a:r>
          <a:endParaRPr lang="en-US" altLang="zh-CN" sz="1000"/>
        </a:p>
        <a:p>
          <a:pPr algn="l"/>
          <a:r>
            <a:rPr lang="en-US" altLang="zh-CN" sz="1000"/>
            <a:t>((</a:t>
          </a:r>
          <a:r>
            <a:rPr lang="zh-CN" altLang="en-US" sz="1000"/>
            <a:t>等级</a:t>
          </a:r>
          <a:r>
            <a:rPr lang="en-US" altLang="zh-CN" sz="1000"/>
            <a:t>-1)^2.5+60) * INT(((</a:t>
          </a:r>
          <a:r>
            <a:rPr lang="zh-CN" altLang="en-US" sz="1000"/>
            <a:t>等级</a:t>
          </a:r>
          <a:r>
            <a:rPr lang="en-US" altLang="zh-CN" sz="1000"/>
            <a:t>-1)^1.7+50 )*1.12) / 5</a:t>
          </a:r>
          <a:endParaRPr lang="zh-CN" altLang="en-US" sz="1000"/>
        </a:p>
      </xdr:txBody>
    </xdr:sp>
    <xdr:clientData/>
  </xdr:twoCellAnchor>
  <xdr:twoCellAnchor>
    <xdr:from>
      <xdr:col>0</xdr:col>
      <xdr:colOff>57150</xdr:colOff>
      <xdr:row>60</xdr:row>
      <xdr:rowOff>90487</xdr:rowOff>
    </xdr:from>
    <xdr:to>
      <xdr:col>5</xdr:col>
      <xdr:colOff>9525</xdr:colOff>
      <xdr:row>76</xdr:row>
      <xdr:rowOff>85725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428625</xdr:colOff>
      <xdr:row>0</xdr:row>
      <xdr:rowOff>66675</xdr:rowOff>
    </xdr:from>
    <xdr:to>
      <xdr:col>14</xdr:col>
      <xdr:colOff>390525</xdr:colOff>
      <xdr:row>8</xdr:row>
      <xdr:rowOff>19050</xdr:rowOff>
    </xdr:to>
    <xdr:sp macro="" textlink="">
      <xdr:nvSpPr>
        <xdr:cNvPr id="4" name="矩形 3"/>
        <xdr:cNvSpPr/>
      </xdr:nvSpPr>
      <xdr:spPr>
        <a:xfrm>
          <a:off x="8658225" y="66675"/>
          <a:ext cx="13335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攻击公式</a:t>
          </a:r>
          <a:endParaRPr lang="en-US" altLang="zh-CN" sz="1000"/>
        </a:p>
        <a:p>
          <a:pPr algn="l"/>
          <a:r>
            <a:rPr lang="en-US" altLang="zh-CN" sz="1000"/>
            <a:t>50 + INT(</a:t>
          </a:r>
          <a:r>
            <a:rPr lang="zh-CN" altLang="en-US" sz="1000"/>
            <a:t>等级</a:t>
          </a:r>
          <a:r>
            <a:rPr lang="en-US" altLang="zh-CN" sz="1000"/>
            <a:t>*4.5)</a:t>
          </a:r>
        </a:p>
        <a:p>
          <a:pPr algn="l"/>
          <a:endParaRPr lang="en-US" altLang="zh-CN" sz="1000"/>
        </a:p>
        <a:p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防御公式</a:t>
          </a:r>
          <a:endParaRPr lang="zh-CN" altLang="zh-CN" sz="1000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38 + INT(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*3.37)</a:t>
          </a:r>
          <a:endParaRPr lang="zh-CN" altLang="zh-CN" sz="1000">
            <a:effectLst/>
          </a:endParaRPr>
        </a:p>
        <a:p>
          <a:pPr algn="l"/>
          <a:endParaRPr lang="zh-CN" altLang="en-US" sz="1000"/>
        </a:p>
      </xdr:txBody>
    </xdr:sp>
    <xdr:clientData/>
  </xdr:twoCellAnchor>
  <xdr:twoCellAnchor>
    <xdr:from>
      <xdr:col>14</xdr:col>
      <xdr:colOff>561975</xdr:colOff>
      <xdr:row>0</xdr:row>
      <xdr:rowOff>66675</xdr:rowOff>
    </xdr:from>
    <xdr:to>
      <xdr:col>18</xdr:col>
      <xdr:colOff>152400</xdr:colOff>
      <xdr:row>8</xdr:row>
      <xdr:rowOff>19050</xdr:rowOff>
    </xdr:to>
    <xdr:sp macro="" textlink="">
      <xdr:nvSpPr>
        <xdr:cNvPr id="6" name="矩形 5"/>
        <xdr:cNvSpPr/>
      </xdr:nvSpPr>
      <xdr:spPr>
        <a:xfrm>
          <a:off x="10163175" y="66675"/>
          <a:ext cx="2333625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生命公式</a:t>
          </a:r>
          <a:endParaRPr lang="en-US" altLang="zh-CN" sz="1000"/>
        </a:p>
        <a:p>
          <a:pPr algn="l"/>
          <a:r>
            <a:rPr lang="en-US" altLang="zh-CN" sz="1000"/>
            <a:t>500 + INT(</a:t>
          </a:r>
          <a:r>
            <a:rPr lang="zh-CN" altLang="en-US" sz="1000"/>
            <a:t>等级</a:t>
          </a:r>
          <a:r>
            <a:rPr lang="en-US" altLang="zh-CN" sz="1000"/>
            <a:t>*3.75) + </a:t>
          </a:r>
          <a:r>
            <a:rPr lang="zh-CN" altLang="en-US" sz="1000"/>
            <a:t>等级</a:t>
          </a:r>
          <a:r>
            <a:rPr lang="en-US" altLang="zh-CN" sz="1000"/>
            <a:t>^2</a:t>
          </a:r>
        </a:p>
        <a:p>
          <a:pPr algn="l"/>
          <a:endParaRPr lang="en-US" altLang="zh-CN" sz="1000"/>
        </a:p>
        <a:p>
          <a:pPr algn="l"/>
          <a:r>
            <a:rPr lang="zh-CN" altLang="en-US" sz="1000"/>
            <a:t>体力公式</a:t>
          </a:r>
        </a:p>
        <a:p>
          <a:pPr algn="l"/>
          <a:r>
            <a:rPr lang="en-US" altLang="zh-CN" sz="1000"/>
            <a:t>299 + INT(</a:t>
          </a:r>
          <a:r>
            <a:rPr lang="zh-CN" altLang="en-US" sz="1000"/>
            <a:t>等级*</a:t>
          </a:r>
          <a:r>
            <a:rPr lang="en-US" altLang="zh-CN" sz="1000"/>
            <a:t>2.75)+ int(</a:t>
          </a:r>
          <a:r>
            <a:rPr lang="zh-CN" altLang="en-US" sz="1000"/>
            <a:t>等级</a:t>
          </a:r>
          <a:r>
            <a:rPr lang="en-US" altLang="zh-CN" sz="1000"/>
            <a:t>^2/10)</a:t>
          </a:r>
        </a:p>
        <a:p>
          <a:pPr algn="l"/>
          <a:endParaRPr lang="en-US" altLang="zh-CN" sz="1000"/>
        </a:p>
      </xdr:txBody>
    </xdr:sp>
    <xdr:clientData/>
  </xdr:twoCellAnchor>
  <xdr:twoCellAnchor>
    <xdr:from>
      <xdr:col>18</xdr:col>
      <xdr:colOff>247650</xdr:colOff>
      <xdr:row>0</xdr:row>
      <xdr:rowOff>28575</xdr:rowOff>
    </xdr:from>
    <xdr:to>
      <xdr:col>20</xdr:col>
      <xdr:colOff>257175</xdr:colOff>
      <xdr:row>7</xdr:row>
      <xdr:rowOff>133350</xdr:rowOff>
    </xdr:to>
    <xdr:sp macro="" textlink="">
      <xdr:nvSpPr>
        <xdr:cNvPr id="8" name="矩形 7"/>
        <xdr:cNvSpPr/>
      </xdr:nvSpPr>
      <xdr:spPr>
        <a:xfrm>
          <a:off x="12592050" y="28575"/>
          <a:ext cx="1381125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暴击公式</a:t>
          </a:r>
          <a:endParaRPr lang="en-US" altLang="zh-CN" sz="1000"/>
        </a:p>
        <a:p>
          <a:pPr algn="l"/>
          <a:r>
            <a:rPr lang="en-US" altLang="zh-CN" sz="1000"/>
            <a:t>199 + INT(</a:t>
          </a:r>
          <a:r>
            <a:rPr lang="zh-CN" altLang="en-US" sz="1000"/>
            <a:t>等级</a:t>
          </a:r>
          <a:r>
            <a:rPr lang="en-US" altLang="zh-CN" sz="1000"/>
            <a:t>*1.5)</a:t>
          </a:r>
        </a:p>
        <a:p>
          <a:pPr algn="l"/>
          <a:endParaRPr lang="en-US" altLang="zh-CN" sz="1000"/>
        </a:p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抗暴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公式</a:t>
          </a:r>
          <a:endParaRPr lang="zh-CN" altLang="zh-CN" sz="1000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99 + INT(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*0.75)</a:t>
          </a:r>
          <a:endParaRPr lang="zh-CN" altLang="zh-CN" sz="1000">
            <a:effectLst/>
          </a:endParaRPr>
        </a:p>
        <a:p>
          <a:pPr algn="l"/>
          <a:endParaRPr lang="zh-CN" altLang="en-US" sz="1000"/>
        </a:p>
      </xdr:txBody>
    </xdr:sp>
    <xdr:clientData/>
  </xdr:twoCellAnchor>
  <xdr:twoCellAnchor>
    <xdr:from>
      <xdr:col>21</xdr:col>
      <xdr:colOff>19050</xdr:colOff>
      <xdr:row>0</xdr:row>
      <xdr:rowOff>38100</xdr:rowOff>
    </xdr:from>
    <xdr:to>
      <xdr:col>23</xdr:col>
      <xdr:colOff>28575</xdr:colOff>
      <xdr:row>7</xdr:row>
      <xdr:rowOff>142875</xdr:rowOff>
    </xdr:to>
    <xdr:sp macro="" textlink="">
      <xdr:nvSpPr>
        <xdr:cNvPr id="9" name="矩形 8"/>
        <xdr:cNvSpPr/>
      </xdr:nvSpPr>
      <xdr:spPr>
        <a:xfrm>
          <a:off x="14420850" y="38100"/>
          <a:ext cx="1381125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命中公式</a:t>
          </a:r>
          <a:endParaRPr lang="en-US" altLang="zh-CN" sz="1000"/>
        </a:p>
        <a:p>
          <a:pPr algn="l"/>
          <a:r>
            <a:rPr lang="en-US" altLang="zh-CN" sz="1000"/>
            <a:t>199 + INT(</a:t>
          </a:r>
          <a:r>
            <a:rPr lang="zh-CN" altLang="en-US" sz="1000"/>
            <a:t>等级</a:t>
          </a:r>
          <a:r>
            <a:rPr lang="en-US" altLang="zh-CN" sz="1000"/>
            <a:t>*1.75)</a:t>
          </a:r>
        </a:p>
        <a:p>
          <a:pPr algn="l"/>
          <a:endParaRPr lang="en-US" altLang="zh-CN" sz="1000"/>
        </a:p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闪避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公式</a:t>
          </a:r>
          <a:endParaRPr lang="zh-CN" altLang="zh-CN" sz="1000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99 + INT(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*0.88)</a:t>
          </a:r>
          <a:endParaRPr lang="zh-CN" altLang="zh-CN" sz="1000">
            <a:effectLst/>
          </a:endParaRPr>
        </a:p>
        <a:p>
          <a:pPr algn="l"/>
          <a:endParaRPr lang="zh-CN" alt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3</xdr:col>
      <xdr:colOff>428625</xdr:colOff>
      <xdr:row>7</xdr:row>
      <xdr:rowOff>47625</xdr:rowOff>
    </xdr:to>
    <xdr:sp macro="" textlink="">
      <xdr:nvSpPr>
        <xdr:cNvPr id="2" name="矩形 1"/>
        <xdr:cNvSpPr/>
      </xdr:nvSpPr>
      <xdr:spPr>
        <a:xfrm>
          <a:off x="666750" y="476250"/>
          <a:ext cx="1819275" cy="638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经验公式</a:t>
          </a:r>
          <a:endParaRPr lang="en-US" altLang="zh-CN" sz="1000"/>
        </a:p>
        <a:p>
          <a:pPr algn="l"/>
          <a:r>
            <a:rPr lang="en-US" altLang="zh-CN" sz="1000"/>
            <a:t>INT( ( (</a:t>
          </a:r>
          <a:r>
            <a:rPr lang="zh-CN" altLang="en-US" sz="1000"/>
            <a:t>等级</a:t>
          </a:r>
          <a:r>
            <a:rPr lang="en-US" altLang="zh-CN" sz="1000"/>
            <a:t>-1)^1.7+50 )*1.12 )</a:t>
          </a:r>
          <a:endParaRPr lang="zh-CN" altLang="en-US" sz="1000"/>
        </a:p>
      </xdr:txBody>
    </xdr:sp>
    <xdr:clientData/>
  </xdr:twoCellAnchor>
  <xdr:twoCellAnchor>
    <xdr:from>
      <xdr:col>14</xdr:col>
      <xdr:colOff>19050</xdr:colOff>
      <xdr:row>5</xdr:row>
      <xdr:rowOff>1</xdr:rowOff>
    </xdr:from>
    <xdr:to>
      <xdr:col>31</xdr:col>
      <xdr:colOff>666750</xdr:colOff>
      <xdr:row>8</xdr:row>
      <xdr:rowOff>38101</xdr:rowOff>
    </xdr:to>
    <xdr:sp macro="" textlink="">
      <xdr:nvSpPr>
        <xdr:cNvPr id="3" name="矩形 2"/>
        <xdr:cNvSpPr/>
      </xdr:nvSpPr>
      <xdr:spPr>
        <a:xfrm>
          <a:off x="9620250" y="762001"/>
          <a:ext cx="1230630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/>
            <a:t>角色标准属性（不含附加属性）参考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95250</xdr:colOff>
          <xdr:row>3</xdr:row>
          <xdr:rowOff>57150</xdr:rowOff>
        </xdr:from>
        <xdr:to>
          <xdr:col>45</xdr:col>
          <xdr:colOff>619125</xdr:colOff>
          <xdr:row>6</xdr:row>
          <xdr:rowOff>0</xdr:rowOff>
        </xdr:to>
        <xdr:sp macro="" textlink="">
          <xdr:nvSpPr>
            <xdr:cNvPr id="12290" name="Rese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9</xdr:col>
      <xdr:colOff>28575</xdr:colOff>
      <xdr:row>11</xdr:row>
      <xdr:rowOff>142875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7</xdr:row>
          <xdr:rowOff>38100</xdr:rowOff>
        </xdr:from>
        <xdr:to>
          <xdr:col>11</xdr:col>
          <xdr:colOff>647700</xdr:colOff>
          <xdr:row>8</xdr:row>
          <xdr:rowOff>123825</xdr:rowOff>
        </xdr:to>
        <xdr:sp macro="" textlink="">
          <xdr:nvSpPr>
            <xdr:cNvPr id="5125" name="Scroll Bar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16</xdr:col>
      <xdr:colOff>19050</xdr:colOff>
      <xdr:row>0</xdr:row>
      <xdr:rowOff>66676</xdr:rowOff>
    </xdr:from>
    <xdr:to>
      <xdr:col>21</xdr:col>
      <xdr:colOff>638175</xdr:colOff>
      <xdr:row>14</xdr:row>
      <xdr:rowOff>57150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404812</xdr:colOff>
      <xdr:row>20</xdr:row>
      <xdr:rowOff>61912</xdr:rowOff>
    </xdr:from>
    <xdr:to>
      <xdr:col>19</xdr:col>
      <xdr:colOff>176212</xdr:colOff>
      <xdr:row>36</xdr:row>
      <xdr:rowOff>61912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57150</xdr:colOff>
      <xdr:row>9</xdr:row>
      <xdr:rowOff>147637</xdr:rowOff>
    </xdr:from>
    <xdr:to>
      <xdr:col>39</xdr:col>
      <xdr:colOff>514350</xdr:colOff>
      <xdr:row>25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361950</xdr:colOff>
      <xdr:row>9</xdr:row>
      <xdr:rowOff>33337</xdr:rowOff>
    </xdr:from>
    <xdr:to>
      <xdr:col>37</xdr:col>
      <xdr:colOff>409575</xdr:colOff>
      <xdr:row>25</xdr:row>
      <xdr:rowOff>33337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95250</xdr:colOff>
      <xdr:row>7</xdr:row>
      <xdr:rowOff>76200</xdr:rowOff>
    </xdr:from>
    <xdr:to>
      <xdr:col>12</xdr:col>
      <xdr:colOff>219075</xdr:colOff>
      <xdr:row>23</xdr:row>
      <xdr:rowOff>42862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257175</xdr:colOff>
      <xdr:row>6</xdr:row>
      <xdr:rowOff>33337</xdr:rowOff>
    </xdr:from>
    <xdr:to>
      <xdr:col>25</xdr:col>
      <xdr:colOff>180975</xdr:colOff>
      <xdr:row>22</xdr:row>
      <xdr:rowOff>33337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9</xdr:row>
      <xdr:rowOff>71437</xdr:rowOff>
    </xdr:from>
    <xdr:to>
      <xdr:col>15</xdr:col>
      <xdr:colOff>371475</xdr:colOff>
      <xdr:row>27</xdr:row>
      <xdr:rowOff>71437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0</xdr:row>
          <xdr:rowOff>95250</xdr:rowOff>
        </xdr:from>
        <xdr:to>
          <xdr:col>4</xdr:col>
          <xdr:colOff>390525</xdr:colOff>
          <xdr:row>2</xdr:row>
          <xdr:rowOff>133350</xdr:rowOff>
        </xdr:to>
        <xdr:sp macro="" textlink="">
          <xdr:nvSpPr>
            <xdr:cNvPr id="11265" name="Start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85725</xdr:rowOff>
        </xdr:from>
        <xdr:to>
          <xdr:col>6</xdr:col>
          <xdr:colOff>114300</xdr:colOff>
          <xdr:row>2</xdr:row>
          <xdr:rowOff>133350</xdr:rowOff>
        </xdr:to>
        <xdr:sp macro="" textlink="">
          <xdr:nvSpPr>
            <xdr:cNvPr id="11266" name="Clear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3</xdr:row>
          <xdr:rowOff>66675</xdr:rowOff>
        </xdr:from>
        <xdr:to>
          <xdr:col>4</xdr:col>
          <xdr:colOff>561975</xdr:colOff>
          <xdr:row>5</xdr:row>
          <xdr:rowOff>85725</xdr:rowOff>
        </xdr:to>
        <xdr:sp macro="" textlink="">
          <xdr:nvSpPr>
            <xdr:cNvPr id="19461" name="Drop1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7</xdr:row>
          <xdr:rowOff>76200</xdr:rowOff>
        </xdr:from>
        <xdr:to>
          <xdr:col>4</xdr:col>
          <xdr:colOff>561975</xdr:colOff>
          <xdr:row>9</xdr:row>
          <xdr:rowOff>95250</xdr:rowOff>
        </xdr:to>
        <xdr:sp macro="" textlink="">
          <xdr:nvSpPr>
            <xdr:cNvPr id="19462" name="drop2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11</xdr:row>
          <xdr:rowOff>76200</xdr:rowOff>
        </xdr:from>
        <xdr:to>
          <xdr:col>4</xdr:col>
          <xdr:colOff>561975</xdr:colOff>
          <xdr:row>13</xdr:row>
          <xdr:rowOff>95250</xdr:rowOff>
        </xdr:to>
        <xdr:sp macro="" textlink="">
          <xdr:nvSpPr>
            <xdr:cNvPr id="19463" name="drop3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19</xdr:row>
          <xdr:rowOff>66675</xdr:rowOff>
        </xdr:from>
        <xdr:to>
          <xdr:col>4</xdr:col>
          <xdr:colOff>561975</xdr:colOff>
          <xdr:row>21</xdr:row>
          <xdr:rowOff>85725</xdr:rowOff>
        </xdr:to>
        <xdr:sp macro="" textlink="">
          <xdr:nvSpPr>
            <xdr:cNvPr id="19464" name="drop5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15</xdr:row>
          <xdr:rowOff>76200</xdr:rowOff>
        </xdr:from>
        <xdr:to>
          <xdr:col>4</xdr:col>
          <xdr:colOff>561975</xdr:colOff>
          <xdr:row>17</xdr:row>
          <xdr:rowOff>95250</xdr:rowOff>
        </xdr:to>
        <xdr:sp macro="" textlink="">
          <xdr:nvSpPr>
            <xdr:cNvPr id="19465" name="drop4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23</xdr:row>
          <xdr:rowOff>66675</xdr:rowOff>
        </xdr:from>
        <xdr:to>
          <xdr:col>4</xdr:col>
          <xdr:colOff>561975</xdr:colOff>
          <xdr:row>25</xdr:row>
          <xdr:rowOff>85725</xdr:rowOff>
        </xdr:to>
        <xdr:sp macro="" textlink="">
          <xdr:nvSpPr>
            <xdr:cNvPr id="19472" name="Drop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27</xdr:row>
          <xdr:rowOff>66675</xdr:rowOff>
        </xdr:from>
        <xdr:to>
          <xdr:col>4</xdr:col>
          <xdr:colOff>561975</xdr:colOff>
          <xdr:row>29</xdr:row>
          <xdr:rowOff>85725</xdr:rowOff>
        </xdr:to>
        <xdr:sp macro="" textlink="">
          <xdr:nvSpPr>
            <xdr:cNvPr id="19473" name="Drop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31</xdr:row>
          <xdr:rowOff>66675</xdr:rowOff>
        </xdr:from>
        <xdr:to>
          <xdr:col>4</xdr:col>
          <xdr:colOff>561975</xdr:colOff>
          <xdr:row>33</xdr:row>
          <xdr:rowOff>85725</xdr:rowOff>
        </xdr:to>
        <xdr:sp macro="" textlink="">
          <xdr:nvSpPr>
            <xdr:cNvPr id="19474" name="Drop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35</xdr:row>
          <xdr:rowOff>66675</xdr:rowOff>
        </xdr:from>
        <xdr:to>
          <xdr:col>4</xdr:col>
          <xdr:colOff>561975</xdr:colOff>
          <xdr:row>37</xdr:row>
          <xdr:rowOff>85725</xdr:rowOff>
        </xdr:to>
        <xdr:sp macro="" textlink="">
          <xdr:nvSpPr>
            <xdr:cNvPr id="19475" name="Drop9" hidden="1">
              <a:extLst>
                <a:ext uri="{63B3BB69-23CF-44E3-9099-C40C66FF867C}">
                  <a14:compatExt spid="_x0000_s19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42"/>
  <sheetViews>
    <sheetView workbookViewId="0">
      <selection activeCell="G14" sqref="G14"/>
    </sheetView>
  </sheetViews>
  <sheetFormatPr defaultRowHeight="12" x14ac:dyDescent="0.15"/>
  <cols>
    <col min="1" max="3" width="9" style="17"/>
    <col min="4" max="5" width="14.375" style="17" customWidth="1"/>
    <col min="6" max="6" width="56.875" style="17" bestFit="1" customWidth="1"/>
    <col min="7" max="15" width="9" style="17"/>
    <col min="16" max="16" width="8.5" style="17" bestFit="1" customWidth="1"/>
    <col min="17" max="17" width="9.625" style="17" bestFit="1" customWidth="1"/>
    <col min="18" max="16384" width="9" style="17"/>
  </cols>
  <sheetData>
    <row r="2" spans="2:6" x14ac:dyDescent="0.15">
      <c r="B2" s="19" t="s">
        <v>7</v>
      </c>
      <c r="C2" s="19" t="s">
        <v>8</v>
      </c>
      <c r="D2" s="19" t="s">
        <v>37</v>
      </c>
      <c r="E2" s="19" t="s">
        <v>29</v>
      </c>
      <c r="F2" s="19" t="s">
        <v>6</v>
      </c>
    </row>
    <row r="3" spans="2:6" x14ac:dyDescent="0.15">
      <c r="B3" s="20"/>
      <c r="C3" s="20"/>
      <c r="D3" s="113" t="s">
        <v>176</v>
      </c>
      <c r="E3" s="113"/>
      <c r="F3" s="113"/>
    </row>
    <row r="4" spans="2:6" x14ac:dyDescent="0.15">
      <c r="B4" s="18" t="s">
        <v>38</v>
      </c>
      <c r="C4" s="18" t="s">
        <v>38</v>
      </c>
      <c r="D4" s="18" t="s">
        <v>0</v>
      </c>
      <c r="E4" s="18" t="s">
        <v>30</v>
      </c>
      <c r="F4" s="18" t="s">
        <v>43</v>
      </c>
    </row>
    <row r="5" spans="2:6" x14ac:dyDescent="0.15">
      <c r="B5" s="21" t="s">
        <v>38</v>
      </c>
      <c r="C5" s="21" t="s">
        <v>38</v>
      </c>
      <c r="D5" s="21" t="s">
        <v>1</v>
      </c>
      <c r="E5" s="21" t="s">
        <v>30</v>
      </c>
      <c r="F5" s="21" t="s">
        <v>14</v>
      </c>
    </row>
    <row r="6" spans="2:6" x14ac:dyDescent="0.15">
      <c r="B6" s="18" t="s">
        <v>38</v>
      </c>
      <c r="C6" s="18" t="s">
        <v>38</v>
      </c>
      <c r="D6" s="18" t="s">
        <v>2</v>
      </c>
      <c r="E6" s="18" t="s">
        <v>30</v>
      </c>
      <c r="F6" s="18" t="s">
        <v>41</v>
      </c>
    </row>
    <row r="7" spans="2:6" x14ac:dyDescent="0.15">
      <c r="B7" s="21" t="s">
        <v>38</v>
      </c>
      <c r="C7" s="21" t="s">
        <v>38</v>
      </c>
      <c r="D7" s="21" t="s">
        <v>164</v>
      </c>
      <c r="E7" s="21" t="s">
        <v>30</v>
      </c>
      <c r="F7" s="21" t="s">
        <v>42</v>
      </c>
    </row>
    <row r="8" spans="2:6" x14ac:dyDescent="0.15">
      <c r="B8" s="18" t="s">
        <v>38</v>
      </c>
      <c r="C8" s="18" t="s">
        <v>38</v>
      </c>
      <c r="D8" s="18" t="s">
        <v>3</v>
      </c>
      <c r="E8" s="18" t="s">
        <v>30</v>
      </c>
      <c r="F8" s="18" t="s">
        <v>27</v>
      </c>
    </row>
    <row r="9" spans="2:6" x14ac:dyDescent="0.15">
      <c r="B9" s="21" t="s">
        <v>38</v>
      </c>
      <c r="C9" s="21" t="s">
        <v>38</v>
      </c>
      <c r="D9" s="21" t="s">
        <v>4</v>
      </c>
      <c r="E9" s="21" t="s">
        <v>30</v>
      </c>
      <c r="F9" s="21" t="s">
        <v>28</v>
      </c>
    </row>
    <row r="10" spans="2:6" x14ac:dyDescent="0.15">
      <c r="B10" s="18" t="s">
        <v>38</v>
      </c>
      <c r="C10" s="18" t="s">
        <v>38</v>
      </c>
      <c r="D10" s="18" t="s">
        <v>5</v>
      </c>
      <c r="E10" s="18" t="s">
        <v>30</v>
      </c>
      <c r="F10" s="18" t="s">
        <v>33</v>
      </c>
    </row>
    <row r="11" spans="2:6" x14ac:dyDescent="0.15">
      <c r="B11" s="21" t="s">
        <v>38</v>
      </c>
      <c r="C11" s="21" t="s">
        <v>38</v>
      </c>
      <c r="D11" s="21" t="s">
        <v>31</v>
      </c>
      <c r="E11" s="21" t="s">
        <v>30</v>
      </c>
      <c r="F11" s="21" t="s">
        <v>32</v>
      </c>
    </row>
    <row r="12" spans="2:6" x14ac:dyDescent="0.15">
      <c r="B12" s="20"/>
      <c r="C12" s="20"/>
      <c r="D12" s="113" t="s">
        <v>181</v>
      </c>
      <c r="E12" s="113"/>
      <c r="F12" s="113"/>
    </row>
    <row r="13" spans="2:6" x14ac:dyDescent="0.15">
      <c r="B13" s="18" t="s">
        <v>38</v>
      </c>
      <c r="C13" s="18"/>
      <c r="D13" s="18" t="s">
        <v>9</v>
      </c>
      <c r="E13" s="18" t="s">
        <v>30</v>
      </c>
      <c r="F13" s="18" t="s">
        <v>192</v>
      </c>
    </row>
    <row r="14" spans="2:6" x14ac:dyDescent="0.15">
      <c r="B14" s="21" t="s">
        <v>38</v>
      </c>
      <c r="C14" s="21"/>
      <c r="D14" s="21" t="s">
        <v>205</v>
      </c>
      <c r="E14" s="21" t="s">
        <v>30</v>
      </c>
      <c r="F14" s="21" t="s">
        <v>206</v>
      </c>
    </row>
    <row r="15" spans="2:6" x14ac:dyDescent="0.15">
      <c r="B15" s="18" t="s">
        <v>38</v>
      </c>
      <c r="C15" s="18"/>
      <c r="D15" s="18" t="s">
        <v>10</v>
      </c>
      <c r="E15" s="18" t="s">
        <v>30</v>
      </c>
      <c r="F15" s="18" t="s">
        <v>177</v>
      </c>
    </row>
    <row r="16" spans="2:6" x14ac:dyDescent="0.15">
      <c r="B16" s="21" t="s">
        <v>38</v>
      </c>
      <c r="C16" s="21"/>
      <c r="D16" s="21" t="s">
        <v>11</v>
      </c>
      <c r="E16" s="21" t="s">
        <v>30</v>
      </c>
      <c r="F16" s="21" t="s">
        <v>178</v>
      </c>
    </row>
    <row r="17" spans="2:19" x14ac:dyDescent="0.15">
      <c r="B17" s="18" t="s">
        <v>38</v>
      </c>
      <c r="C17" s="18"/>
      <c r="D17" s="18" t="s">
        <v>12</v>
      </c>
      <c r="E17" s="18" t="s">
        <v>30</v>
      </c>
      <c r="F17" s="18" t="s">
        <v>190</v>
      </c>
    </row>
    <row r="18" spans="2:19" x14ac:dyDescent="0.15">
      <c r="B18" s="21" t="s">
        <v>38</v>
      </c>
      <c r="C18" s="21"/>
      <c r="D18" s="21" t="s">
        <v>13</v>
      </c>
      <c r="E18" s="21" t="s">
        <v>30</v>
      </c>
      <c r="F18" s="21" t="s">
        <v>191</v>
      </c>
    </row>
    <row r="19" spans="2:19" x14ac:dyDescent="0.15">
      <c r="B19" s="20"/>
      <c r="C19" s="20"/>
      <c r="D19" s="113" t="s">
        <v>175</v>
      </c>
      <c r="E19" s="113"/>
      <c r="F19" s="113"/>
      <c r="H19" s="23" t="s">
        <v>81</v>
      </c>
      <c r="I19" s="23" t="s">
        <v>88</v>
      </c>
      <c r="J19" s="23" t="s">
        <v>89</v>
      </c>
      <c r="K19" s="23" t="s">
        <v>90</v>
      </c>
      <c r="L19" s="23" t="s">
        <v>91</v>
      </c>
      <c r="M19" s="23" t="s">
        <v>92</v>
      </c>
      <c r="N19" s="23" t="s">
        <v>80</v>
      </c>
      <c r="O19" s="23" t="s">
        <v>93</v>
      </c>
      <c r="P19" s="23" t="s">
        <v>94</v>
      </c>
      <c r="Q19" s="23" t="s">
        <v>96</v>
      </c>
    </row>
    <row r="20" spans="2:19" x14ac:dyDescent="0.15">
      <c r="B20" s="18"/>
      <c r="C20" s="18"/>
      <c r="D20" s="18" t="s">
        <v>15</v>
      </c>
      <c r="E20" s="18" t="s">
        <v>34</v>
      </c>
      <c r="F20" s="18" t="s">
        <v>182</v>
      </c>
      <c r="H20" s="24" t="s">
        <v>82</v>
      </c>
      <c r="I20" s="25"/>
      <c r="J20" s="25"/>
      <c r="K20" s="25" t="s">
        <v>95</v>
      </c>
      <c r="L20" s="25"/>
      <c r="M20" s="25"/>
      <c r="N20" s="25"/>
      <c r="O20" s="25"/>
      <c r="P20" s="25"/>
      <c r="Q20" s="25">
        <f>COUNTA(I20:P20)</f>
        <v>1</v>
      </c>
    </row>
    <row r="21" spans="2:19" x14ac:dyDescent="0.15">
      <c r="B21" s="18"/>
      <c r="C21" s="18"/>
      <c r="D21" s="18" t="s">
        <v>16</v>
      </c>
      <c r="E21" s="18" t="s">
        <v>34</v>
      </c>
      <c r="F21" s="18" t="s">
        <v>183</v>
      </c>
      <c r="H21" s="26" t="s">
        <v>83</v>
      </c>
      <c r="I21" s="27" t="s">
        <v>95</v>
      </c>
      <c r="J21" s="27"/>
      <c r="K21" s="27"/>
      <c r="L21" s="27" t="s">
        <v>95</v>
      </c>
      <c r="M21" s="27"/>
      <c r="N21" s="27"/>
      <c r="O21" s="27"/>
      <c r="P21" s="27"/>
      <c r="Q21" s="27">
        <f t="shared" ref="Q21:Q27" si="0">COUNTA(I21:P21)</f>
        <v>2</v>
      </c>
    </row>
    <row r="22" spans="2:19" x14ac:dyDescent="0.15">
      <c r="B22" s="18"/>
      <c r="C22" s="18"/>
      <c r="D22" s="18" t="s">
        <v>664</v>
      </c>
      <c r="E22" s="18" t="s">
        <v>34</v>
      </c>
      <c r="F22" s="18" t="s">
        <v>184</v>
      </c>
      <c r="H22" s="24" t="s">
        <v>84</v>
      </c>
      <c r="I22" s="25" t="s">
        <v>95</v>
      </c>
      <c r="J22" s="25"/>
      <c r="K22" s="25"/>
      <c r="L22" s="25" t="s">
        <v>95</v>
      </c>
      <c r="M22" s="25"/>
      <c r="N22" s="25"/>
      <c r="O22" s="25"/>
      <c r="P22" s="25"/>
      <c r="Q22" s="25">
        <f t="shared" si="0"/>
        <v>2</v>
      </c>
    </row>
    <row r="23" spans="2:19" x14ac:dyDescent="0.15">
      <c r="B23" s="18"/>
      <c r="C23" s="18"/>
      <c r="D23" s="18" t="s">
        <v>17</v>
      </c>
      <c r="E23" s="18" t="s">
        <v>34</v>
      </c>
      <c r="F23" s="18" t="s">
        <v>185</v>
      </c>
      <c r="H23" s="26" t="s">
        <v>85</v>
      </c>
      <c r="I23" s="27"/>
      <c r="J23" s="27" t="s">
        <v>95</v>
      </c>
      <c r="K23" s="27"/>
      <c r="L23" s="27"/>
      <c r="M23" s="27"/>
      <c r="N23" s="27"/>
      <c r="O23" s="27"/>
      <c r="P23" s="27" t="s">
        <v>95</v>
      </c>
      <c r="Q23" s="27">
        <f t="shared" si="0"/>
        <v>2</v>
      </c>
    </row>
    <row r="24" spans="2:19" x14ac:dyDescent="0.15">
      <c r="B24" s="18"/>
      <c r="C24" s="18"/>
      <c r="D24" s="18" t="s">
        <v>18</v>
      </c>
      <c r="E24" s="18" t="s">
        <v>34</v>
      </c>
      <c r="F24" s="18" t="s">
        <v>186</v>
      </c>
      <c r="H24" s="24" t="s">
        <v>86</v>
      </c>
      <c r="I24" s="25"/>
      <c r="J24" s="25" t="s">
        <v>95</v>
      </c>
      <c r="K24" s="25"/>
      <c r="L24" s="25" t="s">
        <v>95</v>
      </c>
      <c r="M24" s="25"/>
      <c r="N24" s="25"/>
      <c r="O24" s="25"/>
      <c r="P24" s="25"/>
      <c r="Q24" s="25">
        <f t="shared" si="0"/>
        <v>2</v>
      </c>
    </row>
    <row r="25" spans="2:19" x14ac:dyDescent="0.15">
      <c r="B25" s="18"/>
      <c r="C25" s="18"/>
      <c r="D25" s="18" t="s">
        <v>19</v>
      </c>
      <c r="E25" s="18" t="s">
        <v>34</v>
      </c>
      <c r="F25" s="18" t="s">
        <v>187</v>
      </c>
      <c r="H25" s="26" t="s">
        <v>87</v>
      </c>
      <c r="I25" s="27"/>
      <c r="J25" s="27"/>
      <c r="K25" s="27"/>
      <c r="L25" s="27" t="s">
        <v>95</v>
      </c>
      <c r="M25" s="27"/>
      <c r="N25" s="27" t="s">
        <v>95</v>
      </c>
      <c r="O25" s="27"/>
      <c r="P25" s="27"/>
      <c r="Q25" s="27">
        <f t="shared" si="0"/>
        <v>2</v>
      </c>
    </row>
    <row r="26" spans="2:19" x14ac:dyDescent="0.15">
      <c r="B26" s="18"/>
      <c r="C26" s="18"/>
      <c r="D26" s="18" t="s">
        <v>22</v>
      </c>
      <c r="E26" s="18" t="s">
        <v>30</v>
      </c>
      <c r="F26" s="18" t="s">
        <v>189</v>
      </c>
      <c r="H26" s="24" t="s">
        <v>429</v>
      </c>
      <c r="I26" s="25"/>
      <c r="J26" s="25"/>
      <c r="K26" s="25"/>
      <c r="L26" s="25"/>
      <c r="M26" s="25" t="s">
        <v>95</v>
      </c>
      <c r="N26" s="25"/>
      <c r="O26" s="25"/>
      <c r="P26" s="25"/>
      <c r="Q26" s="25">
        <f t="shared" si="0"/>
        <v>1</v>
      </c>
    </row>
    <row r="27" spans="2:19" x14ac:dyDescent="0.15">
      <c r="B27" s="18"/>
      <c r="C27" s="18"/>
      <c r="D27" s="18" t="s">
        <v>23</v>
      </c>
      <c r="E27" s="18" t="s">
        <v>30</v>
      </c>
      <c r="F27" s="18" t="s">
        <v>188</v>
      </c>
      <c r="H27" s="26" t="s">
        <v>432</v>
      </c>
      <c r="I27" s="27"/>
      <c r="J27" s="27"/>
      <c r="K27" s="27"/>
      <c r="L27" s="27"/>
      <c r="M27" s="27"/>
      <c r="N27" s="27"/>
      <c r="O27" s="27" t="s">
        <v>95</v>
      </c>
      <c r="P27" s="27"/>
      <c r="Q27" s="27">
        <f t="shared" si="0"/>
        <v>1</v>
      </c>
    </row>
    <row r="29" spans="2:19" x14ac:dyDescent="0.15">
      <c r="B29" s="18"/>
      <c r="C29" s="18"/>
      <c r="D29" s="18" t="s">
        <v>44</v>
      </c>
      <c r="E29" s="18" t="s">
        <v>30</v>
      </c>
      <c r="F29" s="18" t="s">
        <v>45</v>
      </c>
    </row>
    <row r="30" spans="2:19" x14ac:dyDescent="0.15">
      <c r="B30" s="18"/>
      <c r="C30" s="18"/>
      <c r="D30" s="18" t="s">
        <v>179</v>
      </c>
      <c r="E30" s="18" t="s">
        <v>30</v>
      </c>
      <c r="F30" s="18" t="s">
        <v>180</v>
      </c>
      <c r="H30" s="28" t="s">
        <v>78</v>
      </c>
      <c r="I30" s="28" t="s">
        <v>79</v>
      </c>
      <c r="J30" s="28" t="s">
        <v>111</v>
      </c>
      <c r="L30" s="28" t="s">
        <v>107</v>
      </c>
      <c r="M30" s="28" t="s">
        <v>108</v>
      </c>
      <c r="N30" s="28" t="s">
        <v>111</v>
      </c>
      <c r="P30" s="28" t="s">
        <v>109</v>
      </c>
      <c r="Q30" s="28" t="s">
        <v>110</v>
      </c>
      <c r="R30" s="28" t="s">
        <v>111</v>
      </c>
    </row>
    <row r="31" spans="2:19" x14ac:dyDescent="0.15">
      <c r="B31" s="18"/>
      <c r="C31" s="18"/>
      <c r="D31" s="18" t="s">
        <v>21</v>
      </c>
      <c r="E31" s="18" t="s">
        <v>30</v>
      </c>
      <c r="F31" s="18" t="s">
        <v>40</v>
      </c>
      <c r="H31" s="17">
        <v>100</v>
      </c>
      <c r="I31" s="17">
        <f ca="1">RANDBETWEEN(H31/4,H31*3/4)</f>
        <v>56</v>
      </c>
      <c r="J31" s="22">
        <f t="shared" ref="J31:J41" ca="1" si="1">INT((H31*RANDBETWEEN(80,120)/100)^2/(I31+H31))</f>
        <v>86</v>
      </c>
      <c r="L31" s="17">
        <v>100</v>
      </c>
      <c r="M31" s="17">
        <f t="shared" ref="M31:M41" ca="1" si="2">RANDBETWEEN(L31/10,L31/2)</f>
        <v>44</v>
      </c>
      <c r="N31" s="22">
        <f ca="1">L31/(L31+M31*15)</f>
        <v>0.13157894736842105</v>
      </c>
      <c r="O31" s="35">
        <f ca="1">N31</f>
        <v>0.13157894736842105</v>
      </c>
      <c r="P31" s="17">
        <v>100</v>
      </c>
      <c r="Q31" s="17">
        <f ca="1">RANDBETWEEN(P31/10,P31/2)</f>
        <v>44</v>
      </c>
      <c r="R31" s="22">
        <f ca="1">P31/((P31+Q31)*0.99)</f>
        <v>0.70145903479236815</v>
      </c>
      <c r="S31" s="35">
        <f ca="1">R31</f>
        <v>0.70145903479236815</v>
      </c>
    </row>
    <row r="32" spans="2:19" x14ac:dyDescent="0.15">
      <c r="B32" s="18"/>
      <c r="C32" s="18"/>
      <c r="D32" s="18" t="s">
        <v>207</v>
      </c>
      <c r="E32" s="18" t="s">
        <v>30</v>
      </c>
      <c r="F32" s="18" t="s">
        <v>208</v>
      </c>
      <c r="H32" s="17">
        <v>200</v>
      </c>
      <c r="I32" s="17">
        <f t="shared" ref="I32:I41" ca="1" si="3">RANDBETWEEN(H32/4,H32*3/4)</f>
        <v>76</v>
      </c>
      <c r="J32" s="22">
        <f t="shared" ca="1" si="1"/>
        <v>114</v>
      </c>
      <c r="L32" s="17">
        <v>200</v>
      </c>
      <c r="M32" s="17">
        <f t="shared" ca="1" si="2"/>
        <v>67</v>
      </c>
      <c r="N32" s="22">
        <f t="shared" ref="N32:N41" ca="1" si="4">L32/(L32+M32*15)</f>
        <v>0.16597510373443983</v>
      </c>
      <c r="O32" s="35">
        <f t="shared" ref="O32:O41" ca="1" si="5">N32</f>
        <v>0.16597510373443983</v>
      </c>
      <c r="P32" s="17">
        <v>200</v>
      </c>
      <c r="Q32" s="17">
        <f t="shared" ref="Q32:Q41" ca="1" si="6">RANDBETWEEN(P32/10,P32/2)</f>
        <v>65</v>
      </c>
      <c r="R32" s="22">
        <f t="shared" ref="R32:R41" ca="1" si="7">P32/((P32+Q32)*0.99)</f>
        <v>0.76234038498189438</v>
      </c>
      <c r="S32" s="35">
        <f t="shared" ref="S32:S41" ca="1" si="8">R32</f>
        <v>0.76234038498189438</v>
      </c>
    </row>
    <row r="33" spans="2:19" x14ac:dyDescent="0.15">
      <c r="B33" s="18"/>
      <c r="C33" s="18"/>
      <c r="D33" s="18" t="s">
        <v>193</v>
      </c>
      <c r="E33" s="18" t="s">
        <v>30</v>
      </c>
      <c r="F33" s="18" t="s">
        <v>194</v>
      </c>
      <c r="H33" s="17">
        <v>300</v>
      </c>
      <c r="I33" s="17">
        <f t="shared" ca="1" si="3"/>
        <v>93</v>
      </c>
      <c r="J33" s="22">
        <f t="shared" ca="1" si="1"/>
        <v>219</v>
      </c>
      <c r="L33" s="17">
        <v>300</v>
      </c>
      <c r="M33" s="17">
        <f t="shared" ca="1" si="2"/>
        <v>54</v>
      </c>
      <c r="N33" s="22">
        <f t="shared" ca="1" si="4"/>
        <v>0.27027027027027029</v>
      </c>
      <c r="O33" s="35">
        <f t="shared" ca="1" si="5"/>
        <v>0.27027027027027029</v>
      </c>
      <c r="P33" s="17">
        <v>300</v>
      </c>
      <c r="Q33" s="17">
        <f t="shared" ca="1" si="6"/>
        <v>74</v>
      </c>
      <c r="R33" s="22">
        <f t="shared" ca="1" si="7"/>
        <v>0.81024145195268193</v>
      </c>
      <c r="S33" s="35">
        <f t="shared" ca="1" si="8"/>
        <v>0.81024145195268193</v>
      </c>
    </row>
    <row r="34" spans="2:19" x14ac:dyDescent="0.15">
      <c r="B34" s="18"/>
      <c r="C34" s="18"/>
      <c r="D34" s="18" t="s">
        <v>195</v>
      </c>
      <c r="E34" s="18" t="s">
        <v>30</v>
      </c>
      <c r="F34" s="18" t="s">
        <v>196</v>
      </c>
      <c r="H34" s="17">
        <v>400</v>
      </c>
      <c r="I34" s="17">
        <f t="shared" ca="1" si="3"/>
        <v>237</v>
      </c>
      <c r="J34" s="22">
        <f t="shared" ca="1" si="1"/>
        <v>337</v>
      </c>
      <c r="L34" s="17">
        <v>400</v>
      </c>
      <c r="M34" s="17">
        <f t="shared" ca="1" si="2"/>
        <v>92</v>
      </c>
      <c r="N34" s="22">
        <f t="shared" ca="1" si="4"/>
        <v>0.2247191011235955</v>
      </c>
      <c r="O34" s="35">
        <f t="shared" ca="1" si="5"/>
        <v>0.2247191011235955</v>
      </c>
      <c r="P34" s="17">
        <v>400</v>
      </c>
      <c r="Q34" s="17">
        <f t="shared" ca="1" si="6"/>
        <v>60</v>
      </c>
      <c r="R34" s="22">
        <f t="shared" ca="1" si="7"/>
        <v>0.87834870443566104</v>
      </c>
      <c r="S34" s="35">
        <f t="shared" ca="1" si="8"/>
        <v>0.87834870443566104</v>
      </c>
    </row>
    <row r="35" spans="2:19" x14ac:dyDescent="0.15">
      <c r="B35" s="18"/>
      <c r="C35" s="18"/>
      <c r="D35" s="18" t="s">
        <v>197</v>
      </c>
      <c r="E35" s="18" t="s">
        <v>30</v>
      </c>
      <c r="F35" s="18" t="s">
        <v>198</v>
      </c>
      <c r="H35" s="17">
        <v>500</v>
      </c>
      <c r="I35" s="17">
        <f t="shared" ca="1" si="3"/>
        <v>145</v>
      </c>
      <c r="J35" s="22">
        <f t="shared" ca="1" si="1"/>
        <v>357</v>
      </c>
      <c r="L35" s="17">
        <v>500</v>
      </c>
      <c r="M35" s="17">
        <f t="shared" ca="1" si="2"/>
        <v>243</v>
      </c>
      <c r="N35" s="22">
        <f t="shared" ca="1" si="4"/>
        <v>0.12062726176115803</v>
      </c>
      <c r="O35" s="35">
        <f t="shared" ca="1" si="5"/>
        <v>0.12062726176115803</v>
      </c>
      <c r="P35" s="17">
        <v>500</v>
      </c>
      <c r="Q35" s="17">
        <f t="shared" ca="1" si="6"/>
        <v>174</v>
      </c>
      <c r="R35" s="22">
        <f t="shared" ca="1" si="7"/>
        <v>0.74933309354674338</v>
      </c>
      <c r="S35" s="35">
        <f t="shared" ca="1" si="8"/>
        <v>0.74933309354674338</v>
      </c>
    </row>
    <row r="36" spans="2:19" x14ac:dyDescent="0.15">
      <c r="B36" s="18"/>
      <c r="C36" s="18"/>
      <c r="D36" s="18" t="s">
        <v>199</v>
      </c>
      <c r="E36" s="18" t="s">
        <v>30</v>
      </c>
      <c r="F36" s="18" t="s">
        <v>200</v>
      </c>
      <c r="H36" s="17">
        <v>600</v>
      </c>
      <c r="I36" s="17">
        <f t="shared" ca="1" si="3"/>
        <v>448</v>
      </c>
      <c r="J36" s="22">
        <f t="shared" ca="1" si="1"/>
        <v>408</v>
      </c>
      <c r="L36" s="17">
        <v>600</v>
      </c>
      <c r="M36" s="17">
        <f t="shared" ca="1" si="2"/>
        <v>178</v>
      </c>
      <c r="N36" s="22">
        <f t="shared" ca="1" si="4"/>
        <v>0.1834862385321101</v>
      </c>
      <c r="O36" s="35">
        <f t="shared" ca="1" si="5"/>
        <v>0.1834862385321101</v>
      </c>
      <c r="P36" s="17">
        <v>600</v>
      </c>
      <c r="Q36" s="17">
        <f t="shared" ca="1" si="6"/>
        <v>130</v>
      </c>
      <c r="R36" s="22">
        <f t="shared" ca="1" si="7"/>
        <v>0.8302200083022</v>
      </c>
      <c r="S36" s="35">
        <f t="shared" ca="1" si="8"/>
        <v>0.8302200083022</v>
      </c>
    </row>
    <row r="37" spans="2:19" x14ac:dyDescent="0.15">
      <c r="B37" s="18"/>
      <c r="C37" s="18"/>
      <c r="D37" s="18" t="s">
        <v>24</v>
      </c>
      <c r="E37" s="18" t="s">
        <v>30</v>
      </c>
      <c r="F37" s="18" t="s">
        <v>201</v>
      </c>
      <c r="H37" s="17">
        <v>700</v>
      </c>
      <c r="I37" s="17">
        <f t="shared" ca="1" si="3"/>
        <v>418</v>
      </c>
      <c r="J37" s="22">
        <f t="shared" ca="1" si="1"/>
        <v>309</v>
      </c>
      <c r="L37" s="17">
        <v>700</v>
      </c>
      <c r="M37" s="17">
        <f t="shared" ca="1" si="2"/>
        <v>126</v>
      </c>
      <c r="N37" s="22">
        <f t="shared" ca="1" si="4"/>
        <v>0.27027027027027029</v>
      </c>
      <c r="O37" s="35">
        <f t="shared" ca="1" si="5"/>
        <v>0.27027027027027029</v>
      </c>
      <c r="P37" s="17">
        <v>700</v>
      </c>
      <c r="Q37" s="17">
        <f t="shared" ca="1" si="6"/>
        <v>348</v>
      </c>
      <c r="R37" s="22">
        <f t="shared" ca="1" si="7"/>
        <v>0.67468578918960598</v>
      </c>
      <c r="S37" s="35">
        <f t="shared" ca="1" si="8"/>
        <v>0.67468578918960598</v>
      </c>
    </row>
    <row r="38" spans="2:19" x14ac:dyDescent="0.15">
      <c r="H38" s="17">
        <v>800</v>
      </c>
      <c r="I38" s="17">
        <f t="shared" ca="1" si="3"/>
        <v>233</v>
      </c>
      <c r="J38" s="22">
        <f t="shared" ca="1" si="1"/>
        <v>447</v>
      </c>
      <c r="L38" s="17">
        <v>800</v>
      </c>
      <c r="M38" s="17">
        <f t="shared" ca="1" si="2"/>
        <v>182</v>
      </c>
      <c r="N38" s="22">
        <f t="shared" ca="1" si="4"/>
        <v>0.22662889518413598</v>
      </c>
      <c r="O38" s="35">
        <f t="shared" ca="1" si="5"/>
        <v>0.22662889518413598</v>
      </c>
      <c r="P38" s="17">
        <v>800</v>
      </c>
      <c r="Q38" s="17">
        <f t="shared" ca="1" si="6"/>
        <v>114</v>
      </c>
      <c r="R38" s="22">
        <f t="shared" ca="1" si="7"/>
        <v>0.88411466967265651</v>
      </c>
      <c r="S38" s="35">
        <f t="shared" ca="1" si="8"/>
        <v>0.88411466967265651</v>
      </c>
    </row>
    <row r="39" spans="2:19" x14ac:dyDescent="0.15">
      <c r="B39" s="18"/>
      <c r="C39" s="18"/>
      <c r="D39" s="18" t="s">
        <v>25</v>
      </c>
      <c r="E39" s="18" t="s">
        <v>30</v>
      </c>
      <c r="F39" s="18" t="s">
        <v>35</v>
      </c>
      <c r="H39" s="17">
        <v>900</v>
      </c>
      <c r="I39" s="17">
        <f t="shared" ca="1" si="3"/>
        <v>658</v>
      </c>
      <c r="J39" s="22">
        <f t="shared" ca="1" si="1"/>
        <v>393</v>
      </c>
      <c r="L39" s="17">
        <v>900</v>
      </c>
      <c r="M39" s="17">
        <f t="shared" ca="1" si="2"/>
        <v>167</v>
      </c>
      <c r="N39" s="22">
        <f t="shared" ca="1" si="4"/>
        <v>0.26431718061674009</v>
      </c>
      <c r="O39" s="35">
        <f t="shared" ca="1" si="5"/>
        <v>0.26431718061674009</v>
      </c>
      <c r="P39" s="17">
        <v>900</v>
      </c>
      <c r="Q39" s="17">
        <f t="shared" ca="1" si="6"/>
        <v>347</v>
      </c>
      <c r="R39" s="22">
        <f t="shared" ca="1" si="7"/>
        <v>0.72902238098709637</v>
      </c>
      <c r="S39" s="35">
        <f t="shared" ca="1" si="8"/>
        <v>0.72902238098709637</v>
      </c>
    </row>
    <row r="40" spans="2:19" x14ac:dyDescent="0.15">
      <c r="B40" s="18"/>
      <c r="C40" s="18"/>
      <c r="D40" s="18" t="s">
        <v>26</v>
      </c>
      <c r="E40" s="18" t="s">
        <v>30</v>
      </c>
      <c r="F40" s="18" t="s">
        <v>36</v>
      </c>
      <c r="H40" s="17">
        <v>1000</v>
      </c>
      <c r="I40" s="17">
        <v>750</v>
      </c>
      <c r="J40" s="22">
        <f t="shared" ca="1" si="1"/>
        <v>755</v>
      </c>
      <c r="L40" s="17">
        <v>1000</v>
      </c>
      <c r="M40" s="17">
        <f t="shared" ca="1" si="2"/>
        <v>309</v>
      </c>
      <c r="N40" s="22">
        <f t="shared" ca="1" si="4"/>
        <v>0.1774622892635315</v>
      </c>
      <c r="O40" s="35">
        <f t="shared" ca="1" si="5"/>
        <v>0.1774622892635315</v>
      </c>
      <c r="P40" s="17">
        <v>1000</v>
      </c>
      <c r="Q40" s="17">
        <f t="shared" ca="1" si="6"/>
        <v>416</v>
      </c>
      <c r="R40" s="22">
        <f t="shared" ca="1" si="7"/>
        <v>0.71334817097528969</v>
      </c>
      <c r="S40" s="35">
        <f t="shared" ca="1" si="8"/>
        <v>0.71334817097528969</v>
      </c>
    </row>
    <row r="41" spans="2:19" x14ac:dyDescent="0.15">
      <c r="B41" s="18"/>
      <c r="C41" s="18"/>
      <c r="D41" s="18" t="s">
        <v>20</v>
      </c>
      <c r="E41" s="18" t="s">
        <v>30</v>
      </c>
      <c r="F41" s="18" t="s">
        <v>39</v>
      </c>
      <c r="H41" s="17">
        <v>1100</v>
      </c>
      <c r="I41" s="17">
        <f t="shared" ca="1" si="3"/>
        <v>803</v>
      </c>
      <c r="J41" s="22">
        <f t="shared" ca="1" si="1"/>
        <v>459</v>
      </c>
      <c r="L41" s="17">
        <v>1100</v>
      </c>
      <c r="M41" s="17">
        <f t="shared" ca="1" si="2"/>
        <v>314</v>
      </c>
      <c r="N41" s="22">
        <f t="shared" ca="1" si="4"/>
        <v>0.18932874354561102</v>
      </c>
      <c r="O41" s="35">
        <f t="shared" ca="1" si="5"/>
        <v>0.18932874354561102</v>
      </c>
      <c r="P41" s="17">
        <v>1100</v>
      </c>
      <c r="Q41" s="17">
        <f t="shared" ca="1" si="6"/>
        <v>239</v>
      </c>
      <c r="R41" s="22">
        <f t="shared" ca="1" si="7"/>
        <v>0.82980665504937356</v>
      </c>
      <c r="S41" s="35">
        <f t="shared" ca="1" si="8"/>
        <v>0.82980665504937356</v>
      </c>
    </row>
    <row r="42" spans="2:19" x14ac:dyDescent="0.15">
      <c r="B42" s="18"/>
      <c r="C42" s="18"/>
      <c r="D42" s="18" t="s">
        <v>209</v>
      </c>
      <c r="E42" s="18" t="s">
        <v>30</v>
      </c>
      <c r="F42" s="18" t="s">
        <v>210</v>
      </c>
    </row>
  </sheetData>
  <mergeCells count="3">
    <mergeCell ref="D12:F12"/>
    <mergeCell ref="D19:F19"/>
    <mergeCell ref="D3:F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3:AD266"/>
  <sheetViews>
    <sheetView zoomScaleNormal="100" workbookViewId="0">
      <pane ySplit="6" topLeftCell="A7" activePane="bottomLeft" state="frozen"/>
      <selection pane="bottomLeft" activeCell="C16" sqref="C16"/>
    </sheetView>
  </sheetViews>
  <sheetFormatPr defaultRowHeight="11.25" x14ac:dyDescent="0.15"/>
  <cols>
    <col min="1" max="28" width="9" style="42"/>
    <col min="29" max="30" width="11.375" style="42" bestFit="1" customWidth="1"/>
    <col min="31" max="16384" width="9" style="42"/>
  </cols>
  <sheetData>
    <row r="3" spans="2:30" x14ac:dyDescent="0.15">
      <c r="D3" s="134" t="s">
        <v>244</v>
      </c>
      <c r="E3" s="121"/>
      <c r="F3" s="121"/>
      <c r="G3" s="121"/>
      <c r="H3" s="121"/>
      <c r="I3" s="121"/>
      <c r="J3" s="122"/>
      <c r="N3" s="114" t="s">
        <v>237</v>
      </c>
      <c r="O3" s="121"/>
      <c r="P3" s="122"/>
      <c r="Q3" s="43"/>
      <c r="S3" s="123" t="s">
        <v>242</v>
      </c>
      <c r="T3" s="126"/>
      <c r="U3" s="127"/>
    </row>
    <row r="4" spans="2:30" x14ac:dyDescent="0.15">
      <c r="D4" s="135"/>
      <c r="E4" s="117"/>
      <c r="F4" s="117"/>
      <c r="G4" s="117"/>
      <c r="H4" s="117"/>
      <c r="I4" s="117"/>
      <c r="J4" s="118"/>
      <c r="N4" s="115"/>
      <c r="O4" s="117"/>
      <c r="P4" s="118"/>
      <c r="Q4" s="43"/>
      <c r="S4" s="124"/>
      <c r="T4" s="128"/>
      <c r="U4" s="129"/>
    </row>
    <row r="5" spans="2:30" x14ac:dyDescent="0.15">
      <c r="D5" s="136"/>
      <c r="E5" s="119"/>
      <c r="F5" s="119"/>
      <c r="G5" s="119"/>
      <c r="H5" s="119"/>
      <c r="I5" s="119"/>
      <c r="J5" s="120"/>
      <c r="L5" s="42" t="s">
        <v>297</v>
      </c>
      <c r="M5" s="42">
        <f>INT(((O5 - 1) ^ 2.5 + 60) * ((O5 - 1) ^ 1.7 + 50) * 1.12 / 5)</f>
        <v>956</v>
      </c>
      <c r="N5" s="115"/>
      <c r="O5" s="117">
        <v>4</v>
      </c>
      <c r="P5" s="118"/>
      <c r="Q5" s="43"/>
      <c r="S5" s="124"/>
      <c r="T5" s="128">
        <v>1</v>
      </c>
      <c r="U5" s="129"/>
      <c r="AB5" s="42" t="s">
        <v>169</v>
      </c>
      <c r="AC5" s="42" t="s">
        <v>167</v>
      </c>
      <c r="AD5" s="42" t="s">
        <v>168</v>
      </c>
    </row>
    <row r="6" spans="2:30" ht="13.5" customHeight="1" x14ac:dyDescent="0.15">
      <c r="B6" s="58" t="s">
        <v>295</v>
      </c>
      <c r="C6" s="58">
        <v>1600</v>
      </c>
      <c r="L6" s="140">
        <v>89</v>
      </c>
      <c r="M6" s="141"/>
      <c r="N6" s="116"/>
      <c r="O6" s="119"/>
      <c r="P6" s="120"/>
      <c r="Q6" s="43"/>
      <c r="S6" s="125"/>
      <c r="T6" s="130"/>
      <c r="U6" s="131"/>
      <c r="AB6" s="42">
        <v>1</v>
      </c>
      <c r="AC6" s="42">
        <f>怪物属性!V11/(怪物属性!E11^2/(怪物属性!E11+怪物属性!T11))</f>
        <v>56.799242424242429</v>
      </c>
      <c r="AD6" s="42">
        <f>怪物属性!D11/(怪物属性!R11^2/(怪物属性!R11+怪物属性!F11))</f>
        <v>4.9991666666666674</v>
      </c>
    </row>
    <row r="7" spans="2:30" x14ac:dyDescent="0.15">
      <c r="B7" s="44" t="s">
        <v>260</v>
      </c>
      <c r="C7" s="44">
        <f>SUMIF(B8:B39,"打造费用",C8:C39)</f>
        <v>0</v>
      </c>
      <c r="D7" s="55"/>
      <c r="E7" s="133" t="s">
        <v>238</v>
      </c>
      <c r="F7" s="133"/>
      <c r="G7" s="133" t="s">
        <v>239</v>
      </c>
      <c r="H7" s="133"/>
      <c r="I7" s="133" t="s">
        <v>240</v>
      </c>
      <c r="J7" s="133"/>
      <c r="K7" s="54"/>
      <c r="L7" s="42" t="s">
        <v>259</v>
      </c>
      <c r="AB7" s="42">
        <v>2</v>
      </c>
      <c r="AC7" s="42">
        <f>怪物属性!V12/(怪物属性!E12^2/(怪物属性!E12+怪物属性!T12))</f>
        <v>53.523263417333133</v>
      </c>
      <c r="AD7" s="42">
        <f>怪物属性!D12/(怪物属性!R12^2/(怪物属性!R12+怪物属性!F12))</f>
        <v>5.0113594872002922</v>
      </c>
    </row>
    <row r="8" spans="2:30" x14ac:dyDescent="0.15">
      <c r="B8" s="42" t="s">
        <v>246</v>
      </c>
      <c r="C8" s="45">
        <f>IF(I10=0,298+INT($E$10*G10^1.2*4.5),INT((298+INT($E$10*G10^1.2*4.5))*(1+VLOOKUP("强化"&amp;I10,装备属性!A2:B11,2,FALSE))))</f>
        <v>302</v>
      </c>
      <c r="D8" s="137" t="s">
        <v>82</v>
      </c>
      <c r="E8" s="137"/>
      <c r="F8" s="137"/>
      <c r="G8" s="137"/>
      <c r="H8" s="137"/>
      <c r="I8" s="137"/>
      <c r="J8" s="137"/>
      <c r="K8" s="54"/>
      <c r="L8" s="138">
        <f>VLOOKUP($O$5,怪物属性!$O$11:$AF$60,8,FALSE)</f>
        <v>3076</v>
      </c>
      <c r="M8" s="132" t="s">
        <v>2</v>
      </c>
      <c r="N8" s="132">
        <f>VLOOKUP($O$5,角色属性!$E$11:$P$60,4,FALSE)+SUMIF($B$8:$B$39,M8,$C$8:$C$39)</f>
        <v>3537</v>
      </c>
      <c r="O8" s="132"/>
      <c r="P8" s="132"/>
      <c r="S8" s="132">
        <f>VLOOKUP($T$5,怪物属性!B:K,3,FALSE)</f>
        <v>857</v>
      </c>
      <c r="T8" s="132"/>
      <c r="U8" s="132"/>
      <c r="V8" s="132" t="s">
        <v>2</v>
      </c>
      <c r="AB8" s="42">
        <v>3</v>
      </c>
      <c r="AC8" s="42">
        <f>怪物属性!V13/(怪物属性!E13^2/(怪物属性!E13+怪物属性!T13))</f>
        <v>50.664533333333331</v>
      </c>
      <c r="AD8" s="42">
        <f>怪物属性!D13/(怪物属性!R13^2/(怪物属性!R13+怪物属性!F13))</f>
        <v>5.0230339758157276</v>
      </c>
    </row>
    <row r="9" spans="2:30" ht="13.5" x14ac:dyDescent="0.15">
      <c r="C9" s="46"/>
      <c r="D9" s="132"/>
      <c r="E9" s="132"/>
      <c r="F9" s="132"/>
      <c r="G9" s="132"/>
      <c r="H9" s="132"/>
      <c r="I9" s="132"/>
      <c r="J9" s="132"/>
      <c r="K9" s="54"/>
      <c r="L9" s="139"/>
      <c r="M9" s="133"/>
      <c r="N9" s="133"/>
      <c r="O9" s="133"/>
      <c r="P9" s="133"/>
      <c r="Q9" s="54"/>
      <c r="S9" s="133"/>
      <c r="T9" s="133"/>
      <c r="U9" s="133"/>
      <c r="V9" s="133"/>
      <c r="X9" s="71" t="s">
        <v>329</v>
      </c>
      <c r="Y9" s="71" t="s">
        <v>330</v>
      </c>
      <c r="Z9" s="71" t="s">
        <v>331</v>
      </c>
      <c r="AB9" s="42">
        <v>4</v>
      </c>
      <c r="AC9" s="42">
        <f>怪物属性!V14/(怪物属性!E14^2/(怪物属性!E14+怪物属性!T14))</f>
        <v>48.182271270914917</v>
      </c>
      <c r="AD9" s="42">
        <f>怪物属性!D14/(怪物属性!R14^2/(怪物属性!R14+怪物属性!F14))</f>
        <v>5.038381162872696</v>
      </c>
    </row>
    <row r="10" spans="2:30" x14ac:dyDescent="0.15">
      <c r="C10" s="46"/>
      <c r="D10" s="132"/>
      <c r="E10" s="132">
        <v>1</v>
      </c>
      <c r="F10" s="132"/>
      <c r="G10" s="132">
        <v>1</v>
      </c>
      <c r="H10" s="132"/>
      <c r="I10" s="132">
        <v>0</v>
      </c>
      <c r="J10" s="132"/>
      <c r="K10" s="54"/>
      <c r="L10" s="138">
        <f>VLOOKUP($O$5,怪物属性!$O$11:$AF$60,18,FALSE)</f>
        <v>365</v>
      </c>
      <c r="M10" s="132" t="s">
        <v>164</v>
      </c>
      <c r="N10" s="132">
        <f>VLOOKUP($O$5,角色属性!$E$11:$P$60,5,FALSE)+SUMIF($B$8:$B$39,M10,$C$8:$C$39)</f>
        <v>611</v>
      </c>
      <c r="O10" s="132"/>
      <c r="P10" s="132"/>
      <c r="Q10" s="54"/>
      <c r="S10" s="132" t="s">
        <v>245</v>
      </c>
      <c r="T10" s="132"/>
      <c r="U10" s="132"/>
      <c r="V10" s="132" t="s">
        <v>164</v>
      </c>
      <c r="X10" s="74">
        <v>1</v>
      </c>
      <c r="Y10" s="72">
        <v>1</v>
      </c>
      <c r="Z10" s="73">
        <v>0</v>
      </c>
      <c r="AB10" s="42">
        <v>5</v>
      </c>
      <c r="AC10" s="42">
        <f>怪物属性!V15/(怪物属性!E15^2/(怪物属性!E15+怪物属性!T15))</f>
        <v>45.660165960575611</v>
      </c>
      <c r="AD10" s="42">
        <f>怪物属性!D15/(怪物属性!R15^2/(怪物属性!R15+怪物属性!F15))</f>
        <v>5.0481821954100035</v>
      </c>
    </row>
    <row r="11" spans="2:30" x14ac:dyDescent="0.15">
      <c r="B11" s="47" t="s">
        <v>258</v>
      </c>
      <c r="C11" s="48">
        <f>IF(I10=0,0,VLOOKUP(E10,装备强化!$AP$9:$AZ$58,I10+1,FALSE))+IF(G10=1,0,VLOOKUP(E10,装备升级!$AM$7:$AQ$56,G10,FALSE))</f>
        <v>0</v>
      </c>
      <c r="D11" s="133"/>
      <c r="E11" s="133"/>
      <c r="F11" s="133"/>
      <c r="G11" s="133"/>
      <c r="H11" s="133"/>
      <c r="I11" s="133"/>
      <c r="J11" s="133"/>
      <c r="K11" s="54"/>
      <c r="L11" s="139"/>
      <c r="M11" s="133"/>
      <c r="N11" s="133"/>
      <c r="O11" s="133"/>
      <c r="P11" s="133"/>
      <c r="Q11" s="54"/>
      <c r="S11" s="133"/>
      <c r="T11" s="133"/>
      <c r="U11" s="133"/>
      <c r="V11" s="133"/>
      <c r="X11" s="74">
        <v>5</v>
      </c>
      <c r="Y11" s="72">
        <v>2</v>
      </c>
      <c r="Z11" s="73">
        <v>1</v>
      </c>
      <c r="AB11" s="42">
        <v>6</v>
      </c>
      <c r="AC11" s="42">
        <f>怪物属性!V16/(怪物属性!E16^2/(怪物属性!E16+怪物属性!T16))</f>
        <v>43.358446989794324</v>
      </c>
      <c r="AD11" s="42">
        <f>怪物属性!D16/(怪物属性!R16^2/(怪物属性!R16+怪物属性!F16))</f>
        <v>5.0550271739130439</v>
      </c>
    </row>
    <row r="12" spans="2:30" x14ac:dyDescent="0.15">
      <c r="B12" s="42" t="s">
        <v>247</v>
      </c>
      <c r="C12" s="46">
        <f>INT(IF(I14=0,3000+INT($E$14*G14^2.8*7.75),INT((3000+INT($E$14*G14^2.8*7.75))*(1+VLOOKUP("强化"&amp;I14,装备属性!A2:B11,2,FALSE))))*0.3)</f>
        <v>902</v>
      </c>
      <c r="D12" s="137" t="s">
        <v>83</v>
      </c>
      <c r="E12" s="137"/>
      <c r="F12" s="137"/>
      <c r="G12" s="137"/>
      <c r="H12" s="137"/>
      <c r="I12" s="137"/>
      <c r="J12" s="137"/>
      <c r="K12" s="54"/>
      <c r="L12" s="138">
        <f>VLOOKUP($O$5,怪物属性!$O$11:$AF$60,4,FALSE)</f>
        <v>341</v>
      </c>
      <c r="M12" s="132" t="s">
        <v>0</v>
      </c>
      <c r="N12" s="132">
        <f>VLOOKUP($O$5,角色属性!$E$11:$P$60,6,FALSE)+SUMIF($B$8:$B$39,M12,$C$8:$C$39)</f>
        <v>370</v>
      </c>
      <c r="O12" s="132"/>
      <c r="P12" s="132"/>
      <c r="Q12" s="54"/>
      <c r="S12" s="132">
        <f>VLOOKUP($T$5,怪物属性!B:K,4,FALSE)</f>
        <v>132</v>
      </c>
      <c r="T12" s="132"/>
      <c r="U12" s="132"/>
      <c r="V12" s="132" t="s">
        <v>0</v>
      </c>
      <c r="X12" s="74">
        <v>10</v>
      </c>
      <c r="Y12" s="72">
        <v>3</v>
      </c>
      <c r="Z12" s="73">
        <v>2</v>
      </c>
      <c r="AB12" s="42">
        <v>7</v>
      </c>
      <c r="AC12" s="42">
        <f>怪物属性!V17/(怪物属性!E17^2/(怪物属性!E17+怪物属性!T17))</f>
        <v>41.782311000452687</v>
      </c>
      <c r="AD12" s="42">
        <f>怪物属性!D17/(怪物属性!R17^2/(怪物属性!R17+怪物属性!F17))</f>
        <v>5.0653423228735628</v>
      </c>
    </row>
    <row r="13" spans="2:30" x14ac:dyDescent="0.15">
      <c r="B13" s="42" t="s">
        <v>248</v>
      </c>
      <c r="C13" s="46">
        <f>INT(IF(I14=0,223+INT($E$14*G14^1.2*3.37),INT((223+INT($E$14*G14^1.2*3.37))*(1+VLOOKUP("强化"&amp;I14,装备属性!A2:B11,2,FALSE))))*0.2)</f>
        <v>45</v>
      </c>
      <c r="D13" s="132"/>
      <c r="E13" s="132"/>
      <c r="F13" s="132"/>
      <c r="G13" s="132"/>
      <c r="H13" s="132"/>
      <c r="I13" s="132"/>
      <c r="J13" s="132"/>
      <c r="K13" s="54"/>
      <c r="L13" s="139"/>
      <c r="M13" s="133"/>
      <c r="N13" s="133"/>
      <c r="O13" s="133"/>
      <c r="P13" s="133"/>
      <c r="Q13" s="54"/>
      <c r="S13" s="133"/>
      <c r="T13" s="133"/>
      <c r="U13" s="133"/>
      <c r="V13" s="133"/>
      <c r="X13" s="74">
        <v>15</v>
      </c>
      <c r="Y13" s="72">
        <v>4</v>
      </c>
      <c r="Z13" s="73">
        <v>3</v>
      </c>
      <c r="AB13" s="42">
        <v>8</v>
      </c>
      <c r="AC13" s="42">
        <f>怪物属性!V18/(怪物属性!E18^2/(怪物属性!E18+怪物属性!T18))</f>
        <v>40.058412406897254</v>
      </c>
      <c r="AD13" s="42">
        <f>怪物属性!D18/(怪物属性!R18^2/(怪物属性!R18+怪物属性!F18))</f>
        <v>5.0770070237105749</v>
      </c>
    </row>
    <row r="14" spans="2:30" x14ac:dyDescent="0.15">
      <c r="C14" s="46"/>
      <c r="D14" s="132"/>
      <c r="E14" s="132">
        <v>1</v>
      </c>
      <c r="F14" s="132"/>
      <c r="G14" s="132">
        <v>1</v>
      </c>
      <c r="H14" s="132"/>
      <c r="I14" s="132">
        <v>0</v>
      </c>
      <c r="J14" s="132"/>
      <c r="K14" s="54"/>
      <c r="L14" s="138">
        <f>VLOOKUP($O$5,怪物属性!$O$11:$AF$60,6,FALSE)</f>
        <v>237</v>
      </c>
      <c r="M14" s="132" t="s">
        <v>1</v>
      </c>
      <c r="N14" s="132">
        <f>VLOOKUP($O$5,角色属性!$E$11:$P$60,7,FALSE)+SUMIF($B$8:$B$39,M14,$C$8:$C$39)</f>
        <v>275</v>
      </c>
      <c r="O14" s="132"/>
      <c r="P14" s="132"/>
      <c r="Q14" s="54"/>
      <c r="S14" s="132">
        <f>VLOOKUP($T$5,怪物属性!B:K,5,FALSE)</f>
        <v>225</v>
      </c>
      <c r="T14" s="132"/>
      <c r="U14" s="132"/>
      <c r="V14" s="132" t="s">
        <v>1</v>
      </c>
      <c r="X14" s="74">
        <v>20</v>
      </c>
      <c r="Y14" s="72">
        <v>5</v>
      </c>
      <c r="Z14" s="73">
        <v>4</v>
      </c>
      <c r="AB14" s="42">
        <v>9</v>
      </c>
      <c r="AC14" s="42">
        <f>怪物属性!V19/(怪物属性!E19^2/(怪物属性!E19+怪物属性!T19))</f>
        <v>38.540495562130175</v>
      </c>
      <c r="AD14" s="42">
        <f>怪物属性!D19/(怪物属性!R19^2/(怪物属性!R19+怪物属性!F19))</f>
        <v>5.0843446601941746</v>
      </c>
    </row>
    <row r="15" spans="2:30" x14ac:dyDescent="0.15">
      <c r="B15" s="47" t="s">
        <v>258</v>
      </c>
      <c r="C15" s="48">
        <f>IF(I14=0,0,VLOOKUP(E14,装备强化!$AP$9:$AZ$58,I14+1,FALSE))+IF(G14=1,0,VLOOKUP(E14,装备升级!$AM$7:$AQ$56,G14,FALSE))</f>
        <v>0</v>
      </c>
      <c r="D15" s="133"/>
      <c r="E15" s="133"/>
      <c r="F15" s="133"/>
      <c r="G15" s="133"/>
      <c r="H15" s="133"/>
      <c r="I15" s="133"/>
      <c r="J15" s="133"/>
      <c r="K15" s="54"/>
      <c r="L15" s="139"/>
      <c r="M15" s="133"/>
      <c r="N15" s="133"/>
      <c r="O15" s="133"/>
      <c r="P15" s="133"/>
      <c r="Q15" s="54"/>
      <c r="S15" s="133"/>
      <c r="T15" s="133"/>
      <c r="U15" s="133"/>
      <c r="V15" s="133"/>
      <c r="X15" s="74">
        <v>25</v>
      </c>
      <c r="Z15" s="73">
        <v>5</v>
      </c>
      <c r="AB15" s="42">
        <v>10</v>
      </c>
      <c r="AC15" s="42">
        <f>怪物属性!V20/(怪物属性!E20^2/(怪物属性!E20+怪物属性!T20))</f>
        <v>37.199478158404176</v>
      </c>
      <c r="AD15" s="42">
        <f>怪物属性!D20/(怪物属性!R20^2/(怪物属性!R20+怪物属性!F20))</f>
        <v>5.088460968907853</v>
      </c>
    </row>
    <row r="16" spans="2:30" x14ac:dyDescent="0.15">
      <c r="B16" s="42" t="s">
        <v>249</v>
      </c>
      <c r="C16" s="46">
        <f>INT(IF(I14=0,3000+INT($E$14*G14^2.8*7.75),INT((3000+INT($E$14*G14^2.8*7.75))*(1+VLOOKUP("强化"&amp;I14,装备属性!A2:B11,2,FALSE))))*0.7)</f>
        <v>2104</v>
      </c>
      <c r="D16" s="137" t="s">
        <v>84</v>
      </c>
      <c r="E16" s="137"/>
      <c r="F16" s="137"/>
      <c r="G16" s="137"/>
      <c r="H16" s="137"/>
      <c r="I16" s="137"/>
      <c r="J16" s="137"/>
      <c r="K16" s="54"/>
      <c r="L16" s="138">
        <f>VLOOKUP($O$5,怪物属性!$O$11:$AF$60,14,FALSE)</f>
        <v>259</v>
      </c>
      <c r="M16" s="132" t="s">
        <v>5</v>
      </c>
      <c r="N16" s="132">
        <f>VLOOKUP($O$5,角色属性!$E$11:$P$60,10,FALSE)+SUMIF($B$8:$B$39,M16,$C$8:$C$39)</f>
        <v>406</v>
      </c>
      <c r="O16" s="132"/>
      <c r="P16" s="132"/>
      <c r="Q16" s="49">
        <f>N16*1.1/((N16+S18)*0.99)</f>
        <v>0.93012600229095088</v>
      </c>
      <c r="R16" s="49">
        <f>S16*1.1/((S16+N18)*0.99)</f>
        <v>0.58808222742648975</v>
      </c>
      <c r="S16" s="132">
        <f>VLOOKUP($T$5,怪物属性!B:K,8,FALSE)</f>
        <v>226</v>
      </c>
      <c r="T16" s="132"/>
      <c r="U16" s="132"/>
      <c r="V16" s="132" t="s">
        <v>5</v>
      </c>
      <c r="X16" s="74">
        <v>30</v>
      </c>
      <c r="Z16" s="73">
        <v>6</v>
      </c>
      <c r="AB16" s="42">
        <v>11</v>
      </c>
      <c r="AC16" s="42">
        <f>怪物属性!V21/(怪物属性!E21^2/(怪物属性!E21+怪物属性!T21))</f>
        <v>35.82471730134818</v>
      </c>
      <c r="AD16" s="42">
        <f>怪物属性!D21/(怪物属性!R21^2/(怪物属性!R21+怪物属性!F21))</f>
        <v>5.0982425388154846</v>
      </c>
    </row>
    <row r="17" spans="2:30" x14ac:dyDescent="0.15">
      <c r="B17" s="42" t="s">
        <v>248</v>
      </c>
      <c r="C17" s="46">
        <f>INT(IF(I14=0,223+INT($E$14*G14^1.2*3.37),INT((223+INT($E$14*G14^1.2*3.37))*(1+VLOOKUP("强化"&amp;I14,装备属性!A2:B11,2,FALSE))))*0.35)</f>
        <v>79</v>
      </c>
      <c r="D17" s="132"/>
      <c r="E17" s="132"/>
      <c r="F17" s="132"/>
      <c r="G17" s="132"/>
      <c r="H17" s="132"/>
      <c r="I17" s="132"/>
      <c r="J17" s="132"/>
      <c r="K17" s="54"/>
      <c r="L17" s="139"/>
      <c r="M17" s="133"/>
      <c r="N17" s="133"/>
      <c r="O17" s="133"/>
      <c r="P17" s="133"/>
      <c r="Q17" s="54"/>
      <c r="S17" s="133"/>
      <c r="T17" s="133"/>
      <c r="U17" s="133"/>
      <c r="V17" s="133"/>
      <c r="X17" s="74">
        <v>35</v>
      </c>
      <c r="Z17" s="73">
        <v>7</v>
      </c>
      <c r="AB17" s="42">
        <v>12</v>
      </c>
      <c r="AC17" s="42">
        <f>怪物属性!V22/(怪物属性!E22^2/(怪物属性!E22+怪物属性!T22))</f>
        <v>34.86299259466746</v>
      </c>
      <c r="AD17" s="42">
        <f>怪物属性!D22/(怪物属性!R22^2/(怪物属性!R22+怪物属性!F22))</f>
        <v>5.1035309306487058</v>
      </c>
    </row>
    <row r="18" spans="2:30" x14ac:dyDescent="0.15">
      <c r="C18" s="46"/>
      <c r="D18" s="132"/>
      <c r="E18" s="132">
        <v>1</v>
      </c>
      <c r="F18" s="132"/>
      <c r="G18" s="132">
        <v>1</v>
      </c>
      <c r="H18" s="132"/>
      <c r="I18" s="132">
        <v>0</v>
      </c>
      <c r="J18" s="132"/>
      <c r="K18" s="54"/>
      <c r="L18" s="138">
        <f>VLOOKUP($O$5,怪物属性!$O$11:$AF$60,16,FALSE)</f>
        <v>153</v>
      </c>
      <c r="M18" s="132" t="s">
        <v>243</v>
      </c>
      <c r="N18" s="132">
        <f>VLOOKUP($O$5,角色属性!$E$11:$P$60,11,FALSE)+SUMIF($B$8:$B$39,M18,$C$8:$C$39)</f>
        <v>201</v>
      </c>
      <c r="O18" s="132"/>
      <c r="P18" s="132"/>
      <c r="Q18" s="54"/>
      <c r="S18" s="132">
        <f>VLOOKUP($T$5,怪物属性!B:K,9,FALSE)</f>
        <v>79</v>
      </c>
      <c r="T18" s="132"/>
      <c r="U18" s="132"/>
      <c r="V18" s="132" t="s">
        <v>243</v>
      </c>
      <c r="X18" s="74">
        <v>40</v>
      </c>
      <c r="Z18" s="73">
        <v>8</v>
      </c>
      <c r="AB18" s="42">
        <v>13</v>
      </c>
      <c r="AC18" s="42">
        <f>怪物属性!V23/(怪物属性!E23^2/(怪物属性!E23+怪物属性!T23))</f>
        <v>33.790559999999999</v>
      </c>
      <c r="AD18" s="42">
        <f>怪物属性!D23/(怪物属性!R23^2/(怪物属性!R23+怪物属性!F23))</f>
        <v>5.1084631578947359</v>
      </c>
    </row>
    <row r="19" spans="2:30" x14ac:dyDescent="0.15">
      <c r="B19" s="47" t="s">
        <v>258</v>
      </c>
      <c r="C19" s="48">
        <f>IF(I18=0,0,VLOOKUP(E18,装备强化!$AP$9:$AZ$58,I18+1,FALSE))+IF(G18=1,0,VLOOKUP(E18,装备升级!$AM$7:$AQ$56,G18,FALSE))</f>
        <v>0</v>
      </c>
      <c r="D19" s="133"/>
      <c r="E19" s="133"/>
      <c r="F19" s="133"/>
      <c r="G19" s="133"/>
      <c r="H19" s="133"/>
      <c r="I19" s="133"/>
      <c r="J19" s="133"/>
      <c r="K19" s="54"/>
      <c r="L19" s="139"/>
      <c r="M19" s="133"/>
      <c r="N19" s="133"/>
      <c r="O19" s="133"/>
      <c r="P19" s="133"/>
      <c r="Q19" s="54"/>
      <c r="S19" s="133"/>
      <c r="T19" s="133"/>
      <c r="U19" s="133"/>
      <c r="V19" s="133"/>
      <c r="X19" s="74">
        <v>45</v>
      </c>
      <c r="Z19" s="73">
        <v>9</v>
      </c>
      <c r="AB19" s="42">
        <v>14</v>
      </c>
      <c r="AC19" s="42">
        <f>怪物属性!V24/(怪物属性!E24^2/(怪物属性!E24+怪物属性!T24))</f>
        <v>32.919452151318978</v>
      </c>
      <c r="AD19" s="42">
        <f>怪物属性!D24/(怪物属性!R24^2/(怪物属性!R24+怪物属性!F24))</f>
        <v>5.1148373983739832</v>
      </c>
    </row>
    <row r="20" spans="2:30" x14ac:dyDescent="0.15">
      <c r="B20" s="42" t="s">
        <v>250</v>
      </c>
      <c r="C20" s="46">
        <f>INT(IF(I22=0,299+INT($E$22*G22^1.2*2.75),INT((299+INT($E$22*G22^1.2*2.75))*(1+VLOOKUP("强化"&amp;I22,装备属性!A2:B11,2,FALSE))))*0.3)</f>
        <v>90</v>
      </c>
      <c r="D20" s="137" t="s">
        <v>85</v>
      </c>
      <c r="E20" s="137"/>
      <c r="F20" s="137"/>
      <c r="G20" s="137"/>
      <c r="H20" s="137"/>
      <c r="I20" s="137"/>
      <c r="J20" s="137"/>
      <c r="K20" s="54"/>
      <c r="L20" s="138">
        <f>VLOOKUP($O$5,怪物属性!$O$11:$AF$60,10,FALSE)</f>
        <v>159</v>
      </c>
      <c r="M20" s="132" t="s">
        <v>3</v>
      </c>
      <c r="N20" s="132">
        <f>VLOOKUP($O$5,角色属性!$E$11:$P$60,8,FALSE)+SUMIF($B$8:$B$39,M20,$C$8:$C$39)</f>
        <v>405</v>
      </c>
      <c r="O20" s="132"/>
      <c r="P20" s="132"/>
      <c r="Q20" s="49">
        <f>N20/(N20+S22*15)</f>
        <v>0.39130434782608697</v>
      </c>
      <c r="R20" s="49">
        <f>S20/(S20+N22*15)</f>
        <v>4.133545310015898E-2</v>
      </c>
      <c r="S20" s="132">
        <f>VLOOKUP($T$5,怪物属性!B:K,6,FALSE)</f>
        <v>130</v>
      </c>
      <c r="T20" s="132"/>
      <c r="U20" s="132"/>
      <c r="V20" s="132" t="s">
        <v>3</v>
      </c>
      <c r="X20" s="74">
        <v>50</v>
      </c>
      <c r="Z20" s="73">
        <v>10</v>
      </c>
      <c r="AB20" s="42">
        <v>15</v>
      </c>
      <c r="AC20" s="42">
        <f>怪物属性!V25/(怪物属性!E25^2/(怪物属性!E25+怪物属性!T25))</f>
        <v>31.97668021843846</v>
      </c>
      <c r="AD20" s="42">
        <f>怪物属性!D25/(怪物属性!R25^2/(怪物属性!R25+怪物属性!F25))</f>
        <v>5.1167397154940408</v>
      </c>
    </row>
    <row r="21" spans="2:30" x14ac:dyDescent="0.15">
      <c r="B21" s="42" t="s">
        <v>251</v>
      </c>
      <c r="C21" s="46">
        <f>INT(IF(I22=0,99+INT($E$22*G22^1.2*0.75),INT((99+INT($E$22*G22^1.2*0.75))*(1+VLOOKUP("强化"&amp;I22,装备属性!A2:B11,2,FALSE)))))</f>
        <v>99</v>
      </c>
      <c r="D21" s="132"/>
      <c r="E21" s="132"/>
      <c r="F21" s="132"/>
      <c r="G21" s="132"/>
      <c r="H21" s="132"/>
      <c r="I21" s="132"/>
      <c r="J21" s="132"/>
      <c r="K21" s="54"/>
      <c r="L21" s="139"/>
      <c r="M21" s="133"/>
      <c r="N21" s="133"/>
      <c r="O21" s="133"/>
      <c r="P21" s="133"/>
      <c r="Q21" s="54"/>
      <c r="S21" s="133"/>
      <c r="T21" s="133"/>
      <c r="U21" s="133"/>
      <c r="V21" s="133"/>
      <c r="AB21" s="42">
        <v>16</v>
      </c>
      <c r="AC21" s="42">
        <f>怪物属性!V26/(怪物属性!E26^2/(怪物属性!E26+怪物属性!T26))</f>
        <v>31.334581432255504</v>
      </c>
      <c r="AD21" s="42">
        <f>怪物属性!D26/(怪物属性!R26^2/(怪物属性!R26+怪物属性!F26))</f>
        <v>5.1240530303030303</v>
      </c>
    </row>
    <row r="22" spans="2:30" x14ac:dyDescent="0.15">
      <c r="C22" s="46"/>
      <c r="D22" s="132"/>
      <c r="E22" s="132">
        <v>1</v>
      </c>
      <c r="F22" s="132"/>
      <c r="G22" s="132">
        <v>1</v>
      </c>
      <c r="H22" s="132"/>
      <c r="I22" s="132">
        <v>0</v>
      </c>
      <c r="J22" s="132"/>
      <c r="K22" s="54"/>
      <c r="L22" s="138">
        <f>VLOOKUP($O$5,怪物属性!$O$11:$AF$60,12,FALSE)</f>
        <v>103</v>
      </c>
      <c r="M22" s="132" t="s">
        <v>4</v>
      </c>
      <c r="N22" s="132">
        <f>VLOOKUP($O$5,角色属性!$E$11:$P$60,9,FALSE)+SUMIF($B$8:$B$39,M22,$C$8:$C$39)</f>
        <v>201</v>
      </c>
      <c r="O22" s="132"/>
      <c r="P22" s="132"/>
      <c r="Q22" s="54"/>
      <c r="S22" s="132">
        <f>VLOOKUP($T$5,怪物属性!B:K,7,FALSE)</f>
        <v>42</v>
      </c>
      <c r="T22" s="132"/>
      <c r="U22" s="132"/>
      <c r="V22" s="132" t="s">
        <v>4</v>
      </c>
      <c r="AB22" s="42">
        <v>17</v>
      </c>
      <c r="AC22" s="42">
        <f>怪物属性!V27/(怪物属性!E27^2/(怪物属性!E27+怪物属性!T27))</f>
        <v>30.725906227173116</v>
      </c>
      <c r="AD22" s="42">
        <f>怪物属性!D27/(怪物属性!R27^2/(怪物属性!R27+怪物属性!F27))</f>
        <v>5.1255216090380928</v>
      </c>
    </row>
    <row r="23" spans="2:30" x14ac:dyDescent="0.15">
      <c r="B23" s="47" t="s">
        <v>258</v>
      </c>
      <c r="C23" s="48">
        <f>IF(I22=0,0,VLOOKUP(E22,装备强化!$AP$9:$AZ$58,I22+1,FALSE))+IF(G22=1,0,VLOOKUP(E22,装备升级!$AM$7:$AQ$56,G22,FALSE))</f>
        <v>0</v>
      </c>
      <c r="D23" s="133"/>
      <c r="E23" s="133"/>
      <c r="F23" s="133"/>
      <c r="G23" s="133"/>
      <c r="H23" s="133"/>
      <c r="I23" s="133"/>
      <c r="J23" s="133"/>
      <c r="K23" s="54"/>
      <c r="L23" s="139"/>
      <c r="M23" s="133"/>
      <c r="N23" s="133"/>
      <c r="O23" s="133"/>
      <c r="P23" s="133"/>
      <c r="Q23" s="54"/>
      <c r="S23" s="133"/>
      <c r="T23" s="133"/>
      <c r="U23" s="133"/>
      <c r="V23" s="133"/>
      <c r="AB23" s="42">
        <v>18</v>
      </c>
      <c r="AC23" s="42">
        <f>怪物属性!V28/(怪物属性!E28^2/(怪物属性!E28+怪物属性!T28))</f>
        <v>30.171782762691855</v>
      </c>
      <c r="AD23" s="42">
        <f>怪物属性!D28/(怪物属性!R28^2/(怪物属性!R28+怪物属性!F28))</f>
        <v>5.1299179662625329</v>
      </c>
    </row>
    <row r="24" spans="2:30" x14ac:dyDescent="0.15">
      <c r="B24" s="42" t="s">
        <v>252</v>
      </c>
      <c r="C24" s="46">
        <f>INT(IF(I26=0,299+INT($E$26*G26^1.2*2.75),INT((299+INT($E$26*G26^1.2*2.75))*(1+VLOOKUP("强化"&amp;I26,装备属性!A2:B11,2,FALSE))))*0.7)</f>
        <v>210</v>
      </c>
      <c r="D24" s="137" t="s">
        <v>86</v>
      </c>
      <c r="E24" s="137"/>
      <c r="F24" s="137"/>
      <c r="G24" s="137"/>
      <c r="H24" s="137"/>
      <c r="I24" s="137"/>
      <c r="J24" s="137"/>
      <c r="K24" s="70"/>
      <c r="L24" s="138" t="s">
        <v>264</v>
      </c>
      <c r="M24" s="142" t="s">
        <v>265</v>
      </c>
      <c r="N24" s="132">
        <f>VLOOKUP($O$5,角色属性!$E$11:$P$60,12,FALSE)</f>
        <v>2000</v>
      </c>
      <c r="O24" s="132"/>
      <c r="P24" s="132"/>
      <c r="Q24" s="54"/>
      <c r="S24" s="142">
        <f>VLOOKUP($T$5,怪物属性!B:K,2,FALSE)</f>
        <v>56</v>
      </c>
      <c r="T24" s="132"/>
      <c r="U24" s="132"/>
      <c r="V24" s="132" t="s">
        <v>261</v>
      </c>
      <c r="AB24" s="42">
        <v>19</v>
      </c>
      <c r="AC24" s="42">
        <f>怪物属性!V29/(怪物属性!E29^2/(怪物属性!E29+怪物属性!T29))</f>
        <v>29.619141894973843</v>
      </c>
      <c r="AD24" s="42">
        <f>怪物属性!D29/(怪物属性!R29^2/(怪物属性!R29+怪物属性!F29))</f>
        <v>5.1340143740754121</v>
      </c>
    </row>
    <row r="25" spans="2:30" x14ac:dyDescent="0.15">
      <c r="B25" s="42" t="s">
        <v>253</v>
      </c>
      <c r="C25" s="46">
        <f>INT(IF(I26=0,223+INT($E$26*G26^1.2*3.37),INT((223+INT($E$26*G26^1.2*3.37))*(1+VLOOKUP("强化"&amp;I26,装备属性!A2:B11,2,FALSE))))*0.3)</f>
        <v>67</v>
      </c>
      <c r="D25" s="132"/>
      <c r="E25" s="132"/>
      <c r="F25" s="132"/>
      <c r="G25" s="132"/>
      <c r="H25" s="132"/>
      <c r="I25" s="132"/>
      <c r="J25" s="132"/>
      <c r="K25" s="54"/>
      <c r="L25" s="139"/>
      <c r="M25" s="133"/>
      <c r="N25" s="133"/>
      <c r="O25" s="133"/>
      <c r="P25" s="133"/>
      <c r="Q25" s="54"/>
      <c r="S25" s="133"/>
      <c r="T25" s="133"/>
      <c r="U25" s="133"/>
      <c r="V25" s="133"/>
      <c r="AB25" s="42">
        <v>20</v>
      </c>
      <c r="AC25" s="42">
        <f>怪物属性!V30/(怪物属性!E30^2/(怪物属性!E30+怪物属性!T30))</f>
        <v>29.20490157409731</v>
      </c>
      <c r="AD25" s="42">
        <f>怪物属性!D30/(怪物属性!R30^2/(怪物属性!R30+怪物属性!F30))</f>
        <v>5.136352656677043</v>
      </c>
    </row>
    <row r="26" spans="2:30" x14ac:dyDescent="0.15">
      <c r="C26" s="46"/>
      <c r="D26" s="132"/>
      <c r="E26" s="132">
        <v>1</v>
      </c>
      <c r="F26" s="132"/>
      <c r="G26" s="132">
        <v>1</v>
      </c>
      <c r="H26" s="132"/>
      <c r="I26" s="132">
        <v>0</v>
      </c>
      <c r="J26" s="132"/>
      <c r="K26" s="54"/>
      <c r="L26" s="138" t="s">
        <v>245</v>
      </c>
      <c r="M26" s="132" t="s">
        <v>273</v>
      </c>
      <c r="N26" s="132">
        <f>VLOOKUP($O$5,角色属性!$E$11:$P$60,3,FALSE)</f>
        <v>952</v>
      </c>
      <c r="O26" s="132"/>
      <c r="P26" s="132"/>
      <c r="Q26" s="54"/>
      <c r="S26" s="132">
        <f>VLOOKUP($T$5,怪物属性!B:K,10,FALSE)</f>
        <v>40</v>
      </c>
      <c r="T26" s="132"/>
      <c r="U26" s="132"/>
      <c r="V26" s="132" t="s">
        <v>262</v>
      </c>
      <c r="AB26" s="42">
        <v>21</v>
      </c>
      <c r="AC26" s="42">
        <f>怪物属性!V31/(怪物属性!E31^2/(怪物属性!E31+怪物属性!T31))</f>
        <v>28.801005747126435</v>
      </c>
      <c r="AD26" s="42">
        <f>怪物属性!D31/(怪物属性!R31^2/(怪物属性!R31+怪物属性!F31))</f>
        <v>5.1365583270345168</v>
      </c>
    </row>
    <row r="27" spans="2:30" x14ac:dyDescent="0.15">
      <c r="B27" s="47" t="s">
        <v>258</v>
      </c>
      <c r="C27" s="48">
        <f>IF(I26=0,0,VLOOKUP(E26,装备强化!$AP$9:$AZ$58,I26+1,FALSE))+IF(G26=1,0,VLOOKUP(E26,装备升级!$AM$7:$AQ$56,G26,FALSE))</f>
        <v>0</v>
      </c>
      <c r="D27" s="133"/>
      <c r="E27" s="133"/>
      <c r="F27" s="133"/>
      <c r="G27" s="133"/>
      <c r="H27" s="133"/>
      <c r="I27" s="133"/>
      <c r="J27" s="133"/>
      <c r="K27" s="54"/>
      <c r="L27" s="139"/>
      <c r="M27" s="133"/>
      <c r="N27" s="133"/>
      <c r="O27" s="133"/>
      <c r="P27" s="133"/>
      <c r="Q27" s="54"/>
      <c r="S27" s="133"/>
      <c r="T27" s="133"/>
      <c r="U27" s="133"/>
      <c r="V27" s="133"/>
      <c r="AB27" s="42">
        <v>22</v>
      </c>
      <c r="AC27" s="42">
        <f>怪物属性!V32/(怪物属性!E32^2/(怪物属性!E32+怪物属性!T32))</f>
        <v>28.496306584048103</v>
      </c>
      <c r="AD27" s="42">
        <f>怪物属性!D32/(怪物属性!R32^2/(怪物属性!R32+怪物属性!F32))</f>
        <v>5.1394271696891956</v>
      </c>
    </row>
    <row r="28" spans="2:30" x14ac:dyDescent="0.15">
      <c r="B28" s="42" t="s">
        <v>254</v>
      </c>
      <c r="C28" s="46">
        <f>INT(IF(I30=0,223+INT($E$30*G30^1.2*3.37),INT((223+INT($E$30*G30^1.2*3.37))*(1+VLOOKUP("强化"&amp;I30,装备属性!A2:B11,2,FALSE))))*0.15)</f>
        <v>33</v>
      </c>
      <c r="D28" s="137" t="s">
        <v>241</v>
      </c>
      <c r="E28" s="137"/>
      <c r="F28" s="137"/>
      <c r="G28" s="137"/>
      <c r="H28" s="137"/>
      <c r="I28" s="137"/>
      <c r="J28" s="137"/>
      <c r="K28" s="54"/>
      <c r="AB28" s="42">
        <v>23</v>
      </c>
      <c r="AC28" s="42">
        <f>怪物属性!V33/(怪物属性!E33^2/(怪物属性!E33+怪物属性!T33))</f>
        <v>28.240936051052213</v>
      </c>
      <c r="AD28" s="42">
        <f>怪物属性!D33/(怪物属性!R33^2/(怪物属性!R33+怪物属性!F33))</f>
        <v>5.1407613308344011</v>
      </c>
    </row>
    <row r="29" spans="2:30" x14ac:dyDescent="0.15">
      <c r="B29" s="42" t="s">
        <v>255</v>
      </c>
      <c r="C29" s="46">
        <f>INT(IF(I30=0,99+INT($E$30*G30^1.2*0.88),INT((99+INT($E$30*G30^1.2*0.88))*(1+VLOOKUP("强化"&amp;I30,装备属性!A2:B11,2,FALSE)))))</f>
        <v>99</v>
      </c>
      <c r="D29" s="132"/>
      <c r="E29" s="132"/>
      <c r="F29" s="132"/>
      <c r="G29" s="132"/>
      <c r="H29" s="132"/>
      <c r="I29" s="132"/>
      <c r="J29" s="132"/>
      <c r="K29" s="54"/>
      <c r="L29" s="42" t="s">
        <v>266</v>
      </c>
      <c r="M29" s="42">
        <f>ROUNDUP(N12^2/(N12+S14),0)</f>
        <v>231</v>
      </c>
      <c r="N29" s="42" t="s">
        <v>267</v>
      </c>
      <c r="O29" s="42">
        <f>ROUNDUP(S8/M29,0)</f>
        <v>4</v>
      </c>
      <c r="Q29" s="42" t="s">
        <v>291</v>
      </c>
      <c r="R29" s="147">
        <v>3481</v>
      </c>
      <c r="S29" s="147"/>
      <c r="T29" s="42" t="s">
        <v>292</v>
      </c>
      <c r="U29" s="147">
        <v>-35</v>
      </c>
      <c r="V29" s="147"/>
      <c r="AB29" s="42">
        <v>24</v>
      </c>
      <c r="AC29" s="42">
        <f>怪物属性!V34/(怪物属性!E34^2/(怪物属性!E34+怪物属性!T34))</f>
        <v>27.972612318629448</v>
      </c>
      <c r="AD29" s="42">
        <f>怪物属性!D34/(怪物属性!R34^2/(怪物属性!R34+怪物属性!F34))</f>
        <v>5.1419136438227548</v>
      </c>
    </row>
    <row r="30" spans="2:30" x14ac:dyDescent="0.15">
      <c r="C30" s="46"/>
      <c r="D30" s="132"/>
      <c r="E30" s="132">
        <v>1</v>
      </c>
      <c r="F30" s="132"/>
      <c r="G30" s="132">
        <v>1</v>
      </c>
      <c r="H30" s="132"/>
      <c r="I30" s="132">
        <v>0</v>
      </c>
      <c r="J30" s="132"/>
      <c r="K30" s="54"/>
      <c r="L30" s="42" t="s">
        <v>268</v>
      </c>
      <c r="M30" s="42">
        <f>ROUNDUP(S12^2/(S12+N14),0)</f>
        <v>43</v>
      </c>
      <c r="N30" s="42" t="s">
        <v>269</v>
      </c>
      <c r="O30" s="42">
        <f>ROUNDUP(N8/M30*(1/R16),0)</f>
        <v>140</v>
      </c>
      <c r="Q30" s="143" t="s">
        <v>673</v>
      </c>
      <c r="R30" s="144"/>
      <c r="S30" s="144"/>
      <c r="T30" s="144"/>
      <c r="U30" s="144"/>
      <c r="V30" s="145"/>
      <c r="AB30" s="42">
        <v>25</v>
      </c>
      <c r="AC30" s="42">
        <f>怪物属性!V35/(怪物属性!E35^2/(怪物属性!E35+怪物属性!T35))</f>
        <v>27.871103113922082</v>
      </c>
      <c r="AD30" s="42">
        <f>怪物属性!D35/(怪物属性!R35^2/(怪物属性!R35+怪物属性!F35))</f>
        <v>5.1425070369675359</v>
      </c>
    </row>
    <row r="31" spans="2:30" x14ac:dyDescent="0.15">
      <c r="B31" s="47" t="s">
        <v>258</v>
      </c>
      <c r="C31" s="48">
        <f>IF(I30=0,0,VLOOKUP(E30,装备强化!$AP$9:$AZ$58,I30+1,FALSE))+IF(G30=1,0,VLOOKUP(E30,装备升级!$AM$7:$AQ$56,G30,FALSE))</f>
        <v>0</v>
      </c>
      <c r="D31" s="133"/>
      <c r="E31" s="133"/>
      <c r="F31" s="133"/>
      <c r="G31" s="133"/>
      <c r="H31" s="133"/>
      <c r="I31" s="133"/>
      <c r="J31" s="133"/>
      <c r="K31" s="54"/>
      <c r="L31" s="42" t="s">
        <v>270</v>
      </c>
      <c r="M31" s="42">
        <f>INT(O30/O29)</f>
        <v>35</v>
      </c>
      <c r="Q31" s="149" t="s">
        <v>674</v>
      </c>
      <c r="R31" s="150"/>
      <c r="S31" s="150"/>
      <c r="T31" s="150"/>
      <c r="U31" s="150"/>
      <c r="V31" s="151"/>
      <c r="AB31" s="42">
        <v>26</v>
      </c>
      <c r="AC31" s="42">
        <f>怪物属性!V36/(怪物属性!E36^2/(怪物属性!E36+怪物属性!T36))</f>
        <v>27.771033084264587</v>
      </c>
      <c r="AD31" s="42">
        <f>怪物属性!D36/(怪物属性!R36^2/(怪物属性!R36+怪物属性!F36))</f>
        <v>5.1417763157894738</v>
      </c>
    </row>
    <row r="32" spans="2:30" x14ac:dyDescent="0.15">
      <c r="B32" s="42" t="s">
        <v>256</v>
      </c>
      <c r="C32" s="46">
        <f>INT(IF(I34=0,199+INT($E$34*G34^1.2*1.75),INT((199+INT($E$34*G34^1.2*1.75))*(1+VLOOKUP("强化"&amp;I34,装备属性!A2:B11,2,FALSE)))))</f>
        <v>200</v>
      </c>
      <c r="D32" s="137" t="s">
        <v>429</v>
      </c>
      <c r="E32" s="137"/>
      <c r="F32" s="137"/>
      <c r="G32" s="137"/>
      <c r="H32" s="137"/>
      <c r="I32" s="137"/>
      <c r="J32" s="137"/>
      <c r="K32" s="54"/>
      <c r="L32" s="42" t="s">
        <v>271</v>
      </c>
      <c r="M32" s="42">
        <f>M31*S26</f>
        <v>1400</v>
      </c>
      <c r="Q32" s="149" t="s">
        <v>675</v>
      </c>
      <c r="R32" s="150"/>
      <c r="S32" s="150"/>
      <c r="T32" s="150"/>
      <c r="U32" s="150"/>
      <c r="V32" s="151"/>
      <c r="AB32" s="42">
        <v>27</v>
      </c>
      <c r="AC32" s="42">
        <f>怪物属性!V37/(怪物属性!E37^2/(怪物属性!E37+怪物属性!T37))</f>
        <v>27.724190406622839</v>
      </c>
      <c r="AD32" s="42">
        <f>怪物属性!D37/(怪物属性!R37^2/(怪物属性!R37+怪物属性!F37))</f>
        <v>5.1418106072744756</v>
      </c>
    </row>
    <row r="33" spans="2:30" x14ac:dyDescent="0.15">
      <c r="C33" s="46"/>
      <c r="D33" s="132"/>
      <c r="E33" s="132"/>
      <c r="F33" s="132"/>
      <c r="G33" s="132"/>
      <c r="H33" s="132"/>
      <c r="I33" s="132"/>
      <c r="J33" s="132"/>
      <c r="K33" s="54"/>
      <c r="L33" s="42" t="s">
        <v>272</v>
      </c>
      <c r="M33" s="42">
        <f>M31*S24</f>
        <v>1960</v>
      </c>
      <c r="N33" s="42" t="s">
        <v>274</v>
      </c>
      <c r="O33" s="42">
        <f>ROUNDUP(N26/M33,0)</f>
        <v>1</v>
      </c>
      <c r="Q33" s="149" t="s">
        <v>676</v>
      </c>
      <c r="R33" s="150"/>
      <c r="S33" s="150"/>
      <c r="T33" s="150"/>
      <c r="U33" s="150"/>
      <c r="V33" s="151"/>
      <c r="AB33" s="42">
        <v>28</v>
      </c>
      <c r="AC33" s="42">
        <f>怪物属性!V38/(怪物属性!E38^2/(怪物属性!E38+怪物属性!T38))</f>
        <v>27.745756149443249</v>
      </c>
      <c r="AD33" s="42">
        <f>怪物属性!D38/(怪物属性!R38^2/(怪物属性!R38+怪物属性!F38))</f>
        <v>5.1427888072118568</v>
      </c>
    </row>
    <row r="34" spans="2:30" x14ac:dyDescent="0.15">
      <c r="C34" s="46"/>
      <c r="D34" s="132"/>
      <c r="E34" s="132">
        <v>1</v>
      </c>
      <c r="F34" s="132"/>
      <c r="G34" s="132">
        <v>1</v>
      </c>
      <c r="H34" s="132"/>
      <c r="I34" s="132">
        <v>0</v>
      </c>
      <c r="J34" s="132"/>
      <c r="K34" s="54"/>
      <c r="Q34" s="149" t="s">
        <v>677</v>
      </c>
      <c r="R34" s="150"/>
      <c r="S34" s="150"/>
      <c r="T34" s="150"/>
      <c r="U34" s="150"/>
      <c r="V34" s="151"/>
      <c r="AB34" s="42">
        <v>29</v>
      </c>
      <c r="AC34" s="42">
        <f>怪物属性!V39/(怪物属性!E39^2/(怪物属性!E39+怪物属性!T39))</f>
        <v>27.814234704593872</v>
      </c>
      <c r="AD34" s="42">
        <f>怪物属性!D39/(怪物属性!R39^2/(怪物属性!R39+怪物属性!F39))</f>
        <v>5.1422264604082786</v>
      </c>
    </row>
    <row r="35" spans="2:30" x14ac:dyDescent="0.15">
      <c r="B35" s="47" t="s">
        <v>258</v>
      </c>
      <c r="C35" s="48">
        <f>IF(I34=0,0,VLOOKUP(E34,装备强化!$AP$9:$AZ$58,I34+1,FALSE))+IF(G34=1,0,VLOOKUP(E34,装备升级!$AM$7:$AQ$56,G34,FALSE))</f>
        <v>0</v>
      </c>
      <c r="D35" s="133"/>
      <c r="E35" s="133"/>
      <c r="F35" s="133"/>
      <c r="G35" s="133"/>
      <c r="H35" s="133"/>
      <c r="I35" s="133"/>
      <c r="J35" s="133"/>
      <c r="K35" s="54"/>
      <c r="L35" s="42" t="s">
        <v>275</v>
      </c>
      <c r="M35" s="42">
        <v>60</v>
      </c>
      <c r="N35" s="42" t="s">
        <v>274</v>
      </c>
      <c r="O35" s="42">
        <f>ROUNDUP(M35/M31,0)</f>
        <v>2</v>
      </c>
      <c r="Q35" s="152" t="s">
        <v>678</v>
      </c>
      <c r="R35" s="150"/>
      <c r="S35" s="150"/>
      <c r="T35" s="150"/>
      <c r="U35" s="150"/>
      <c r="V35" s="151"/>
      <c r="AB35" s="42">
        <v>30</v>
      </c>
      <c r="AC35" s="42">
        <f>怪物属性!V40/(怪物属性!E40^2/(怪物属性!E40+怪物属性!T40))</f>
        <v>27.95105426429831</v>
      </c>
      <c r="AD35" s="42">
        <f>怪物属性!D40/(怪物属性!R40^2/(怪物属性!R40+怪物属性!F40))</f>
        <v>5.140625</v>
      </c>
    </row>
    <row r="36" spans="2:30" x14ac:dyDescent="0.15">
      <c r="B36" s="42" t="s">
        <v>257</v>
      </c>
      <c r="C36" s="46">
        <f>INT(IF(I38=0,199+INT($E$38*G38^1.2*1.5),INT((199+INT($E$38*G38^1.2*1.5))*(1+VLOOKUP("强化"&amp;I38,装备属性!A2:B11,2,FALSE)))))</f>
        <v>200</v>
      </c>
      <c r="D36" s="137" t="s">
        <v>432</v>
      </c>
      <c r="E36" s="137"/>
      <c r="F36" s="137"/>
      <c r="G36" s="137"/>
      <c r="H36" s="137"/>
      <c r="I36" s="137">
        <v>5</v>
      </c>
      <c r="J36" s="137"/>
      <c r="K36" s="54"/>
      <c r="L36" s="42" t="s">
        <v>276</v>
      </c>
      <c r="M36" s="42">
        <f>INT(M35/M31*M32)</f>
        <v>2400</v>
      </c>
      <c r="Q36" s="149"/>
      <c r="R36" s="150"/>
      <c r="S36" s="150"/>
      <c r="T36" s="150"/>
      <c r="U36" s="150"/>
      <c r="V36" s="151"/>
      <c r="AB36" s="42">
        <v>31</v>
      </c>
      <c r="AC36" s="42">
        <f>怪物属性!V41/(怪物属性!E41^2/(怪物属性!E41+怪物属性!T41))</f>
        <v>28.076434221849357</v>
      </c>
      <c r="AD36" s="42">
        <f>怪物属性!D41/(怪物属性!R41^2/(怪物属性!R41+怪物属性!F41))</f>
        <v>5.1396901709401703</v>
      </c>
    </row>
    <row r="37" spans="2:30" x14ac:dyDescent="0.15">
      <c r="C37" s="46"/>
      <c r="D37" s="132"/>
      <c r="E37" s="132"/>
      <c r="F37" s="132"/>
      <c r="G37" s="132"/>
      <c r="H37" s="132"/>
      <c r="I37" s="132"/>
      <c r="J37" s="132"/>
      <c r="K37" s="54"/>
      <c r="L37" s="42" t="s">
        <v>277</v>
      </c>
      <c r="M37" s="42">
        <f>INT(M35/M31*M33)</f>
        <v>3360</v>
      </c>
      <c r="Q37" s="152"/>
      <c r="R37" s="150"/>
      <c r="S37" s="150"/>
      <c r="T37" s="150"/>
      <c r="U37" s="150"/>
      <c r="V37" s="151"/>
      <c r="AB37" s="42">
        <v>32</v>
      </c>
      <c r="AC37" s="42">
        <f>怪物属性!V42/(怪物属性!E42^2/(怪物属性!E42+怪物属性!T42))</f>
        <v>28.289432511750618</v>
      </c>
      <c r="AD37" s="42">
        <f>怪物属性!D42/(怪物属性!R42^2/(怪物属性!R42+怪物属性!F42))</f>
        <v>5.1384227093790846</v>
      </c>
    </row>
    <row r="38" spans="2:30" x14ac:dyDescent="0.15">
      <c r="C38" s="46"/>
      <c r="D38" s="132"/>
      <c r="E38" s="132">
        <v>1</v>
      </c>
      <c r="F38" s="132"/>
      <c r="G38" s="132">
        <v>1</v>
      </c>
      <c r="H38" s="132"/>
      <c r="I38" s="132">
        <v>0</v>
      </c>
      <c r="J38" s="132"/>
      <c r="K38" s="54"/>
      <c r="Q38" s="153"/>
      <c r="R38" s="150"/>
      <c r="S38" s="150"/>
      <c r="T38" s="150"/>
      <c r="U38" s="150"/>
      <c r="V38" s="151"/>
      <c r="AB38" s="42">
        <v>33</v>
      </c>
      <c r="AC38" s="42">
        <f>怪物属性!V43/(怪物属性!E43^2/(怪物属性!E43+怪物属性!T43))</f>
        <v>28.528118607871349</v>
      </c>
      <c r="AD38" s="42">
        <f>怪物属性!D43/(怪物属性!R43^2/(怪物属性!R43+怪物属性!F43))</f>
        <v>5.135498046875</v>
      </c>
    </row>
    <row r="39" spans="2:30" x14ac:dyDescent="0.15">
      <c r="B39" s="47" t="s">
        <v>258</v>
      </c>
      <c r="C39" s="48">
        <f>IF(I38=0,0,VLOOKUP(E38,装备强化!$AP$9:$AZ$58,I38+1,FALSE))+IF(G38=1,0,VLOOKUP(E38,装备升级!$AM$7:$AQ$56,G38,FALSE))</f>
        <v>0</v>
      </c>
      <c r="D39" s="133"/>
      <c r="E39" s="133"/>
      <c r="F39" s="133"/>
      <c r="G39" s="133"/>
      <c r="H39" s="133"/>
      <c r="I39" s="133"/>
      <c r="J39" s="133"/>
      <c r="K39" s="54"/>
      <c r="Q39" s="152"/>
      <c r="R39" s="150"/>
      <c r="S39" s="150"/>
      <c r="T39" s="150"/>
      <c r="U39" s="150"/>
      <c r="V39" s="151"/>
      <c r="AB39" s="42">
        <v>34</v>
      </c>
      <c r="AC39" s="42">
        <f>怪物属性!V44/(怪物属性!E44^2/(怪物属性!E44+怪物属性!T44))</f>
        <v>28.803079024656785</v>
      </c>
      <c r="AD39" s="42">
        <f>怪物属性!D44/(怪物属性!R44^2/(怪物属性!R44+怪物属性!F44))</f>
        <v>5.1329451154597061</v>
      </c>
    </row>
    <row r="40" spans="2:30" x14ac:dyDescent="0.15">
      <c r="K40" s="54"/>
      <c r="Q40" s="149"/>
      <c r="R40" s="150"/>
      <c r="S40" s="150"/>
      <c r="T40" s="150"/>
      <c r="U40" s="150"/>
      <c r="V40" s="151"/>
      <c r="AB40" s="42">
        <v>35</v>
      </c>
      <c r="AC40" s="42">
        <f>怪物属性!V45/(怪物属性!E45^2/(怪物属性!E45+怪物属性!T45))</f>
        <v>29.231463803598306</v>
      </c>
      <c r="AD40" s="42">
        <f>怪物属性!D45/(怪物属性!R45^2/(怪物属性!R45+怪物属性!F45))</f>
        <v>5.1305407801418443</v>
      </c>
    </row>
    <row r="41" spans="2:30" x14ac:dyDescent="0.15">
      <c r="K41" s="54"/>
      <c r="Q41" s="152"/>
      <c r="R41" s="150"/>
      <c r="S41" s="150"/>
      <c r="T41" s="150"/>
      <c r="U41" s="150"/>
      <c r="V41" s="151"/>
    </row>
    <row r="42" spans="2:30" x14ac:dyDescent="0.15">
      <c r="B42" s="42" t="s">
        <v>300</v>
      </c>
      <c r="C42" s="42">
        <v>19</v>
      </c>
      <c r="K42" s="54"/>
      <c r="Q42" s="146"/>
      <c r="R42" s="147"/>
      <c r="S42" s="147"/>
      <c r="T42" s="147"/>
      <c r="U42" s="147"/>
      <c r="V42" s="148"/>
    </row>
    <row r="43" spans="2:30" x14ac:dyDescent="0.15">
      <c r="B43" s="42" t="s">
        <v>296</v>
      </c>
      <c r="C43" s="42">
        <v>293</v>
      </c>
      <c r="K43" s="54"/>
      <c r="Q43" s="56"/>
      <c r="R43" s="56"/>
      <c r="S43" s="56"/>
      <c r="T43" s="56"/>
      <c r="U43" s="56"/>
      <c r="V43" s="56"/>
    </row>
    <row r="44" spans="2:30" x14ac:dyDescent="0.15">
      <c r="B44" s="50" t="s">
        <v>294</v>
      </c>
      <c r="C44" s="51">
        <v>1</v>
      </c>
      <c r="K44" s="54"/>
      <c r="Q44" s="56"/>
      <c r="R44" s="56"/>
      <c r="S44" s="56"/>
      <c r="T44" s="56"/>
      <c r="U44" s="56"/>
      <c r="V44" s="56"/>
    </row>
    <row r="45" spans="2:30" x14ac:dyDescent="0.15">
      <c r="B45" s="52" t="s">
        <v>299</v>
      </c>
      <c r="C45" s="52" t="s">
        <v>298</v>
      </c>
      <c r="D45" s="52" t="s">
        <v>293</v>
      </c>
      <c r="E45" s="52" t="s">
        <v>278</v>
      </c>
      <c r="F45" s="52" t="s">
        <v>279</v>
      </c>
      <c r="G45" s="52" t="s">
        <v>280</v>
      </c>
      <c r="H45" s="52" t="s">
        <v>281</v>
      </c>
      <c r="I45" s="52" t="s">
        <v>282</v>
      </c>
      <c r="J45" s="53" t="s">
        <v>290</v>
      </c>
      <c r="K45" s="53" t="s">
        <v>283</v>
      </c>
      <c r="L45" s="53" t="s">
        <v>284</v>
      </c>
      <c r="M45" s="53" t="s">
        <v>285</v>
      </c>
      <c r="N45" s="53" t="s">
        <v>286</v>
      </c>
      <c r="O45" s="53" t="s">
        <v>287</v>
      </c>
      <c r="P45" s="53" t="s">
        <v>288</v>
      </c>
      <c r="Q45" s="53" t="s">
        <v>289</v>
      </c>
      <c r="R45" s="53" t="s">
        <v>430</v>
      </c>
      <c r="S45" s="53" t="s">
        <v>433</v>
      </c>
      <c r="AB45" s="42">
        <v>37</v>
      </c>
      <c r="AC45" s="42">
        <f>怪物属性!V47/(怪物属性!E47^2/(怪物属性!E47+怪物属性!T47))</f>
        <v>30.017646300355505</v>
      </c>
      <c r="AD45" s="42">
        <f>怪物属性!D47/(怪物属性!R47^2/(怪物属性!R47+怪物属性!F47))</f>
        <v>5.124942227601136</v>
      </c>
    </row>
    <row r="46" spans="2:30" x14ac:dyDescent="0.15">
      <c r="B46" s="57">
        <v>1</v>
      </c>
      <c r="C46" s="57">
        <v>3</v>
      </c>
      <c r="D46" s="57">
        <v>892</v>
      </c>
      <c r="E46" s="57">
        <v>3481</v>
      </c>
      <c r="F46" s="57">
        <v>3</v>
      </c>
      <c r="G46" s="57">
        <v>0</v>
      </c>
      <c r="H46" s="57">
        <v>1</v>
      </c>
      <c r="I46" s="57">
        <v>2</v>
      </c>
      <c r="J46" s="57">
        <v>1</v>
      </c>
      <c r="K46" s="57">
        <v>4</v>
      </c>
      <c r="L46" s="105" t="s">
        <v>679</v>
      </c>
      <c r="M46" s="105" t="s">
        <v>679</v>
      </c>
      <c r="N46" s="105" t="s">
        <v>679</v>
      </c>
      <c r="O46" s="105" t="s">
        <v>679</v>
      </c>
      <c r="P46" s="105" t="s">
        <v>679</v>
      </c>
      <c r="Q46" s="105" t="s">
        <v>679</v>
      </c>
      <c r="R46" s="105" t="s">
        <v>679</v>
      </c>
      <c r="S46" s="105" t="s">
        <v>679</v>
      </c>
    </row>
    <row r="47" spans="2:30" x14ac:dyDescent="0.15"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105"/>
      <c r="M47" s="105"/>
      <c r="N47" s="105"/>
      <c r="O47" s="105"/>
      <c r="P47" s="105"/>
      <c r="Q47" s="105"/>
      <c r="R47" s="105"/>
      <c r="S47" s="105"/>
    </row>
    <row r="48" spans="2:30" x14ac:dyDescent="0.15"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105"/>
      <c r="M48" s="105"/>
      <c r="N48" s="105"/>
      <c r="O48" s="105"/>
      <c r="P48" s="105"/>
      <c r="Q48" s="105"/>
      <c r="R48" s="105"/>
      <c r="S48" s="105"/>
    </row>
    <row r="49" spans="2:19" x14ac:dyDescent="0.15"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105"/>
      <c r="M49" s="105"/>
      <c r="N49" s="105"/>
      <c r="O49" s="105"/>
      <c r="P49" s="105"/>
      <c r="Q49" s="105"/>
      <c r="R49" s="105"/>
      <c r="S49" s="105"/>
    </row>
    <row r="50" spans="2:19" x14ac:dyDescent="0.15"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105"/>
      <c r="M50" s="105"/>
      <c r="N50" s="105"/>
      <c r="O50" s="105"/>
      <c r="P50" s="105"/>
      <c r="Q50" s="105"/>
      <c r="R50" s="105"/>
      <c r="S50" s="105"/>
    </row>
    <row r="51" spans="2:19" x14ac:dyDescent="0.15"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105"/>
      <c r="M51" s="105"/>
      <c r="N51" s="105"/>
      <c r="O51" s="105"/>
      <c r="P51" s="105"/>
      <c r="Q51" s="105"/>
      <c r="R51" s="105"/>
      <c r="S51" s="105"/>
    </row>
    <row r="52" spans="2:19" x14ac:dyDescent="0.15"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105"/>
      <c r="M52" s="105"/>
      <c r="N52" s="105"/>
      <c r="O52" s="105"/>
      <c r="P52" s="105"/>
      <c r="Q52" s="105"/>
      <c r="R52" s="105"/>
      <c r="S52" s="105"/>
    </row>
    <row r="53" spans="2:19" x14ac:dyDescent="0.15"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105"/>
      <c r="M53" s="105"/>
      <c r="N53" s="105"/>
      <c r="O53" s="105"/>
      <c r="P53" s="105"/>
      <c r="Q53" s="105"/>
      <c r="R53" s="105"/>
      <c r="S53" s="105"/>
    </row>
    <row r="54" spans="2:19" x14ac:dyDescent="0.15"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105"/>
      <c r="M54" s="105"/>
      <c r="N54" s="105"/>
      <c r="O54" s="105"/>
      <c r="P54" s="105"/>
      <c r="Q54" s="105"/>
      <c r="R54" s="105"/>
      <c r="S54" s="105"/>
    </row>
    <row r="55" spans="2:19" x14ac:dyDescent="0.15"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105"/>
      <c r="M55" s="105"/>
      <c r="N55" s="105"/>
      <c r="O55" s="105"/>
      <c r="P55" s="105"/>
      <c r="Q55" s="105"/>
      <c r="R55" s="105"/>
      <c r="S55" s="105"/>
    </row>
    <row r="56" spans="2:19" x14ac:dyDescent="0.15"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105"/>
      <c r="M56" s="105"/>
      <c r="N56" s="105"/>
      <c r="O56" s="105"/>
      <c r="P56" s="105"/>
      <c r="Q56" s="105"/>
      <c r="R56" s="105"/>
      <c r="S56" s="105"/>
    </row>
    <row r="57" spans="2:19" x14ac:dyDescent="0.15"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105"/>
      <c r="M57" s="105"/>
      <c r="N57" s="105"/>
      <c r="O57" s="105"/>
      <c r="P57" s="105"/>
      <c r="Q57" s="105"/>
      <c r="R57" s="105"/>
      <c r="S57" s="105"/>
    </row>
    <row r="58" spans="2:19" x14ac:dyDescent="0.15"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105"/>
      <c r="M58" s="105"/>
      <c r="N58" s="105"/>
      <c r="O58" s="105"/>
      <c r="P58" s="105"/>
      <c r="Q58" s="105"/>
      <c r="R58" s="105"/>
      <c r="S58" s="105"/>
    </row>
    <row r="59" spans="2:19" x14ac:dyDescent="0.15"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105"/>
      <c r="M59" s="105"/>
      <c r="N59" s="105"/>
      <c r="O59" s="105"/>
      <c r="P59" s="105"/>
      <c r="Q59" s="105"/>
      <c r="R59" s="105"/>
      <c r="S59" s="105"/>
    </row>
    <row r="60" spans="2:19" x14ac:dyDescent="0.15"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105"/>
      <c r="M60" s="105"/>
      <c r="N60" s="105"/>
      <c r="O60" s="105"/>
      <c r="P60" s="105"/>
      <c r="Q60" s="105"/>
      <c r="R60" s="105"/>
      <c r="S60" s="105"/>
    </row>
    <row r="61" spans="2:19" x14ac:dyDescent="0.15"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105"/>
      <c r="M61" s="105"/>
      <c r="N61" s="105"/>
      <c r="O61" s="105"/>
      <c r="P61" s="105"/>
      <c r="Q61" s="105"/>
      <c r="R61" s="105"/>
      <c r="S61" s="105"/>
    </row>
    <row r="62" spans="2:19" x14ac:dyDescent="0.15"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105"/>
      <c r="M62" s="105"/>
      <c r="N62" s="105"/>
      <c r="O62" s="105"/>
      <c r="P62" s="105"/>
      <c r="Q62" s="105"/>
      <c r="R62" s="105"/>
      <c r="S62" s="105"/>
    </row>
    <row r="63" spans="2:19" x14ac:dyDescent="0.15"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105"/>
      <c r="M63" s="105"/>
      <c r="N63" s="105"/>
      <c r="O63" s="105"/>
      <c r="P63" s="105"/>
      <c r="Q63" s="105"/>
      <c r="R63" s="105"/>
      <c r="S63" s="105"/>
    </row>
    <row r="64" spans="2:19" x14ac:dyDescent="0.15"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105"/>
      <c r="M64" s="105"/>
      <c r="N64" s="105"/>
      <c r="O64" s="105"/>
      <c r="P64" s="105"/>
      <c r="Q64" s="105"/>
      <c r="R64" s="105"/>
      <c r="S64" s="105"/>
    </row>
    <row r="65" spans="2:19" x14ac:dyDescent="0.15"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105"/>
      <c r="M65" s="105"/>
      <c r="N65" s="105"/>
      <c r="O65" s="105"/>
      <c r="P65" s="105"/>
      <c r="Q65" s="105"/>
      <c r="R65" s="105"/>
      <c r="S65" s="105"/>
    </row>
    <row r="66" spans="2:19" x14ac:dyDescent="0.15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05"/>
      <c r="M66" s="105"/>
      <c r="N66" s="105"/>
      <c r="O66" s="105"/>
      <c r="P66" s="105"/>
      <c r="Q66" s="105"/>
      <c r="R66" s="105"/>
      <c r="S66" s="105"/>
    </row>
    <row r="67" spans="2:19" x14ac:dyDescent="0.15"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105"/>
      <c r="M67" s="105"/>
      <c r="N67" s="105"/>
      <c r="O67" s="105"/>
      <c r="P67" s="105"/>
      <c r="Q67" s="105"/>
      <c r="R67" s="105"/>
      <c r="S67" s="105"/>
    </row>
    <row r="68" spans="2:19" x14ac:dyDescent="0.15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105"/>
      <c r="M68" s="105"/>
      <c r="N68" s="105"/>
      <c r="O68" s="105"/>
      <c r="P68" s="105"/>
      <c r="Q68" s="105"/>
      <c r="R68" s="105"/>
      <c r="S68" s="105"/>
    </row>
    <row r="69" spans="2:19" x14ac:dyDescent="0.15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105"/>
      <c r="M69" s="105"/>
      <c r="N69" s="105"/>
      <c r="O69" s="105"/>
      <c r="P69" s="105"/>
      <c r="Q69" s="105"/>
      <c r="R69" s="105"/>
      <c r="S69" s="105"/>
    </row>
    <row r="70" spans="2:19" x14ac:dyDescent="0.15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105"/>
      <c r="M70" s="105"/>
      <c r="N70" s="105"/>
      <c r="O70" s="105"/>
      <c r="P70" s="105"/>
      <c r="Q70" s="105"/>
      <c r="R70" s="105"/>
      <c r="S70" s="105"/>
    </row>
    <row r="71" spans="2:19" x14ac:dyDescent="0.15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105"/>
      <c r="M71" s="105"/>
      <c r="N71" s="105"/>
      <c r="O71" s="105"/>
      <c r="P71" s="105"/>
      <c r="Q71" s="105"/>
      <c r="R71" s="105"/>
      <c r="S71" s="105"/>
    </row>
    <row r="72" spans="2:19" x14ac:dyDescent="0.15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105"/>
      <c r="M72" s="105"/>
      <c r="N72" s="105"/>
      <c r="O72" s="105"/>
      <c r="P72" s="105"/>
      <c r="Q72" s="105"/>
      <c r="R72" s="105"/>
      <c r="S72" s="105"/>
    </row>
    <row r="73" spans="2:19" x14ac:dyDescent="0.15"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105"/>
      <c r="M73" s="105"/>
      <c r="N73" s="105"/>
      <c r="O73" s="105"/>
      <c r="P73" s="105"/>
      <c r="Q73" s="105"/>
      <c r="R73" s="105"/>
      <c r="S73" s="105"/>
    </row>
    <row r="74" spans="2:19" x14ac:dyDescent="0.15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105"/>
      <c r="M74" s="105"/>
      <c r="N74" s="105"/>
      <c r="O74" s="105"/>
      <c r="P74" s="105"/>
      <c r="Q74" s="105"/>
      <c r="R74" s="105"/>
      <c r="S74" s="105"/>
    </row>
    <row r="75" spans="2:19" x14ac:dyDescent="0.15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105"/>
      <c r="M75" s="105"/>
      <c r="N75" s="105"/>
      <c r="O75" s="105"/>
      <c r="P75" s="105"/>
      <c r="Q75" s="105"/>
      <c r="R75" s="105"/>
      <c r="S75" s="105"/>
    </row>
    <row r="76" spans="2:19" x14ac:dyDescent="0.15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105"/>
      <c r="M76" s="105"/>
      <c r="N76" s="105"/>
      <c r="O76" s="105"/>
      <c r="P76" s="105"/>
      <c r="Q76" s="105"/>
      <c r="R76" s="105"/>
      <c r="S76" s="105"/>
    </row>
    <row r="77" spans="2:19" x14ac:dyDescent="0.15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105"/>
      <c r="M77" s="105"/>
      <c r="N77" s="105"/>
      <c r="O77" s="105"/>
      <c r="P77" s="105"/>
      <c r="Q77" s="105"/>
      <c r="R77" s="105"/>
      <c r="S77" s="105"/>
    </row>
    <row r="78" spans="2:19" x14ac:dyDescent="0.15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105"/>
      <c r="M78" s="105"/>
      <c r="N78" s="105"/>
      <c r="O78" s="105"/>
      <c r="P78" s="105"/>
      <c r="Q78" s="105"/>
      <c r="R78" s="105"/>
      <c r="S78" s="105"/>
    </row>
    <row r="79" spans="2:19" x14ac:dyDescent="0.15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105"/>
      <c r="M79" s="105"/>
      <c r="N79" s="105"/>
      <c r="O79" s="105"/>
      <c r="P79" s="105"/>
      <c r="Q79" s="105"/>
      <c r="R79" s="105"/>
      <c r="S79" s="105"/>
    </row>
    <row r="80" spans="2:19" x14ac:dyDescent="0.15"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105"/>
      <c r="M80" s="105"/>
      <c r="N80" s="105"/>
      <c r="O80" s="105"/>
      <c r="P80" s="105"/>
      <c r="Q80" s="105"/>
      <c r="R80" s="105"/>
      <c r="S80" s="105"/>
    </row>
    <row r="81" spans="2:19" x14ac:dyDescent="0.15"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105"/>
      <c r="M81" s="105"/>
      <c r="N81" s="105"/>
      <c r="O81" s="105"/>
      <c r="P81" s="105"/>
      <c r="Q81" s="105"/>
      <c r="R81" s="105"/>
      <c r="S81" s="105"/>
    </row>
    <row r="82" spans="2:19" x14ac:dyDescent="0.15"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105"/>
      <c r="M82" s="105"/>
      <c r="N82" s="105"/>
      <c r="O82" s="105"/>
      <c r="P82" s="105"/>
      <c r="Q82" s="105"/>
      <c r="R82" s="105"/>
      <c r="S82" s="105"/>
    </row>
    <row r="83" spans="2:19" x14ac:dyDescent="0.15"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105"/>
      <c r="M83" s="105"/>
      <c r="N83" s="105"/>
      <c r="O83" s="105"/>
      <c r="P83" s="105"/>
      <c r="Q83" s="105"/>
      <c r="R83" s="105"/>
      <c r="S83" s="105"/>
    </row>
    <row r="84" spans="2:19" x14ac:dyDescent="0.15"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105"/>
      <c r="M84" s="105"/>
      <c r="N84" s="105"/>
      <c r="O84" s="105"/>
      <c r="P84" s="105"/>
      <c r="Q84" s="105"/>
      <c r="R84" s="105"/>
      <c r="S84" s="105"/>
    </row>
    <row r="85" spans="2:19" x14ac:dyDescent="0.15"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105"/>
      <c r="M85" s="105"/>
      <c r="N85" s="105"/>
      <c r="O85" s="105"/>
      <c r="P85" s="105"/>
      <c r="Q85" s="105"/>
      <c r="R85" s="105"/>
      <c r="S85" s="105"/>
    </row>
    <row r="86" spans="2:19" x14ac:dyDescent="0.15"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105"/>
      <c r="M86" s="105"/>
      <c r="N86" s="105"/>
      <c r="O86" s="105"/>
      <c r="P86" s="105"/>
      <c r="Q86" s="105"/>
      <c r="R86" s="105"/>
      <c r="S86" s="105"/>
    </row>
    <row r="87" spans="2:19" x14ac:dyDescent="0.15"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69"/>
      <c r="M87" s="69"/>
      <c r="N87" s="69"/>
      <c r="O87" s="69"/>
      <c r="P87" s="69"/>
      <c r="Q87" s="69"/>
      <c r="R87" s="69"/>
      <c r="S87" s="69"/>
    </row>
    <row r="88" spans="2:19" x14ac:dyDescent="0.15"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69"/>
      <c r="M88" s="69"/>
      <c r="N88" s="69"/>
      <c r="O88" s="69"/>
      <c r="P88" s="69"/>
      <c r="Q88" s="69"/>
      <c r="R88" s="69"/>
      <c r="S88" s="69"/>
    </row>
    <row r="89" spans="2:19" x14ac:dyDescent="0.15"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69"/>
      <c r="M89" s="69"/>
      <c r="N89" s="69"/>
      <c r="O89" s="69"/>
      <c r="P89" s="69"/>
      <c r="Q89" s="69"/>
      <c r="R89" s="69"/>
      <c r="S89" s="69"/>
    </row>
    <row r="90" spans="2:19" x14ac:dyDescent="0.15"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69"/>
      <c r="M90" s="69"/>
      <c r="N90" s="69"/>
      <c r="O90" s="69"/>
      <c r="P90" s="69"/>
      <c r="Q90" s="69"/>
      <c r="R90" s="69"/>
      <c r="S90" s="69"/>
    </row>
    <row r="91" spans="2:19" x14ac:dyDescent="0.15"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69"/>
      <c r="M91" s="69"/>
      <c r="N91" s="69"/>
      <c r="O91" s="69"/>
      <c r="P91" s="69"/>
      <c r="Q91" s="69"/>
      <c r="R91" s="69"/>
      <c r="S91" s="69"/>
    </row>
    <row r="92" spans="2:19" x14ac:dyDescent="0.15"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69"/>
      <c r="M92" s="69"/>
      <c r="N92" s="69"/>
      <c r="O92" s="69"/>
      <c r="P92" s="69"/>
      <c r="Q92" s="69"/>
      <c r="R92" s="69"/>
      <c r="S92" s="69"/>
    </row>
    <row r="93" spans="2:19" x14ac:dyDescent="0.15"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69"/>
      <c r="M93" s="69"/>
      <c r="N93" s="69"/>
      <c r="O93" s="69"/>
      <c r="P93" s="69"/>
      <c r="Q93" s="69"/>
      <c r="R93" s="69"/>
      <c r="S93" s="69"/>
    </row>
    <row r="94" spans="2:19" x14ac:dyDescent="0.15"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69"/>
      <c r="M94" s="69"/>
      <c r="N94" s="69"/>
      <c r="O94" s="69"/>
      <c r="P94" s="69"/>
      <c r="Q94" s="69"/>
      <c r="R94" s="69"/>
      <c r="S94" s="69"/>
    </row>
    <row r="95" spans="2:19" x14ac:dyDescent="0.15"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69"/>
      <c r="M95" s="69"/>
      <c r="N95" s="69"/>
      <c r="O95" s="69"/>
      <c r="P95" s="69"/>
      <c r="Q95" s="69"/>
      <c r="R95" s="69"/>
      <c r="S95" s="69"/>
    </row>
    <row r="96" spans="2:19" x14ac:dyDescent="0.15"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69"/>
      <c r="M96" s="69"/>
      <c r="N96" s="69"/>
      <c r="O96" s="69"/>
      <c r="P96" s="69"/>
      <c r="Q96" s="69"/>
      <c r="R96" s="69"/>
      <c r="S96" s="69"/>
    </row>
    <row r="97" spans="2:19" x14ac:dyDescent="0.15"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69"/>
      <c r="M97" s="69"/>
      <c r="N97" s="69"/>
      <c r="O97" s="69"/>
      <c r="P97" s="69"/>
      <c r="Q97" s="69"/>
      <c r="R97" s="69"/>
      <c r="S97" s="69"/>
    </row>
    <row r="98" spans="2:19" x14ac:dyDescent="0.15"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69"/>
      <c r="M98" s="69"/>
      <c r="N98" s="69"/>
      <c r="O98" s="69"/>
      <c r="P98" s="69"/>
      <c r="Q98" s="69"/>
      <c r="R98" s="69"/>
      <c r="S98" s="69"/>
    </row>
    <row r="99" spans="2:19" x14ac:dyDescent="0.15"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69"/>
      <c r="M99" s="69"/>
      <c r="N99" s="69"/>
      <c r="O99" s="69"/>
      <c r="P99" s="69"/>
      <c r="Q99" s="69"/>
      <c r="R99" s="69"/>
      <c r="S99" s="69"/>
    </row>
    <row r="100" spans="2:19" x14ac:dyDescent="0.15"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69"/>
      <c r="M100" s="69"/>
      <c r="N100" s="69"/>
      <c r="O100" s="69"/>
      <c r="P100" s="69"/>
      <c r="Q100" s="69"/>
      <c r="R100" s="69"/>
      <c r="S100" s="69"/>
    </row>
    <row r="101" spans="2:19" x14ac:dyDescent="0.15"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69"/>
      <c r="M101" s="69"/>
      <c r="N101" s="69"/>
      <c r="O101" s="69"/>
      <c r="P101" s="69"/>
      <c r="Q101" s="69"/>
      <c r="R101" s="69"/>
      <c r="S101" s="69"/>
    </row>
    <row r="102" spans="2:19" x14ac:dyDescent="0.15"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69"/>
      <c r="M102" s="69"/>
      <c r="N102" s="69"/>
      <c r="O102" s="69"/>
      <c r="P102" s="69"/>
      <c r="Q102" s="69"/>
      <c r="R102" s="69"/>
      <c r="S102" s="69"/>
    </row>
    <row r="103" spans="2:19" x14ac:dyDescent="0.15"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69"/>
      <c r="M103" s="69"/>
      <c r="N103" s="69"/>
      <c r="O103" s="69"/>
      <c r="P103" s="69"/>
      <c r="Q103" s="69"/>
      <c r="R103" s="69"/>
      <c r="S103" s="69"/>
    </row>
    <row r="104" spans="2:19" x14ac:dyDescent="0.15"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69"/>
      <c r="M104" s="69"/>
      <c r="N104" s="69"/>
      <c r="O104" s="69"/>
      <c r="P104" s="69"/>
      <c r="Q104" s="69"/>
      <c r="R104" s="69"/>
      <c r="S104" s="69"/>
    </row>
    <row r="105" spans="2:19" x14ac:dyDescent="0.15"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69"/>
      <c r="M105" s="69"/>
      <c r="N105" s="69"/>
      <c r="O105" s="69"/>
      <c r="P105" s="69"/>
      <c r="Q105" s="69"/>
      <c r="R105" s="69"/>
      <c r="S105" s="69"/>
    </row>
    <row r="106" spans="2:19" x14ac:dyDescent="0.15"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69"/>
      <c r="M106" s="69"/>
      <c r="N106" s="69"/>
      <c r="O106" s="69"/>
      <c r="P106" s="69"/>
      <c r="Q106" s="69"/>
      <c r="R106" s="69"/>
      <c r="S106" s="69"/>
    </row>
    <row r="107" spans="2:19" x14ac:dyDescent="0.15"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69"/>
      <c r="M107" s="69"/>
      <c r="N107" s="69"/>
      <c r="O107" s="69"/>
      <c r="P107" s="69"/>
      <c r="Q107" s="69"/>
      <c r="R107" s="69"/>
      <c r="S107" s="69"/>
    </row>
    <row r="108" spans="2:19" x14ac:dyDescent="0.15"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69"/>
      <c r="M108" s="69"/>
      <c r="N108" s="69"/>
      <c r="O108" s="69"/>
      <c r="P108" s="69"/>
      <c r="Q108" s="69"/>
      <c r="R108" s="69"/>
      <c r="S108" s="69"/>
    </row>
    <row r="109" spans="2:19" x14ac:dyDescent="0.15"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69"/>
      <c r="M109" s="69"/>
      <c r="N109" s="69"/>
      <c r="O109" s="69"/>
      <c r="P109" s="69"/>
      <c r="Q109" s="69"/>
      <c r="R109" s="69"/>
      <c r="S109" s="69"/>
    </row>
    <row r="110" spans="2:19" x14ac:dyDescent="0.15"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69"/>
      <c r="M110" s="69"/>
      <c r="N110" s="69"/>
      <c r="O110" s="69"/>
      <c r="P110" s="69"/>
      <c r="Q110" s="69"/>
      <c r="R110" s="69"/>
      <c r="S110" s="69"/>
    </row>
    <row r="111" spans="2:19" x14ac:dyDescent="0.15"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69"/>
      <c r="M111" s="69"/>
      <c r="N111" s="69"/>
      <c r="O111" s="69"/>
      <c r="P111" s="69"/>
      <c r="Q111" s="69"/>
      <c r="R111" s="69"/>
      <c r="S111" s="69"/>
    </row>
    <row r="112" spans="2:19" x14ac:dyDescent="0.15">
      <c r="L112" s="75"/>
      <c r="M112" s="75"/>
      <c r="N112" s="75"/>
      <c r="O112" s="75"/>
      <c r="P112" s="75"/>
      <c r="Q112" s="75"/>
      <c r="R112" s="75"/>
      <c r="S112" s="75"/>
    </row>
    <row r="113" spans="12:19" x14ac:dyDescent="0.15">
      <c r="L113" s="75"/>
      <c r="M113" s="75"/>
      <c r="N113" s="75"/>
      <c r="O113" s="75"/>
      <c r="P113" s="75"/>
      <c r="Q113" s="75"/>
      <c r="R113" s="75"/>
      <c r="S113" s="75"/>
    </row>
    <row r="114" spans="12:19" x14ac:dyDescent="0.15">
      <c r="L114" s="75"/>
      <c r="M114" s="75"/>
      <c r="N114" s="75"/>
      <c r="O114" s="75"/>
      <c r="P114" s="75"/>
      <c r="Q114" s="75"/>
      <c r="R114" s="75"/>
      <c r="S114" s="75"/>
    </row>
    <row r="115" spans="12:19" x14ac:dyDescent="0.15">
      <c r="L115" s="75"/>
      <c r="M115" s="75"/>
      <c r="N115" s="75"/>
      <c r="O115" s="75"/>
      <c r="P115" s="75"/>
      <c r="Q115" s="75"/>
      <c r="R115" s="75"/>
      <c r="S115" s="75"/>
    </row>
    <row r="116" spans="12:19" x14ac:dyDescent="0.15">
      <c r="L116" s="75"/>
      <c r="M116" s="75"/>
      <c r="N116" s="75"/>
      <c r="O116" s="75"/>
      <c r="P116" s="75"/>
      <c r="Q116" s="75"/>
      <c r="R116" s="75"/>
      <c r="S116" s="75"/>
    </row>
    <row r="117" spans="12:19" x14ac:dyDescent="0.15">
      <c r="L117" s="75"/>
      <c r="M117" s="75"/>
      <c r="N117" s="75"/>
      <c r="O117" s="75"/>
      <c r="P117" s="75"/>
      <c r="Q117" s="75"/>
      <c r="R117" s="75"/>
      <c r="S117" s="75"/>
    </row>
    <row r="118" spans="12:19" x14ac:dyDescent="0.15">
      <c r="L118" s="75"/>
      <c r="M118" s="75"/>
      <c r="N118" s="75"/>
      <c r="O118" s="75"/>
      <c r="P118" s="75"/>
      <c r="Q118" s="75"/>
      <c r="R118" s="75"/>
      <c r="S118" s="75"/>
    </row>
    <row r="119" spans="12:19" x14ac:dyDescent="0.15">
      <c r="L119" s="75"/>
      <c r="M119" s="75"/>
      <c r="N119" s="75"/>
      <c r="O119" s="75"/>
      <c r="P119" s="75"/>
      <c r="Q119" s="75"/>
      <c r="R119" s="75"/>
      <c r="S119" s="75"/>
    </row>
    <row r="120" spans="12:19" x14ac:dyDescent="0.15">
      <c r="L120" s="75"/>
      <c r="M120" s="75"/>
      <c r="N120" s="75"/>
      <c r="O120" s="75"/>
      <c r="P120" s="75"/>
      <c r="Q120" s="75"/>
      <c r="R120" s="75"/>
      <c r="S120" s="75"/>
    </row>
    <row r="121" spans="12:19" x14ac:dyDescent="0.15">
      <c r="L121" s="75"/>
      <c r="M121" s="75"/>
      <c r="N121" s="75"/>
      <c r="O121" s="75"/>
      <c r="P121" s="75"/>
      <c r="Q121" s="75"/>
      <c r="R121" s="75"/>
      <c r="S121" s="75"/>
    </row>
    <row r="122" spans="12:19" x14ac:dyDescent="0.15">
      <c r="L122" s="75"/>
      <c r="M122" s="75"/>
      <c r="N122" s="75"/>
      <c r="O122" s="75"/>
      <c r="P122" s="75"/>
      <c r="Q122" s="75"/>
      <c r="R122" s="75"/>
      <c r="S122" s="75"/>
    </row>
    <row r="123" spans="12:19" x14ac:dyDescent="0.15">
      <c r="L123" s="75"/>
      <c r="M123" s="75"/>
      <c r="N123" s="75"/>
      <c r="O123" s="75"/>
      <c r="P123" s="75"/>
      <c r="Q123" s="75"/>
      <c r="R123" s="75"/>
      <c r="S123" s="75"/>
    </row>
    <row r="124" spans="12:19" x14ac:dyDescent="0.15">
      <c r="L124" s="75"/>
      <c r="M124" s="75"/>
      <c r="N124" s="75"/>
      <c r="O124" s="75"/>
      <c r="P124" s="75"/>
      <c r="Q124" s="75"/>
      <c r="R124" s="75"/>
      <c r="S124" s="75"/>
    </row>
    <row r="125" spans="12:19" x14ac:dyDescent="0.15">
      <c r="L125" s="75"/>
      <c r="M125" s="75"/>
      <c r="N125" s="75"/>
      <c r="O125" s="75"/>
      <c r="P125" s="75"/>
      <c r="Q125" s="75"/>
      <c r="R125" s="75"/>
      <c r="S125" s="75"/>
    </row>
    <row r="126" spans="12:19" x14ac:dyDescent="0.15">
      <c r="L126" s="75"/>
      <c r="M126" s="75"/>
      <c r="N126" s="75"/>
      <c r="O126" s="75"/>
      <c r="P126" s="75"/>
      <c r="Q126" s="75"/>
      <c r="R126" s="75"/>
      <c r="S126" s="75"/>
    </row>
    <row r="127" spans="12:19" x14ac:dyDescent="0.15">
      <c r="L127" s="75"/>
      <c r="M127" s="75"/>
      <c r="N127" s="75"/>
      <c r="O127" s="75"/>
      <c r="P127" s="75"/>
      <c r="Q127" s="75"/>
      <c r="R127" s="75"/>
      <c r="S127" s="75"/>
    </row>
    <row r="128" spans="12:19" x14ac:dyDescent="0.15">
      <c r="L128" s="75"/>
      <c r="M128" s="75"/>
      <c r="N128" s="75"/>
      <c r="O128" s="75"/>
      <c r="P128" s="75"/>
      <c r="Q128" s="75"/>
      <c r="R128" s="75"/>
      <c r="S128" s="75"/>
    </row>
    <row r="129" spans="12:19" x14ac:dyDescent="0.15">
      <c r="L129" s="75"/>
      <c r="M129" s="75"/>
      <c r="N129" s="75"/>
      <c r="O129" s="75"/>
      <c r="P129" s="75"/>
      <c r="Q129" s="75"/>
      <c r="R129" s="75"/>
      <c r="S129" s="75"/>
    </row>
    <row r="130" spans="12:19" x14ac:dyDescent="0.15">
      <c r="L130" s="75"/>
      <c r="M130" s="75"/>
      <c r="N130" s="75"/>
      <c r="O130" s="75"/>
      <c r="P130" s="75"/>
      <c r="Q130" s="75"/>
      <c r="R130" s="75"/>
      <c r="S130" s="75"/>
    </row>
    <row r="131" spans="12:19" x14ac:dyDescent="0.15">
      <c r="L131" s="75"/>
      <c r="M131" s="75"/>
      <c r="N131" s="75"/>
      <c r="O131" s="75"/>
      <c r="P131" s="75"/>
      <c r="Q131" s="75"/>
      <c r="R131" s="75"/>
      <c r="S131" s="75"/>
    </row>
    <row r="132" spans="12:19" x14ac:dyDescent="0.15">
      <c r="L132" s="75"/>
      <c r="M132" s="75"/>
      <c r="N132" s="75"/>
      <c r="O132" s="75"/>
      <c r="P132" s="75"/>
      <c r="Q132" s="75"/>
      <c r="R132" s="75"/>
      <c r="S132" s="75"/>
    </row>
    <row r="133" spans="12:19" x14ac:dyDescent="0.15">
      <c r="L133" s="75"/>
      <c r="M133" s="75"/>
      <c r="N133" s="75"/>
      <c r="O133" s="75"/>
      <c r="P133" s="75"/>
      <c r="Q133" s="75"/>
      <c r="R133" s="75"/>
      <c r="S133" s="75"/>
    </row>
    <row r="134" spans="12:19" x14ac:dyDescent="0.15">
      <c r="L134" s="75"/>
      <c r="M134" s="75"/>
      <c r="N134" s="75"/>
      <c r="O134" s="75"/>
      <c r="P134" s="75"/>
      <c r="Q134" s="75"/>
      <c r="R134" s="75"/>
      <c r="S134" s="75"/>
    </row>
    <row r="135" spans="12:19" x14ac:dyDescent="0.15">
      <c r="L135" s="75"/>
      <c r="M135" s="75"/>
      <c r="N135" s="75"/>
      <c r="O135" s="75"/>
      <c r="P135" s="75"/>
      <c r="Q135" s="75"/>
      <c r="R135" s="75"/>
      <c r="S135" s="75"/>
    </row>
    <row r="136" spans="12:19" x14ac:dyDescent="0.15">
      <c r="L136" s="75"/>
      <c r="M136" s="75"/>
      <c r="N136" s="75"/>
      <c r="O136" s="75"/>
      <c r="P136" s="75"/>
      <c r="Q136" s="75"/>
      <c r="R136" s="75"/>
      <c r="S136" s="75"/>
    </row>
    <row r="137" spans="12:19" x14ac:dyDescent="0.15">
      <c r="L137" s="75"/>
      <c r="M137" s="75"/>
      <c r="N137" s="75"/>
      <c r="O137" s="75"/>
      <c r="P137" s="75"/>
      <c r="Q137" s="75"/>
      <c r="R137" s="75"/>
      <c r="S137" s="75"/>
    </row>
    <row r="138" spans="12:19" x14ac:dyDescent="0.15">
      <c r="L138" s="75"/>
      <c r="M138" s="75"/>
      <c r="N138" s="75"/>
      <c r="O138" s="75"/>
      <c r="P138" s="75"/>
      <c r="Q138" s="75"/>
      <c r="R138" s="75"/>
      <c r="S138" s="75"/>
    </row>
    <row r="139" spans="12:19" x14ac:dyDescent="0.15">
      <c r="L139" s="75"/>
      <c r="M139" s="75"/>
      <c r="N139" s="75"/>
      <c r="O139" s="75"/>
      <c r="P139" s="75"/>
      <c r="Q139" s="75"/>
      <c r="R139" s="75"/>
      <c r="S139" s="75"/>
    </row>
    <row r="140" spans="12:19" x14ac:dyDescent="0.15">
      <c r="L140" s="75"/>
      <c r="M140" s="75"/>
      <c r="N140" s="75"/>
      <c r="O140" s="75"/>
      <c r="P140" s="75"/>
      <c r="Q140" s="75"/>
      <c r="R140" s="75"/>
      <c r="S140" s="75"/>
    </row>
    <row r="141" spans="12:19" x14ac:dyDescent="0.15">
      <c r="L141" s="75"/>
      <c r="M141" s="75"/>
      <c r="N141" s="75"/>
      <c r="O141" s="75"/>
      <c r="P141" s="75"/>
      <c r="Q141" s="75"/>
      <c r="R141" s="75"/>
      <c r="S141" s="75"/>
    </row>
    <row r="142" spans="12:19" x14ac:dyDescent="0.15">
      <c r="L142" s="75"/>
      <c r="M142" s="75"/>
      <c r="N142" s="75"/>
      <c r="O142" s="75"/>
      <c r="P142" s="75"/>
      <c r="Q142" s="75"/>
      <c r="R142" s="75"/>
      <c r="S142" s="75"/>
    </row>
    <row r="143" spans="12:19" x14ac:dyDescent="0.15">
      <c r="L143" s="75"/>
      <c r="M143" s="75"/>
      <c r="N143" s="75"/>
      <c r="O143" s="75"/>
      <c r="P143" s="75"/>
      <c r="Q143" s="75"/>
      <c r="R143" s="75"/>
      <c r="S143" s="75"/>
    </row>
    <row r="144" spans="12:19" x14ac:dyDescent="0.15">
      <c r="L144" s="75"/>
      <c r="M144" s="75"/>
      <c r="N144" s="75"/>
      <c r="O144" s="75"/>
      <c r="P144" s="75"/>
      <c r="Q144" s="75"/>
      <c r="R144" s="75"/>
      <c r="S144" s="75"/>
    </row>
    <row r="145" spans="12:19" x14ac:dyDescent="0.15">
      <c r="L145" s="75"/>
      <c r="M145" s="75"/>
      <c r="N145" s="75"/>
      <c r="O145" s="75"/>
      <c r="P145" s="75"/>
      <c r="Q145" s="75"/>
      <c r="R145" s="75"/>
      <c r="S145" s="75"/>
    </row>
    <row r="146" spans="12:19" x14ac:dyDescent="0.15">
      <c r="L146" s="75"/>
      <c r="M146" s="75"/>
      <c r="N146" s="75"/>
      <c r="O146" s="75"/>
      <c r="P146" s="75"/>
      <c r="Q146" s="75"/>
      <c r="R146" s="75"/>
      <c r="S146" s="75"/>
    </row>
    <row r="147" spans="12:19" x14ac:dyDescent="0.15">
      <c r="L147" s="75"/>
      <c r="M147" s="75"/>
      <c r="N147" s="75"/>
      <c r="O147" s="75"/>
      <c r="P147" s="75"/>
      <c r="Q147" s="75"/>
      <c r="R147" s="75"/>
      <c r="S147" s="75"/>
    </row>
    <row r="148" spans="12:19" x14ac:dyDescent="0.15">
      <c r="L148" s="75"/>
      <c r="M148" s="75"/>
      <c r="N148" s="75"/>
      <c r="O148" s="75"/>
      <c r="P148" s="75"/>
      <c r="Q148" s="75"/>
      <c r="R148" s="75"/>
      <c r="S148" s="75"/>
    </row>
    <row r="149" spans="12:19" x14ac:dyDescent="0.15">
      <c r="L149" s="75"/>
      <c r="M149" s="75"/>
      <c r="N149" s="75"/>
      <c r="O149" s="75"/>
      <c r="P149" s="75"/>
      <c r="Q149" s="75"/>
      <c r="R149" s="75"/>
      <c r="S149" s="75"/>
    </row>
    <row r="150" spans="12:19" x14ac:dyDescent="0.15">
      <c r="L150" s="75"/>
      <c r="M150" s="75"/>
      <c r="N150" s="75"/>
      <c r="O150" s="75"/>
      <c r="P150" s="75"/>
      <c r="Q150" s="75"/>
      <c r="R150" s="75"/>
      <c r="S150" s="75"/>
    </row>
    <row r="151" spans="12:19" x14ac:dyDescent="0.15">
      <c r="L151" s="75"/>
      <c r="M151" s="75"/>
      <c r="N151" s="75"/>
      <c r="O151" s="75"/>
      <c r="P151" s="75"/>
      <c r="Q151" s="75"/>
      <c r="R151" s="75"/>
      <c r="S151" s="75"/>
    </row>
    <row r="152" spans="12:19" x14ac:dyDescent="0.15">
      <c r="L152" s="75"/>
      <c r="M152" s="75"/>
      <c r="N152" s="75"/>
      <c r="O152" s="75"/>
      <c r="P152" s="75"/>
      <c r="Q152" s="75"/>
      <c r="R152" s="75"/>
      <c r="S152" s="75"/>
    </row>
    <row r="153" spans="12:19" x14ac:dyDescent="0.15">
      <c r="L153" s="75"/>
      <c r="M153" s="75"/>
      <c r="N153" s="75"/>
      <c r="O153" s="75"/>
      <c r="P153" s="75"/>
      <c r="Q153" s="75"/>
      <c r="R153" s="75"/>
      <c r="S153" s="75"/>
    </row>
    <row r="154" spans="12:19" x14ac:dyDescent="0.15">
      <c r="L154" s="75"/>
      <c r="M154" s="75"/>
      <c r="N154" s="75"/>
      <c r="O154" s="75"/>
      <c r="P154" s="75"/>
      <c r="Q154" s="75"/>
      <c r="R154" s="75"/>
      <c r="S154" s="75"/>
    </row>
    <row r="155" spans="12:19" x14ac:dyDescent="0.15">
      <c r="L155" s="75"/>
      <c r="M155" s="75"/>
      <c r="N155" s="75"/>
      <c r="O155" s="75"/>
      <c r="P155" s="75"/>
      <c r="Q155" s="75"/>
      <c r="R155" s="75"/>
      <c r="S155" s="75"/>
    </row>
    <row r="156" spans="12:19" x14ac:dyDescent="0.15">
      <c r="L156" s="75"/>
      <c r="M156" s="75"/>
      <c r="N156" s="75"/>
      <c r="O156" s="75"/>
      <c r="P156" s="75"/>
      <c r="Q156" s="75"/>
      <c r="R156" s="75"/>
      <c r="S156" s="75"/>
    </row>
    <row r="157" spans="12:19" x14ac:dyDescent="0.15">
      <c r="L157" s="75"/>
      <c r="M157" s="75"/>
      <c r="N157" s="75"/>
      <c r="O157" s="75"/>
      <c r="P157" s="75"/>
      <c r="Q157" s="75"/>
      <c r="R157" s="75"/>
      <c r="S157" s="75"/>
    </row>
    <row r="158" spans="12:19" x14ac:dyDescent="0.15">
      <c r="L158" s="75"/>
      <c r="M158" s="75"/>
      <c r="N158" s="75"/>
      <c r="O158" s="75"/>
      <c r="P158" s="75"/>
      <c r="Q158" s="75"/>
      <c r="R158" s="75"/>
      <c r="S158" s="75"/>
    </row>
    <row r="159" spans="12:19" x14ac:dyDescent="0.15">
      <c r="L159" s="75"/>
      <c r="M159" s="75"/>
      <c r="N159" s="75"/>
      <c r="O159" s="75"/>
      <c r="P159" s="75"/>
      <c r="Q159" s="75"/>
      <c r="R159" s="75"/>
      <c r="S159" s="75"/>
    </row>
    <row r="160" spans="12:19" x14ac:dyDescent="0.15">
      <c r="L160" s="75"/>
      <c r="M160" s="75"/>
      <c r="N160" s="75"/>
      <c r="O160" s="75"/>
      <c r="P160" s="75"/>
      <c r="Q160" s="75"/>
      <c r="R160" s="75"/>
      <c r="S160" s="75"/>
    </row>
    <row r="161" spans="12:19" x14ac:dyDescent="0.15">
      <c r="L161" s="75"/>
      <c r="M161" s="75"/>
      <c r="N161" s="75"/>
      <c r="O161" s="75"/>
      <c r="P161" s="75"/>
      <c r="Q161" s="75"/>
      <c r="R161" s="75"/>
      <c r="S161" s="75"/>
    </row>
    <row r="162" spans="12:19" x14ac:dyDescent="0.15">
      <c r="L162" s="75"/>
      <c r="M162" s="75"/>
      <c r="N162" s="75"/>
      <c r="O162" s="75"/>
      <c r="P162" s="75"/>
      <c r="Q162" s="75"/>
      <c r="R162" s="75"/>
      <c r="S162" s="75"/>
    </row>
    <row r="163" spans="12:19" x14ac:dyDescent="0.15">
      <c r="L163" s="75"/>
      <c r="M163" s="75"/>
      <c r="N163" s="75"/>
      <c r="O163" s="75"/>
      <c r="P163" s="75"/>
      <c r="Q163" s="75"/>
      <c r="R163" s="75"/>
      <c r="S163" s="75"/>
    </row>
    <row r="164" spans="12:19" x14ac:dyDescent="0.15">
      <c r="L164" s="75"/>
      <c r="M164" s="75"/>
      <c r="N164" s="75"/>
      <c r="O164" s="75"/>
      <c r="P164" s="75"/>
      <c r="Q164" s="75"/>
      <c r="R164" s="75"/>
      <c r="S164" s="75"/>
    </row>
    <row r="165" spans="12:19" x14ac:dyDescent="0.15">
      <c r="L165" s="75"/>
      <c r="M165" s="75"/>
      <c r="N165" s="75"/>
      <c r="O165" s="75"/>
      <c r="P165" s="75"/>
      <c r="Q165" s="75"/>
      <c r="R165" s="75"/>
      <c r="S165" s="75"/>
    </row>
    <row r="166" spans="12:19" x14ac:dyDescent="0.15">
      <c r="L166" s="75"/>
      <c r="M166" s="75"/>
      <c r="N166" s="75"/>
      <c r="O166" s="75"/>
      <c r="P166" s="75"/>
      <c r="Q166" s="75"/>
      <c r="R166" s="75"/>
      <c r="S166" s="75"/>
    </row>
    <row r="167" spans="12:19" x14ac:dyDescent="0.15">
      <c r="L167" s="75"/>
      <c r="M167" s="75"/>
      <c r="N167" s="75"/>
      <c r="O167" s="75"/>
      <c r="P167" s="75"/>
      <c r="Q167" s="75"/>
      <c r="R167" s="75"/>
      <c r="S167" s="75"/>
    </row>
    <row r="168" spans="12:19" x14ac:dyDescent="0.15">
      <c r="L168" s="75"/>
      <c r="M168" s="75"/>
      <c r="N168" s="75"/>
      <c r="O168" s="75"/>
      <c r="P168" s="75"/>
      <c r="Q168" s="75"/>
      <c r="R168" s="75"/>
      <c r="S168" s="75"/>
    </row>
    <row r="169" spans="12:19" x14ac:dyDescent="0.15">
      <c r="L169" s="75"/>
      <c r="M169" s="75"/>
      <c r="N169" s="75"/>
      <c r="O169" s="75"/>
      <c r="P169" s="75"/>
      <c r="Q169" s="75"/>
      <c r="R169" s="75"/>
      <c r="S169" s="75"/>
    </row>
    <row r="170" spans="12:19" x14ac:dyDescent="0.15">
      <c r="L170" s="75"/>
      <c r="M170" s="75"/>
      <c r="N170" s="75"/>
      <c r="O170" s="75"/>
      <c r="P170" s="75"/>
      <c r="Q170" s="75"/>
      <c r="R170" s="75"/>
      <c r="S170" s="75"/>
    </row>
    <row r="171" spans="12:19" x14ac:dyDescent="0.15">
      <c r="L171" s="75"/>
      <c r="M171" s="75"/>
      <c r="N171" s="75"/>
      <c r="O171" s="75"/>
      <c r="P171" s="75"/>
      <c r="Q171" s="75"/>
      <c r="R171" s="75"/>
      <c r="S171" s="75"/>
    </row>
    <row r="172" spans="12:19" x14ac:dyDescent="0.15">
      <c r="L172" s="75"/>
      <c r="M172" s="75"/>
      <c r="N172" s="75"/>
      <c r="O172" s="75"/>
      <c r="P172" s="75"/>
      <c r="Q172" s="75"/>
      <c r="R172" s="75"/>
      <c r="S172" s="75"/>
    </row>
    <row r="173" spans="12:19" x14ac:dyDescent="0.15">
      <c r="L173" s="75"/>
      <c r="M173" s="75"/>
      <c r="N173" s="75"/>
      <c r="O173" s="75"/>
      <c r="P173" s="75"/>
      <c r="Q173" s="75"/>
      <c r="R173" s="75"/>
      <c r="S173" s="75"/>
    </row>
    <row r="174" spans="12:19" x14ac:dyDescent="0.15">
      <c r="L174" s="75"/>
      <c r="M174" s="75"/>
      <c r="N174" s="75"/>
      <c r="O174" s="75"/>
      <c r="P174" s="75"/>
      <c r="Q174" s="75"/>
      <c r="R174" s="75"/>
      <c r="S174" s="75"/>
    </row>
    <row r="175" spans="12:19" x14ac:dyDescent="0.15">
      <c r="L175" s="75"/>
      <c r="M175" s="75"/>
      <c r="N175" s="75"/>
      <c r="O175" s="75"/>
      <c r="P175" s="75"/>
      <c r="Q175" s="75"/>
      <c r="R175" s="75"/>
      <c r="S175" s="75"/>
    </row>
    <row r="176" spans="12:19" x14ac:dyDescent="0.15">
      <c r="L176" s="75"/>
      <c r="M176" s="75"/>
      <c r="N176" s="75"/>
      <c r="O176" s="75"/>
      <c r="P176" s="75"/>
      <c r="Q176" s="75"/>
      <c r="R176" s="75"/>
      <c r="S176" s="75"/>
    </row>
    <row r="177" spans="12:19" x14ac:dyDescent="0.15">
      <c r="L177" s="75"/>
      <c r="M177" s="75"/>
      <c r="N177" s="75"/>
      <c r="O177" s="75"/>
      <c r="P177" s="75"/>
      <c r="Q177" s="75"/>
      <c r="R177" s="75"/>
      <c r="S177" s="75"/>
    </row>
    <row r="178" spans="12:19" x14ac:dyDescent="0.15">
      <c r="L178" s="75"/>
      <c r="M178" s="75"/>
      <c r="N178" s="75"/>
      <c r="O178" s="75"/>
      <c r="P178" s="75"/>
      <c r="Q178" s="75"/>
      <c r="R178" s="75"/>
      <c r="S178" s="75"/>
    </row>
    <row r="179" spans="12:19" x14ac:dyDescent="0.15">
      <c r="L179" s="75"/>
      <c r="M179" s="75"/>
      <c r="N179" s="75"/>
      <c r="O179" s="75"/>
      <c r="P179" s="75"/>
      <c r="Q179" s="75"/>
      <c r="R179" s="75"/>
      <c r="S179" s="75"/>
    </row>
    <row r="180" spans="12:19" x14ac:dyDescent="0.15">
      <c r="L180" s="75"/>
      <c r="M180" s="75"/>
      <c r="N180" s="75"/>
      <c r="O180" s="75"/>
      <c r="P180" s="75"/>
      <c r="Q180" s="75"/>
      <c r="R180" s="75"/>
      <c r="S180" s="75"/>
    </row>
    <row r="181" spans="12:19" x14ac:dyDescent="0.15">
      <c r="L181" s="75"/>
      <c r="M181" s="75"/>
      <c r="N181" s="75"/>
      <c r="O181" s="75"/>
      <c r="P181" s="75"/>
      <c r="Q181" s="75"/>
      <c r="R181" s="75"/>
      <c r="S181" s="75"/>
    </row>
    <row r="182" spans="12:19" x14ac:dyDescent="0.15">
      <c r="L182" s="75"/>
      <c r="M182" s="75"/>
      <c r="N182" s="75"/>
      <c r="O182" s="75"/>
      <c r="P182" s="75"/>
      <c r="Q182" s="75"/>
      <c r="R182" s="75"/>
      <c r="S182" s="75"/>
    </row>
    <row r="183" spans="12:19" x14ac:dyDescent="0.15">
      <c r="L183" s="75"/>
      <c r="M183" s="75"/>
      <c r="N183" s="75"/>
      <c r="O183" s="75"/>
      <c r="P183" s="75"/>
      <c r="Q183" s="75"/>
      <c r="R183" s="75"/>
      <c r="S183" s="75"/>
    </row>
    <row r="184" spans="12:19" x14ac:dyDescent="0.15">
      <c r="L184" s="75"/>
      <c r="M184" s="75"/>
      <c r="N184" s="75"/>
      <c r="O184" s="75"/>
      <c r="P184" s="75"/>
      <c r="Q184" s="75"/>
      <c r="R184" s="75"/>
      <c r="S184" s="75"/>
    </row>
    <row r="185" spans="12:19" x14ac:dyDescent="0.15">
      <c r="L185" s="75"/>
      <c r="M185" s="75"/>
      <c r="N185" s="75"/>
      <c r="O185" s="75"/>
      <c r="P185" s="75"/>
      <c r="Q185" s="75"/>
      <c r="R185" s="75"/>
      <c r="S185" s="75"/>
    </row>
    <row r="186" spans="12:19" x14ac:dyDescent="0.15">
      <c r="L186" s="75"/>
      <c r="M186" s="75"/>
      <c r="N186" s="75"/>
      <c r="O186" s="75"/>
      <c r="P186" s="75"/>
      <c r="Q186" s="75"/>
      <c r="R186" s="75"/>
      <c r="S186" s="75"/>
    </row>
    <row r="187" spans="12:19" x14ac:dyDescent="0.15">
      <c r="L187" s="75"/>
      <c r="M187" s="75"/>
      <c r="N187" s="75"/>
      <c r="O187" s="75"/>
      <c r="P187" s="75"/>
      <c r="Q187" s="75"/>
      <c r="R187" s="75"/>
      <c r="S187" s="75"/>
    </row>
    <row r="188" spans="12:19" x14ac:dyDescent="0.15">
      <c r="L188" s="75"/>
      <c r="M188" s="75"/>
      <c r="N188" s="75"/>
      <c r="O188" s="75"/>
      <c r="P188" s="75"/>
      <c r="Q188" s="75"/>
      <c r="R188" s="75"/>
      <c r="S188" s="75"/>
    </row>
    <row r="189" spans="12:19" x14ac:dyDescent="0.15">
      <c r="L189" s="75"/>
      <c r="M189" s="75"/>
      <c r="N189" s="75"/>
      <c r="O189" s="75"/>
      <c r="P189" s="75"/>
      <c r="Q189" s="75"/>
      <c r="R189" s="75"/>
      <c r="S189" s="75"/>
    </row>
    <row r="190" spans="12:19" x14ac:dyDescent="0.15">
      <c r="L190" s="75"/>
      <c r="M190" s="75"/>
      <c r="N190" s="75"/>
      <c r="O190" s="75"/>
      <c r="P190" s="75"/>
      <c r="Q190" s="75"/>
      <c r="R190" s="75"/>
      <c r="S190" s="75"/>
    </row>
    <row r="191" spans="12:19" x14ac:dyDescent="0.15">
      <c r="L191" s="75"/>
      <c r="M191" s="75"/>
      <c r="N191" s="75"/>
      <c r="O191" s="75"/>
      <c r="P191" s="75"/>
      <c r="Q191" s="75"/>
      <c r="R191" s="75"/>
      <c r="S191" s="75"/>
    </row>
    <row r="192" spans="12:19" x14ac:dyDescent="0.15">
      <c r="L192" s="75"/>
      <c r="M192" s="75"/>
      <c r="N192" s="75"/>
      <c r="O192" s="75"/>
      <c r="P192" s="75"/>
      <c r="Q192" s="75"/>
      <c r="R192" s="75"/>
      <c r="S192" s="75"/>
    </row>
    <row r="193" spans="12:19" x14ac:dyDescent="0.15">
      <c r="L193" s="75"/>
      <c r="M193" s="75"/>
      <c r="N193" s="75"/>
      <c r="O193" s="75"/>
      <c r="P193" s="75"/>
      <c r="Q193" s="75"/>
      <c r="R193" s="75"/>
      <c r="S193" s="75"/>
    </row>
    <row r="194" spans="12:19" x14ac:dyDescent="0.15">
      <c r="L194" s="75"/>
      <c r="M194" s="75"/>
      <c r="N194" s="75"/>
      <c r="O194" s="75"/>
      <c r="P194" s="75"/>
      <c r="Q194" s="75"/>
      <c r="R194" s="75"/>
      <c r="S194" s="75"/>
    </row>
    <row r="195" spans="12:19" x14ac:dyDescent="0.15">
      <c r="L195" s="75"/>
      <c r="M195" s="75"/>
      <c r="N195" s="75"/>
      <c r="O195" s="75"/>
      <c r="P195" s="75"/>
      <c r="Q195" s="75"/>
      <c r="R195" s="75"/>
      <c r="S195" s="75"/>
    </row>
    <row r="196" spans="12:19" x14ac:dyDescent="0.15">
      <c r="L196" s="75"/>
      <c r="M196" s="75"/>
      <c r="N196" s="75"/>
      <c r="O196" s="75"/>
      <c r="P196" s="75"/>
      <c r="Q196" s="75"/>
      <c r="R196" s="75"/>
      <c r="S196" s="75"/>
    </row>
    <row r="197" spans="12:19" x14ac:dyDescent="0.15">
      <c r="L197" s="75"/>
      <c r="M197" s="75"/>
      <c r="N197" s="75"/>
      <c r="O197" s="75"/>
      <c r="P197" s="75"/>
      <c r="Q197" s="75"/>
      <c r="R197" s="75"/>
      <c r="S197" s="75"/>
    </row>
    <row r="198" spans="12:19" x14ac:dyDescent="0.15">
      <c r="L198" s="75"/>
      <c r="M198" s="75"/>
      <c r="N198" s="75"/>
      <c r="O198" s="75"/>
      <c r="P198" s="75"/>
      <c r="Q198" s="75"/>
      <c r="R198" s="75"/>
      <c r="S198" s="75"/>
    </row>
    <row r="199" spans="12:19" x14ac:dyDescent="0.15">
      <c r="L199" s="75"/>
      <c r="M199" s="75"/>
      <c r="N199" s="75"/>
      <c r="O199" s="75"/>
      <c r="P199" s="75"/>
      <c r="Q199" s="75"/>
      <c r="R199" s="75"/>
      <c r="S199" s="75"/>
    </row>
    <row r="200" spans="12:19" x14ac:dyDescent="0.15">
      <c r="L200" s="75"/>
      <c r="M200" s="75"/>
      <c r="N200" s="75"/>
      <c r="O200" s="75"/>
      <c r="P200" s="75"/>
      <c r="Q200" s="75"/>
      <c r="R200" s="75"/>
      <c r="S200" s="75"/>
    </row>
    <row r="201" spans="12:19" x14ac:dyDescent="0.15">
      <c r="L201" s="75"/>
      <c r="M201" s="75"/>
      <c r="N201" s="75"/>
      <c r="O201" s="75"/>
      <c r="P201" s="75"/>
      <c r="Q201" s="75"/>
      <c r="R201" s="75"/>
      <c r="S201" s="75"/>
    </row>
    <row r="202" spans="12:19" x14ac:dyDescent="0.15">
      <c r="L202" s="75"/>
      <c r="M202" s="75"/>
      <c r="N202" s="75"/>
      <c r="O202" s="75"/>
      <c r="P202" s="75"/>
      <c r="Q202" s="75"/>
      <c r="R202" s="75"/>
      <c r="S202" s="75"/>
    </row>
    <row r="203" spans="12:19" x14ac:dyDescent="0.15">
      <c r="L203" s="75"/>
      <c r="M203" s="75"/>
      <c r="N203" s="75"/>
      <c r="O203" s="75"/>
      <c r="P203" s="75"/>
      <c r="Q203" s="75"/>
      <c r="R203" s="75"/>
      <c r="S203" s="75"/>
    </row>
    <row r="204" spans="12:19" x14ac:dyDescent="0.15">
      <c r="L204" s="75"/>
      <c r="M204" s="75"/>
      <c r="N204" s="75"/>
      <c r="O204" s="75"/>
      <c r="P204" s="75"/>
      <c r="Q204" s="75"/>
      <c r="R204" s="75"/>
      <c r="S204" s="75"/>
    </row>
    <row r="205" spans="12:19" x14ac:dyDescent="0.15">
      <c r="L205" s="75"/>
      <c r="M205" s="75"/>
      <c r="N205" s="75"/>
      <c r="O205" s="75"/>
      <c r="P205" s="75"/>
      <c r="Q205" s="75"/>
      <c r="R205" s="75"/>
      <c r="S205" s="75"/>
    </row>
    <row r="206" spans="12:19" x14ac:dyDescent="0.15">
      <c r="L206" s="75"/>
      <c r="M206" s="75"/>
      <c r="N206" s="75"/>
      <c r="O206" s="75"/>
      <c r="P206" s="75"/>
      <c r="Q206" s="75"/>
      <c r="R206" s="75"/>
      <c r="S206" s="75"/>
    </row>
    <row r="207" spans="12:19" x14ac:dyDescent="0.15">
      <c r="L207" s="75"/>
      <c r="M207" s="75"/>
      <c r="N207" s="75"/>
      <c r="O207" s="75"/>
      <c r="P207" s="75"/>
      <c r="Q207" s="75"/>
      <c r="R207" s="75"/>
      <c r="S207" s="75"/>
    </row>
    <row r="208" spans="12:19" x14ac:dyDescent="0.15">
      <c r="L208" s="75"/>
      <c r="M208" s="75"/>
      <c r="N208" s="75"/>
      <c r="O208" s="75"/>
      <c r="P208" s="75"/>
      <c r="Q208" s="75"/>
      <c r="R208" s="75"/>
      <c r="S208" s="75"/>
    </row>
    <row r="209" spans="12:19" x14ac:dyDescent="0.15">
      <c r="L209" s="75"/>
      <c r="M209" s="75"/>
      <c r="N209" s="75"/>
      <c r="O209" s="75"/>
      <c r="P209" s="75"/>
      <c r="Q209" s="75"/>
      <c r="R209" s="75"/>
      <c r="S209" s="75"/>
    </row>
    <row r="210" spans="12:19" x14ac:dyDescent="0.15">
      <c r="L210" s="75"/>
      <c r="M210" s="75"/>
      <c r="N210" s="75"/>
      <c r="O210" s="75"/>
      <c r="P210" s="75"/>
      <c r="Q210" s="75"/>
      <c r="R210" s="75"/>
      <c r="S210" s="75"/>
    </row>
    <row r="211" spans="12:19" x14ac:dyDescent="0.15">
      <c r="L211" s="75"/>
      <c r="M211" s="75"/>
      <c r="N211" s="75"/>
      <c r="O211" s="75"/>
      <c r="P211" s="75"/>
      <c r="Q211" s="75"/>
      <c r="R211" s="75"/>
      <c r="S211" s="75"/>
    </row>
    <row r="212" spans="12:19" x14ac:dyDescent="0.15">
      <c r="L212" s="75"/>
      <c r="M212" s="75"/>
      <c r="N212" s="75"/>
      <c r="O212" s="75"/>
      <c r="P212" s="75"/>
      <c r="Q212" s="75"/>
      <c r="R212" s="75"/>
      <c r="S212" s="75"/>
    </row>
    <row r="213" spans="12:19" x14ac:dyDescent="0.15">
      <c r="L213" s="75"/>
      <c r="M213" s="75"/>
      <c r="N213" s="75"/>
      <c r="O213" s="75"/>
      <c r="P213" s="75"/>
      <c r="Q213" s="75"/>
      <c r="R213" s="75"/>
      <c r="S213" s="75"/>
    </row>
    <row r="214" spans="12:19" x14ac:dyDescent="0.15">
      <c r="L214" s="75"/>
      <c r="M214" s="75"/>
      <c r="N214" s="75"/>
      <c r="O214" s="75"/>
      <c r="P214" s="75"/>
      <c r="Q214" s="75"/>
      <c r="R214" s="75"/>
      <c r="S214" s="75"/>
    </row>
    <row r="215" spans="12:19" x14ac:dyDescent="0.15">
      <c r="L215" s="75"/>
      <c r="M215" s="75"/>
      <c r="N215" s="75"/>
      <c r="O215" s="75"/>
      <c r="P215" s="75"/>
      <c r="Q215" s="75"/>
      <c r="R215" s="75"/>
      <c r="S215" s="75"/>
    </row>
    <row r="216" spans="12:19" x14ac:dyDescent="0.15">
      <c r="L216" s="75"/>
      <c r="M216" s="75"/>
      <c r="N216" s="75"/>
      <c r="O216" s="75"/>
      <c r="P216" s="75"/>
      <c r="Q216" s="75"/>
      <c r="R216" s="75"/>
      <c r="S216" s="75"/>
    </row>
    <row r="217" spans="12:19" x14ac:dyDescent="0.15">
      <c r="L217" s="75"/>
      <c r="M217" s="75"/>
      <c r="N217" s="75"/>
      <c r="O217" s="75"/>
      <c r="P217" s="75"/>
      <c r="Q217" s="75"/>
      <c r="R217" s="75"/>
      <c r="S217" s="75"/>
    </row>
    <row r="218" spans="12:19" x14ac:dyDescent="0.15">
      <c r="L218" s="75"/>
      <c r="M218" s="75"/>
      <c r="N218" s="75"/>
      <c r="O218" s="75"/>
      <c r="P218" s="75"/>
      <c r="Q218" s="75"/>
      <c r="R218" s="75"/>
      <c r="S218" s="75"/>
    </row>
    <row r="219" spans="12:19" x14ac:dyDescent="0.15">
      <c r="L219" s="75"/>
      <c r="M219" s="75"/>
      <c r="N219" s="75"/>
      <c r="O219" s="75"/>
      <c r="P219" s="75"/>
      <c r="Q219" s="75"/>
      <c r="R219" s="75"/>
      <c r="S219" s="75"/>
    </row>
    <row r="220" spans="12:19" x14ac:dyDescent="0.15">
      <c r="L220" s="75"/>
      <c r="M220" s="75"/>
      <c r="N220" s="75"/>
      <c r="O220" s="75"/>
      <c r="P220" s="75"/>
      <c r="Q220" s="75"/>
      <c r="R220" s="75"/>
      <c r="S220" s="75"/>
    </row>
    <row r="221" spans="12:19" x14ac:dyDescent="0.15">
      <c r="L221" s="75"/>
      <c r="M221" s="75"/>
      <c r="N221" s="75"/>
      <c r="O221" s="75"/>
      <c r="P221" s="75"/>
      <c r="Q221" s="75"/>
      <c r="R221" s="75"/>
      <c r="S221" s="75"/>
    </row>
    <row r="222" spans="12:19" x14ac:dyDescent="0.15">
      <c r="L222" s="75"/>
      <c r="M222" s="75"/>
      <c r="N222" s="75"/>
      <c r="O222" s="75"/>
      <c r="P222" s="75"/>
      <c r="Q222" s="75"/>
      <c r="R222" s="75"/>
      <c r="S222" s="75"/>
    </row>
    <row r="223" spans="12:19" x14ac:dyDescent="0.15">
      <c r="L223" s="75"/>
      <c r="M223" s="75"/>
      <c r="N223" s="75"/>
      <c r="O223" s="75"/>
      <c r="P223" s="75"/>
      <c r="Q223" s="75"/>
      <c r="R223" s="75"/>
      <c r="S223" s="75"/>
    </row>
    <row r="224" spans="12:19" x14ac:dyDescent="0.15">
      <c r="L224" s="75"/>
      <c r="M224" s="75"/>
      <c r="N224" s="75"/>
      <c r="O224" s="75"/>
      <c r="P224" s="75"/>
      <c r="Q224" s="75"/>
      <c r="R224" s="75"/>
      <c r="S224" s="75"/>
    </row>
    <row r="225" spans="12:19" x14ac:dyDescent="0.15">
      <c r="L225" s="75"/>
      <c r="M225" s="75"/>
      <c r="N225" s="75"/>
      <c r="O225" s="75"/>
      <c r="P225" s="75"/>
      <c r="Q225" s="75"/>
      <c r="R225" s="75"/>
      <c r="S225" s="75"/>
    </row>
    <row r="226" spans="12:19" x14ac:dyDescent="0.15">
      <c r="L226" s="75"/>
      <c r="M226" s="75"/>
      <c r="N226" s="75"/>
      <c r="O226" s="75"/>
      <c r="P226" s="75"/>
      <c r="Q226" s="75"/>
      <c r="R226" s="75"/>
      <c r="S226" s="75"/>
    </row>
    <row r="227" spans="12:19" x14ac:dyDescent="0.15">
      <c r="L227" s="75"/>
      <c r="M227" s="75"/>
      <c r="N227" s="75"/>
      <c r="O227" s="75"/>
      <c r="P227" s="75"/>
      <c r="Q227" s="75"/>
      <c r="R227" s="75"/>
      <c r="S227" s="75"/>
    </row>
    <row r="228" spans="12:19" x14ac:dyDescent="0.15">
      <c r="L228" s="75"/>
      <c r="M228" s="75"/>
      <c r="N228" s="75"/>
      <c r="O228" s="75"/>
      <c r="P228" s="75"/>
      <c r="Q228" s="75"/>
      <c r="R228" s="75"/>
      <c r="S228" s="75"/>
    </row>
    <row r="229" spans="12:19" x14ac:dyDescent="0.15">
      <c r="L229" s="75"/>
      <c r="M229" s="75"/>
      <c r="N229" s="75"/>
      <c r="O229" s="75"/>
      <c r="P229" s="75"/>
      <c r="Q229" s="75"/>
      <c r="R229" s="75"/>
      <c r="S229" s="75"/>
    </row>
    <row r="230" spans="12:19" x14ac:dyDescent="0.15">
      <c r="L230" s="75"/>
      <c r="M230" s="75"/>
      <c r="N230" s="75"/>
      <c r="O230" s="75"/>
      <c r="P230" s="75"/>
      <c r="Q230" s="75"/>
      <c r="R230" s="75"/>
      <c r="S230" s="75"/>
    </row>
    <row r="231" spans="12:19" x14ac:dyDescent="0.15">
      <c r="L231" s="75"/>
      <c r="M231" s="75"/>
      <c r="N231" s="75"/>
      <c r="O231" s="75"/>
      <c r="P231" s="75"/>
      <c r="Q231" s="75"/>
      <c r="R231" s="75"/>
      <c r="S231" s="75"/>
    </row>
    <row r="232" spans="12:19" x14ac:dyDescent="0.15">
      <c r="L232" s="75"/>
      <c r="M232" s="75"/>
      <c r="N232" s="75"/>
      <c r="O232" s="75"/>
      <c r="P232" s="75"/>
      <c r="Q232" s="75"/>
      <c r="R232" s="75"/>
      <c r="S232" s="75"/>
    </row>
    <row r="233" spans="12:19" x14ac:dyDescent="0.15">
      <c r="L233" s="75"/>
      <c r="M233" s="75"/>
      <c r="N233" s="75"/>
      <c r="O233" s="75"/>
      <c r="P233" s="75"/>
      <c r="Q233" s="75"/>
      <c r="R233" s="75"/>
      <c r="S233" s="75"/>
    </row>
    <row r="234" spans="12:19" x14ac:dyDescent="0.15">
      <c r="L234" s="75"/>
      <c r="M234" s="75"/>
      <c r="N234" s="75"/>
      <c r="O234" s="75"/>
      <c r="P234" s="75"/>
      <c r="Q234" s="75"/>
      <c r="R234" s="75"/>
      <c r="S234" s="75"/>
    </row>
    <row r="235" spans="12:19" x14ac:dyDescent="0.15">
      <c r="L235" s="75"/>
      <c r="M235" s="75"/>
      <c r="N235" s="75"/>
      <c r="O235" s="75"/>
      <c r="P235" s="75"/>
      <c r="Q235" s="75"/>
      <c r="R235" s="75"/>
      <c r="S235" s="75"/>
    </row>
    <row r="236" spans="12:19" x14ac:dyDescent="0.15">
      <c r="L236" s="75"/>
      <c r="M236" s="75"/>
      <c r="N236" s="75"/>
      <c r="O236" s="75"/>
      <c r="P236" s="75"/>
      <c r="Q236" s="75"/>
      <c r="R236" s="75"/>
      <c r="S236" s="75"/>
    </row>
    <row r="237" spans="12:19" x14ac:dyDescent="0.15">
      <c r="L237" s="75"/>
      <c r="M237" s="75"/>
      <c r="N237" s="75"/>
      <c r="O237" s="75"/>
      <c r="P237" s="75"/>
      <c r="Q237" s="75"/>
      <c r="R237" s="75"/>
      <c r="S237" s="75"/>
    </row>
    <row r="238" spans="12:19" x14ac:dyDescent="0.15">
      <c r="L238" s="75"/>
      <c r="M238" s="75"/>
      <c r="N238" s="75"/>
      <c r="O238" s="75"/>
      <c r="P238" s="75"/>
      <c r="Q238" s="75"/>
      <c r="R238" s="75"/>
      <c r="S238" s="75"/>
    </row>
    <row r="239" spans="12:19" x14ac:dyDescent="0.15">
      <c r="L239" s="75"/>
      <c r="M239" s="75"/>
      <c r="N239" s="75"/>
      <c r="O239" s="75"/>
      <c r="P239" s="75"/>
      <c r="Q239" s="75"/>
      <c r="R239" s="75"/>
      <c r="S239" s="75"/>
    </row>
    <row r="240" spans="12:19" x14ac:dyDescent="0.15">
      <c r="L240" s="75"/>
      <c r="M240" s="75"/>
      <c r="N240" s="75"/>
      <c r="O240" s="75"/>
      <c r="P240" s="75"/>
      <c r="Q240" s="75"/>
      <c r="R240" s="75"/>
      <c r="S240" s="75"/>
    </row>
    <row r="241" spans="12:19" x14ac:dyDescent="0.15">
      <c r="L241" s="75"/>
      <c r="M241" s="75"/>
      <c r="N241" s="75"/>
      <c r="O241" s="75"/>
      <c r="P241" s="75"/>
      <c r="Q241" s="75"/>
      <c r="R241" s="75"/>
      <c r="S241" s="75"/>
    </row>
    <row r="242" spans="12:19" x14ac:dyDescent="0.15">
      <c r="L242" s="75"/>
      <c r="M242" s="75"/>
      <c r="N242" s="75"/>
      <c r="O242" s="75"/>
      <c r="P242" s="75"/>
      <c r="Q242" s="75"/>
      <c r="R242" s="75"/>
      <c r="S242" s="75"/>
    </row>
    <row r="243" spans="12:19" x14ac:dyDescent="0.15">
      <c r="L243" s="75"/>
      <c r="M243" s="75"/>
      <c r="N243" s="75"/>
      <c r="O243" s="75"/>
      <c r="P243" s="75"/>
      <c r="Q243" s="75"/>
      <c r="R243" s="75"/>
      <c r="S243" s="75"/>
    </row>
    <row r="244" spans="12:19" x14ac:dyDescent="0.15">
      <c r="L244" s="75"/>
      <c r="M244" s="75"/>
      <c r="N244" s="75"/>
      <c r="O244" s="75"/>
      <c r="P244" s="75"/>
      <c r="Q244" s="75"/>
      <c r="R244" s="75"/>
      <c r="S244" s="75"/>
    </row>
    <row r="245" spans="12:19" x14ac:dyDescent="0.15">
      <c r="L245" s="75"/>
      <c r="M245" s="75"/>
      <c r="N245" s="75"/>
      <c r="O245" s="75"/>
      <c r="P245" s="75"/>
      <c r="Q245" s="75"/>
      <c r="R245" s="75"/>
      <c r="S245" s="75"/>
    </row>
    <row r="246" spans="12:19" x14ac:dyDescent="0.15">
      <c r="L246" s="75"/>
      <c r="M246" s="75"/>
      <c r="N246" s="75"/>
      <c r="O246" s="75"/>
      <c r="P246" s="75"/>
      <c r="Q246" s="75"/>
      <c r="R246" s="75"/>
      <c r="S246" s="75"/>
    </row>
    <row r="247" spans="12:19" x14ac:dyDescent="0.15">
      <c r="L247" s="75"/>
      <c r="M247" s="75"/>
      <c r="N247" s="75"/>
      <c r="O247" s="75"/>
      <c r="P247" s="75"/>
      <c r="Q247" s="75"/>
      <c r="R247" s="75"/>
      <c r="S247" s="75"/>
    </row>
    <row r="248" spans="12:19" x14ac:dyDescent="0.15">
      <c r="L248" s="75"/>
      <c r="M248" s="75"/>
      <c r="N248" s="75"/>
      <c r="O248" s="75"/>
      <c r="P248" s="75"/>
      <c r="Q248" s="75"/>
      <c r="R248" s="75"/>
      <c r="S248" s="75"/>
    </row>
    <row r="249" spans="12:19" x14ac:dyDescent="0.15">
      <c r="L249" s="75"/>
      <c r="M249" s="75"/>
      <c r="N249" s="75"/>
      <c r="O249" s="75"/>
      <c r="P249" s="75"/>
      <c r="Q249" s="75"/>
      <c r="R249" s="75"/>
      <c r="S249" s="75"/>
    </row>
    <row r="250" spans="12:19" x14ac:dyDescent="0.15">
      <c r="L250" s="75"/>
      <c r="M250" s="75"/>
      <c r="N250" s="75"/>
      <c r="O250" s="75"/>
      <c r="P250" s="75"/>
      <c r="Q250" s="75"/>
      <c r="R250" s="75"/>
      <c r="S250" s="75"/>
    </row>
    <row r="251" spans="12:19" x14ac:dyDescent="0.15">
      <c r="L251" s="75"/>
      <c r="M251" s="75"/>
      <c r="N251" s="75"/>
      <c r="O251" s="75"/>
      <c r="P251" s="75"/>
      <c r="Q251" s="75"/>
      <c r="R251" s="75"/>
      <c r="S251" s="75"/>
    </row>
    <row r="252" spans="12:19" x14ac:dyDescent="0.15">
      <c r="L252" s="75"/>
      <c r="M252" s="75"/>
      <c r="N252" s="75"/>
      <c r="O252" s="75"/>
      <c r="P252" s="75"/>
      <c r="Q252" s="75"/>
      <c r="R252" s="75"/>
      <c r="S252" s="75"/>
    </row>
    <row r="253" spans="12:19" x14ac:dyDescent="0.15">
      <c r="L253" s="75"/>
      <c r="M253" s="75"/>
      <c r="N253" s="75"/>
      <c r="O253" s="75"/>
      <c r="P253" s="75"/>
      <c r="Q253" s="75"/>
      <c r="R253" s="75"/>
      <c r="S253" s="75"/>
    </row>
    <row r="254" spans="12:19" x14ac:dyDescent="0.15">
      <c r="L254" s="75"/>
      <c r="M254" s="75"/>
      <c r="N254" s="75"/>
      <c r="O254" s="75"/>
      <c r="P254" s="75"/>
      <c r="Q254" s="75"/>
      <c r="R254" s="75"/>
      <c r="S254" s="75"/>
    </row>
    <row r="255" spans="12:19" x14ac:dyDescent="0.15">
      <c r="L255" s="75"/>
      <c r="M255" s="75"/>
      <c r="N255" s="75"/>
      <c r="O255" s="75"/>
      <c r="P255" s="75"/>
      <c r="Q255" s="75"/>
      <c r="R255" s="75"/>
      <c r="S255" s="75"/>
    </row>
    <row r="256" spans="12:19" x14ac:dyDescent="0.15">
      <c r="L256" s="75"/>
      <c r="M256" s="75"/>
      <c r="N256" s="75"/>
      <c r="O256" s="75"/>
      <c r="P256" s="75"/>
      <c r="Q256" s="75"/>
      <c r="R256" s="75"/>
      <c r="S256" s="75"/>
    </row>
    <row r="257" spans="12:19" x14ac:dyDescent="0.15">
      <c r="L257" s="75"/>
      <c r="M257" s="75"/>
      <c r="N257" s="75"/>
      <c r="O257" s="75"/>
      <c r="P257" s="75"/>
      <c r="Q257" s="75"/>
      <c r="R257" s="75"/>
      <c r="S257" s="75"/>
    </row>
    <row r="258" spans="12:19" x14ac:dyDescent="0.15">
      <c r="L258" s="75"/>
      <c r="M258" s="75"/>
      <c r="N258" s="75"/>
      <c r="O258" s="75"/>
      <c r="P258" s="75"/>
      <c r="Q258" s="75"/>
      <c r="R258" s="75"/>
      <c r="S258" s="75"/>
    </row>
    <row r="259" spans="12:19" x14ac:dyDescent="0.15">
      <c r="L259" s="75"/>
      <c r="M259" s="75"/>
      <c r="N259" s="75"/>
      <c r="O259" s="75"/>
      <c r="P259" s="75"/>
      <c r="Q259" s="75"/>
      <c r="R259" s="75"/>
      <c r="S259" s="75"/>
    </row>
    <row r="260" spans="12:19" x14ac:dyDescent="0.15">
      <c r="L260" s="75"/>
      <c r="M260" s="75"/>
      <c r="N260" s="75"/>
      <c r="O260" s="75"/>
      <c r="P260" s="75"/>
      <c r="Q260" s="75"/>
      <c r="R260" s="75"/>
      <c r="S260" s="75"/>
    </row>
    <row r="261" spans="12:19" x14ac:dyDescent="0.15">
      <c r="L261" s="75"/>
      <c r="M261" s="75"/>
      <c r="N261" s="75"/>
      <c r="O261" s="75"/>
      <c r="P261" s="75"/>
      <c r="Q261" s="75"/>
      <c r="R261" s="75"/>
      <c r="S261" s="75"/>
    </row>
    <row r="262" spans="12:19" x14ac:dyDescent="0.15">
      <c r="L262" s="75"/>
      <c r="M262" s="75"/>
      <c r="N262" s="75"/>
      <c r="O262" s="75"/>
      <c r="P262" s="75"/>
      <c r="Q262" s="75"/>
      <c r="R262" s="75"/>
      <c r="S262" s="75"/>
    </row>
    <row r="263" spans="12:19" x14ac:dyDescent="0.15">
      <c r="L263" s="75"/>
      <c r="M263" s="75"/>
      <c r="N263" s="75"/>
      <c r="O263" s="75"/>
      <c r="P263" s="75"/>
      <c r="Q263" s="75"/>
      <c r="R263" s="75"/>
      <c r="S263" s="75"/>
    </row>
    <row r="264" spans="12:19" x14ac:dyDescent="0.15">
      <c r="L264" s="75"/>
      <c r="M264" s="75"/>
      <c r="N264" s="75"/>
      <c r="O264" s="75"/>
      <c r="P264" s="75"/>
      <c r="Q264" s="75"/>
      <c r="R264" s="75"/>
      <c r="S264" s="75"/>
    </row>
    <row r="265" spans="12:19" x14ac:dyDescent="0.15">
      <c r="L265" s="75"/>
      <c r="M265" s="75"/>
      <c r="N265" s="75"/>
      <c r="O265" s="75"/>
      <c r="P265" s="75"/>
      <c r="Q265" s="75"/>
      <c r="R265" s="75"/>
      <c r="S265" s="75"/>
    </row>
    <row r="266" spans="12:19" x14ac:dyDescent="0.15">
      <c r="L266" s="75"/>
      <c r="M266" s="75"/>
      <c r="N266" s="75"/>
      <c r="O266" s="75"/>
      <c r="P266" s="75"/>
      <c r="Q266" s="75"/>
      <c r="R266" s="75"/>
      <c r="S266" s="75"/>
    </row>
  </sheetData>
  <mergeCells count="132">
    <mergeCell ref="Q42:V42"/>
    <mergeCell ref="R29:S29"/>
    <mergeCell ref="U29:V29"/>
    <mergeCell ref="Q33:V33"/>
    <mergeCell ref="Q34:V34"/>
    <mergeCell ref="Q35:V35"/>
    <mergeCell ref="Q36:V36"/>
    <mergeCell ref="Q37:V37"/>
    <mergeCell ref="Q38:V38"/>
    <mergeCell ref="Q39:V39"/>
    <mergeCell ref="Q40:V40"/>
    <mergeCell ref="Q41:V41"/>
    <mergeCell ref="Q31:V31"/>
    <mergeCell ref="Q32:V32"/>
    <mergeCell ref="L26:L27"/>
    <mergeCell ref="M26:M27"/>
    <mergeCell ref="N26:P27"/>
    <mergeCell ref="V24:V25"/>
    <mergeCell ref="S26:U27"/>
    <mergeCell ref="V26:V27"/>
    <mergeCell ref="M24:M25"/>
    <mergeCell ref="N24:P25"/>
    <mergeCell ref="Q30:V30"/>
    <mergeCell ref="L20:L21"/>
    <mergeCell ref="L22:L23"/>
    <mergeCell ref="S24:U25"/>
    <mergeCell ref="L24:L25"/>
    <mergeCell ref="M22:M23"/>
    <mergeCell ref="N22:P23"/>
    <mergeCell ref="S22:U23"/>
    <mergeCell ref="V22:V23"/>
    <mergeCell ref="M18:M19"/>
    <mergeCell ref="M20:M21"/>
    <mergeCell ref="L16:L17"/>
    <mergeCell ref="E18:F19"/>
    <mergeCell ref="G16:H17"/>
    <mergeCell ref="G18:H19"/>
    <mergeCell ref="I12:J13"/>
    <mergeCell ref="I14:J15"/>
    <mergeCell ref="I16:J17"/>
    <mergeCell ref="I18:J19"/>
    <mergeCell ref="E12:F13"/>
    <mergeCell ref="E14:F15"/>
    <mergeCell ref="G12:H13"/>
    <mergeCell ref="G14:H15"/>
    <mergeCell ref="E16:F17"/>
    <mergeCell ref="L18:L19"/>
    <mergeCell ref="E30:F31"/>
    <mergeCell ref="G30:H31"/>
    <mergeCell ref="I30:J31"/>
    <mergeCell ref="E20:F21"/>
    <mergeCell ref="G20:H21"/>
    <mergeCell ref="I20:J21"/>
    <mergeCell ref="E22:F23"/>
    <mergeCell ref="G22:H23"/>
    <mergeCell ref="I22:J23"/>
    <mergeCell ref="E24:F25"/>
    <mergeCell ref="G24:H25"/>
    <mergeCell ref="I24:J25"/>
    <mergeCell ref="D36:D39"/>
    <mergeCell ref="E32:F33"/>
    <mergeCell ref="G32:H33"/>
    <mergeCell ref="I32:J33"/>
    <mergeCell ref="E34:F35"/>
    <mergeCell ref="G34:H35"/>
    <mergeCell ref="I34:J35"/>
    <mergeCell ref="D16:D19"/>
    <mergeCell ref="D20:D23"/>
    <mergeCell ref="D24:D27"/>
    <mergeCell ref="D28:D31"/>
    <mergeCell ref="D32:D35"/>
    <mergeCell ref="E38:F39"/>
    <mergeCell ref="G38:H39"/>
    <mergeCell ref="I38:J39"/>
    <mergeCell ref="E36:F37"/>
    <mergeCell ref="G36:H37"/>
    <mergeCell ref="I36:J37"/>
    <mergeCell ref="E26:F27"/>
    <mergeCell ref="G26:H27"/>
    <mergeCell ref="I26:J27"/>
    <mergeCell ref="E28:F29"/>
    <mergeCell ref="G28:H29"/>
    <mergeCell ref="I28:J29"/>
    <mergeCell ref="D3:J5"/>
    <mergeCell ref="M8:M9"/>
    <mergeCell ref="M10:M11"/>
    <mergeCell ref="M12:M13"/>
    <mergeCell ref="M14:M15"/>
    <mergeCell ref="D12:D15"/>
    <mergeCell ref="I8:J9"/>
    <mergeCell ref="I10:J11"/>
    <mergeCell ref="E7:F7"/>
    <mergeCell ref="G7:H7"/>
    <mergeCell ref="I7:J7"/>
    <mergeCell ref="E8:F9"/>
    <mergeCell ref="E10:F11"/>
    <mergeCell ref="D8:D11"/>
    <mergeCell ref="G8:H9"/>
    <mergeCell ref="G10:H11"/>
    <mergeCell ref="L8:L9"/>
    <mergeCell ref="L10:L11"/>
    <mergeCell ref="L12:L13"/>
    <mergeCell ref="L14:L15"/>
    <mergeCell ref="L6:M6"/>
    <mergeCell ref="N12:P13"/>
    <mergeCell ref="N14:P15"/>
    <mergeCell ref="N16:P17"/>
    <mergeCell ref="N18:P19"/>
    <mergeCell ref="N20:P21"/>
    <mergeCell ref="M16:M17"/>
    <mergeCell ref="V10:V11"/>
    <mergeCell ref="V12:V13"/>
    <mergeCell ref="V14:V15"/>
    <mergeCell ref="V16:V17"/>
    <mergeCell ref="V18:V19"/>
    <mergeCell ref="V20:V21"/>
    <mergeCell ref="S12:U13"/>
    <mergeCell ref="S14:U15"/>
    <mergeCell ref="S16:U17"/>
    <mergeCell ref="S18:U19"/>
    <mergeCell ref="S20:U21"/>
    <mergeCell ref="N3:N6"/>
    <mergeCell ref="O5:P6"/>
    <mergeCell ref="O3:P4"/>
    <mergeCell ref="S3:S6"/>
    <mergeCell ref="T3:U4"/>
    <mergeCell ref="T5:U6"/>
    <mergeCell ref="V8:V9"/>
    <mergeCell ref="S8:U9"/>
    <mergeCell ref="S10:U11"/>
    <mergeCell ref="N8:P9"/>
    <mergeCell ref="N10:P11"/>
  </mergeCells>
  <phoneticPr fontId="1" type="noConversion"/>
  <conditionalFormatting sqref="D8:D11">
    <cfRule type="expression" dxfId="73" priority="97">
      <formula>$G$10=5</formula>
    </cfRule>
    <cfRule type="expression" dxfId="72" priority="98">
      <formula>$G$10=4</formula>
    </cfRule>
    <cfRule type="expression" dxfId="71" priority="99">
      <formula>$G$10=3</formula>
    </cfRule>
    <cfRule type="expression" dxfId="70" priority="100">
      <formula>$G$10=2</formula>
    </cfRule>
    <cfRule type="expression" dxfId="69" priority="101">
      <formula>$G$10=1</formula>
    </cfRule>
  </conditionalFormatting>
  <conditionalFormatting sqref="D12:D15">
    <cfRule type="expression" dxfId="68" priority="57">
      <formula>$G$14=5</formula>
    </cfRule>
    <cfRule type="expression" dxfId="67" priority="58">
      <formula>$G$14=4</formula>
    </cfRule>
    <cfRule type="expression" dxfId="66" priority="59">
      <formula>$G$14=3</formula>
    </cfRule>
    <cfRule type="expression" dxfId="65" priority="60">
      <formula>$G$14=2</formula>
    </cfRule>
    <cfRule type="expression" dxfId="64" priority="61">
      <formula>$G$14=1</formula>
    </cfRule>
  </conditionalFormatting>
  <conditionalFormatting sqref="D16:D19">
    <cfRule type="expression" dxfId="63" priority="52">
      <formula>$G$18=5</formula>
    </cfRule>
    <cfRule type="expression" dxfId="62" priority="53">
      <formula>$G$18=4</formula>
    </cfRule>
    <cfRule type="expression" dxfId="61" priority="54">
      <formula>$G$18=3</formula>
    </cfRule>
    <cfRule type="expression" dxfId="60" priority="55">
      <formula>$G$18=2</formula>
    </cfRule>
    <cfRule type="expression" dxfId="59" priority="56">
      <formula>$G$18=1</formula>
    </cfRule>
  </conditionalFormatting>
  <conditionalFormatting sqref="D20:D23">
    <cfRule type="expression" dxfId="58" priority="47">
      <formula>$G$22=5</formula>
    </cfRule>
    <cfRule type="expression" dxfId="57" priority="48">
      <formula>$G$22=4</formula>
    </cfRule>
    <cfRule type="expression" dxfId="56" priority="49">
      <formula>$G$22=3</formula>
    </cfRule>
    <cfRule type="expression" dxfId="55" priority="50">
      <formula>$G$22=2</formula>
    </cfRule>
    <cfRule type="expression" dxfId="54" priority="51">
      <formula>$G$22=1</formula>
    </cfRule>
  </conditionalFormatting>
  <conditionalFormatting sqref="D24:D27">
    <cfRule type="expression" dxfId="53" priority="42">
      <formula>$G$26=5</formula>
    </cfRule>
    <cfRule type="expression" dxfId="52" priority="43">
      <formula>$G$26=4</formula>
    </cfRule>
    <cfRule type="expression" dxfId="51" priority="44">
      <formula>$G$26=3</formula>
    </cfRule>
    <cfRule type="expression" dxfId="50" priority="45">
      <formula>$G$26=2</formula>
    </cfRule>
    <cfRule type="expression" dxfId="49" priority="46">
      <formula>$G$26=1</formula>
    </cfRule>
  </conditionalFormatting>
  <conditionalFormatting sqref="D28:D31">
    <cfRule type="expression" dxfId="48" priority="37">
      <formula>$G$30=5</formula>
    </cfRule>
    <cfRule type="expression" dxfId="47" priority="38">
      <formula>$G$30=4</formula>
    </cfRule>
    <cfRule type="expression" dxfId="46" priority="39">
      <formula>$G$30=3</formula>
    </cfRule>
    <cfRule type="expression" dxfId="45" priority="40">
      <formula>$G$30=2</formula>
    </cfRule>
    <cfRule type="expression" dxfId="44" priority="41">
      <formula>$G$30=1</formula>
    </cfRule>
  </conditionalFormatting>
  <conditionalFormatting sqref="D32:D35">
    <cfRule type="expression" dxfId="43" priority="32">
      <formula>$G$34=5</formula>
    </cfRule>
    <cfRule type="expression" dxfId="42" priority="33">
      <formula>$G$34=4</formula>
    </cfRule>
    <cfRule type="expression" dxfId="41" priority="34">
      <formula>$G$34=3</formula>
    </cfRule>
    <cfRule type="expression" dxfId="40" priority="35">
      <formula>$G$34=2</formula>
    </cfRule>
    <cfRule type="expression" dxfId="39" priority="36">
      <formula>$G$34=1</formula>
    </cfRule>
  </conditionalFormatting>
  <conditionalFormatting sqref="D36:D39">
    <cfRule type="expression" dxfId="38" priority="27">
      <formula>$G$38=5</formula>
    </cfRule>
    <cfRule type="expression" dxfId="37" priority="28">
      <formula>$G$38=4</formula>
    </cfRule>
    <cfRule type="expression" dxfId="36" priority="29">
      <formula>$G$38=3</formula>
    </cfRule>
    <cfRule type="expression" dxfId="35" priority="30">
      <formula>$G$38=2</formula>
    </cfRule>
    <cfRule type="expression" dxfId="34" priority="31">
      <formula>$G$38=1</formula>
    </cfRule>
  </conditionalFormatting>
  <conditionalFormatting sqref="L8:L9">
    <cfRule type="cellIs" dxfId="33" priority="25" operator="greaterThan">
      <formula>$N$8</formula>
    </cfRule>
  </conditionalFormatting>
  <conditionalFormatting sqref="L12:L23">
    <cfRule type="cellIs" dxfId="32" priority="24" operator="greaterThan">
      <formula>$N$8</formula>
    </cfRule>
  </conditionalFormatting>
  <conditionalFormatting sqref="L10:L11">
    <cfRule type="cellIs" dxfId="31" priority="21" operator="greaterThan">
      <formula>$N$10</formula>
    </cfRule>
    <cfRule type="cellIs" dxfId="30" priority="22" operator="greaterThan">
      <formula>$N$8</formula>
    </cfRule>
  </conditionalFormatting>
  <conditionalFormatting sqref="L12:L13">
    <cfRule type="cellIs" dxfId="29" priority="20" operator="greaterThan">
      <formula>$N$12</formula>
    </cfRule>
  </conditionalFormatting>
  <conditionalFormatting sqref="L14:L15">
    <cfRule type="cellIs" dxfId="28" priority="19" operator="greaterThan">
      <formula>$N$14</formula>
    </cfRule>
  </conditionalFormatting>
  <conditionalFormatting sqref="L16:L17">
    <cfRule type="cellIs" dxfId="27" priority="18" operator="greaterThan">
      <formula>$N$16</formula>
    </cfRule>
  </conditionalFormatting>
  <conditionalFormatting sqref="L18:L19">
    <cfRule type="cellIs" dxfId="26" priority="17" operator="greaterThan">
      <formula>$N$18</formula>
    </cfRule>
  </conditionalFormatting>
  <conditionalFormatting sqref="L20:L21">
    <cfRule type="cellIs" dxfId="25" priority="16" operator="greaterThan">
      <formula>$N$20</formula>
    </cfRule>
  </conditionalFormatting>
  <conditionalFormatting sqref="L22:L23">
    <cfRule type="cellIs" dxfId="24" priority="15" operator="greaterThan">
      <formula>$N$22</formula>
    </cfRule>
  </conditionalFormatting>
  <conditionalFormatting sqref="M31">
    <cfRule type="cellIs" dxfId="23" priority="7" operator="equal">
      <formula>3</formula>
    </cfRule>
    <cfRule type="cellIs" dxfId="22" priority="8" operator="equal">
      <formula>2</formula>
    </cfRule>
  </conditionalFormatting>
  <conditionalFormatting sqref="R29">
    <cfRule type="dataBar" priority="6">
      <dataBar>
        <cfvo type="num" val="0"/>
        <cfvo type="num" val="$N$8"/>
        <color rgb="FF638EC6"/>
      </dataBar>
      <extLst>
        <ext xmlns:x14="http://schemas.microsoft.com/office/spreadsheetml/2009/9/main" uri="{B025F937-C7B1-47D3-B67F-A62EFF666E3E}">
          <x14:id>{E0773599-D5F1-4747-8BF4-B2FFBF6B4382}</x14:id>
        </ext>
      </extLst>
    </cfRule>
  </conditionalFormatting>
  <conditionalFormatting sqref="U29:V29">
    <cfRule type="dataBar" priority="3">
      <dataBar>
        <cfvo type="num" val="0"/>
        <cfvo type="num" val="$S$8"/>
        <color theme="5" tint="0.39997558519241921"/>
      </dataBar>
      <extLst>
        <ext xmlns:x14="http://schemas.microsoft.com/office/spreadsheetml/2009/9/main" uri="{B025F937-C7B1-47D3-B67F-A62EFF666E3E}">
          <x14:id>{6D5E288E-6526-4DE4-9AB7-58A0BE7DCCB1}</x14:id>
        </ext>
      </extLst>
    </cfRule>
  </conditionalFormatting>
  <conditionalFormatting sqref="L6:M6">
    <cfRule type="dataBar" priority="2">
      <dataBar>
        <cfvo type="num" val="0"/>
        <cfvo type="num" val="$M$5"/>
        <color rgb="FFFFC000"/>
      </dataBar>
      <extLst>
        <ext xmlns:x14="http://schemas.microsoft.com/office/spreadsheetml/2009/9/main" uri="{B025F937-C7B1-47D3-B67F-A62EFF666E3E}">
          <x14:id>{1B6B1FE4-988E-4C5F-8271-8A5AD0AA605C}</x14:id>
        </ext>
      </extLst>
    </cfRule>
  </conditionalFormatting>
  <conditionalFormatting sqref="C6">
    <cfRule type="cellIs" dxfId="21" priority="1" operator="lessThan">
      <formula>$C$7</formula>
    </cfRule>
  </conditionalFormatting>
  <dataValidations count="3">
    <dataValidation type="whole" allowBlank="1" showInputMessage="1" showErrorMessage="1" sqref="E8:F39">
      <formula1>1</formula1>
      <formula2>50</formula2>
    </dataValidation>
    <dataValidation type="whole" allowBlank="1" showInputMessage="1" showErrorMessage="1" sqref="G8:H39">
      <formula1>1</formula1>
      <formula2>5</formula2>
    </dataValidation>
    <dataValidation type="whole" allowBlank="1" showInputMessage="1" showErrorMessage="1" sqref="I8:J39 K8:K44">
      <formula1>0</formula1>
      <formula2>10</formula2>
    </dataValidation>
  </dataValidations>
  <pageMargins left="0.7" right="0.7" top="0.75" bottom="0.75" header="0.3" footer="0.3"/>
  <pageSetup paperSize="9" orientation="portrait" r:id="rId1"/>
  <ignoredErrors>
    <ignoredError sqref="C7:V9 M4:M5 C11:V13 C10:D10 F10 C15:V17 C14:D14 F14 C19:V21 C18:D18 F18 C23:V25 C22:D22 F22 C27:V28 C26:D26 F26 C33:P33 C30:D30 F30 C37:P37 C34:D34 F34 C39:P39 C38:D38 F38 H10 H14 H18 H22 H26 H30 H34 H38 J10:V10 J14:V14 J18:V18 J22:V22 J26:V26 J30:P30 J34:P34 J38:P38 R30:V30 C31:P31 R31:V31 C32:P32 R32:V32 R33:V33 R34:V34 C35:P35 R35:V35 C36:P36 R36:V36 R37:V37 R38:V38 R39:V39 C29:Q29 S29:T29 V29" unlockedFormula="1"/>
  </ignoredErrors>
  <drawing r:id="rId2"/>
  <legacyDrawing r:id="rId3"/>
  <controls>
    <mc:AlternateContent xmlns:mc="http://schemas.openxmlformats.org/markup-compatibility/2006">
      <mc:Choice Requires="x14">
        <control shapeId="2081" r:id="rId4" name="SustainFight">
          <controlPr defaultSize="0" autoLine="0" r:id="rId5">
            <anchor moveWithCells="1">
              <from>
                <xdr:col>13</xdr:col>
                <xdr:colOff>314325</xdr:colOff>
                <xdr:row>39</xdr:row>
                <xdr:rowOff>57150</xdr:rowOff>
              </from>
              <to>
                <xdr:col>14</xdr:col>
                <xdr:colOff>676275</xdr:colOff>
                <xdr:row>42</xdr:row>
                <xdr:rowOff>47625</xdr:rowOff>
              </to>
            </anchor>
          </controlPr>
        </control>
      </mc:Choice>
      <mc:Fallback>
        <control shapeId="2081" r:id="rId4" name="SustainFight"/>
      </mc:Fallback>
    </mc:AlternateContent>
    <mc:AlternateContent xmlns:mc="http://schemas.openxmlformats.org/markup-compatibility/2006">
      <mc:Choice Requires="x14">
        <control shapeId="2079" r:id="rId6" name="Reset">
          <controlPr defaultSize="0" autoLine="0" autoPict="0" r:id="rId7">
            <anchor moveWithCells="1">
              <from>
                <xdr:col>1</xdr:col>
                <xdr:colOff>47625</xdr:colOff>
                <xdr:row>2</xdr:row>
                <xdr:rowOff>19050</xdr:rowOff>
              </from>
              <to>
                <xdr:col>2</xdr:col>
                <xdr:colOff>628650</xdr:colOff>
                <xdr:row>4</xdr:row>
                <xdr:rowOff>123825</xdr:rowOff>
              </to>
            </anchor>
          </controlPr>
        </control>
      </mc:Choice>
      <mc:Fallback>
        <control shapeId="2079" r:id="rId6" name="Reset"/>
      </mc:Fallback>
    </mc:AlternateContent>
    <mc:AlternateContent xmlns:mc="http://schemas.openxmlformats.org/markup-compatibility/2006">
      <mc:Choice Requires="x14">
        <control shapeId="2078" r:id="rId8" name="SingleFight">
          <controlPr defaultSize="0" autoLine="0" r:id="rId9">
            <anchor moveWithCells="1">
              <from>
                <xdr:col>11</xdr:col>
                <xdr:colOff>533400</xdr:colOff>
                <xdr:row>39</xdr:row>
                <xdr:rowOff>57150</xdr:rowOff>
              </from>
              <to>
                <xdr:col>13</xdr:col>
                <xdr:colOff>209550</xdr:colOff>
                <xdr:row>42</xdr:row>
                <xdr:rowOff>47625</xdr:rowOff>
              </to>
            </anchor>
          </controlPr>
        </control>
      </mc:Choice>
      <mc:Fallback>
        <control shapeId="2078" r:id="rId8" name="SingleFight"/>
      </mc:Fallback>
    </mc:AlternateContent>
    <mc:AlternateContent xmlns:mc="http://schemas.openxmlformats.org/markup-compatibility/2006">
      <mc:Choice Requires="x14">
        <control shapeId="2080" r:id="rId10" name="Clear">
          <controlPr defaultSize="0" autoLine="0" r:id="rId11">
            <anchor moveWithCells="1">
              <from>
                <xdr:col>3</xdr:col>
                <xdr:colOff>180975</xdr:colOff>
                <xdr:row>42</xdr:row>
                <xdr:rowOff>0</xdr:rowOff>
              </from>
              <to>
                <xdr:col>4</xdr:col>
                <xdr:colOff>552450</xdr:colOff>
                <xdr:row>44</xdr:row>
                <xdr:rowOff>0</xdr:rowOff>
              </to>
            </anchor>
          </controlPr>
        </control>
      </mc:Choice>
      <mc:Fallback>
        <control shapeId="2080" r:id="rId10" name="Clear"/>
      </mc:Fallback>
    </mc:AlternateContent>
    <mc:AlternateContent xmlns:mc="http://schemas.openxmlformats.org/markup-compatibility/2006">
      <mc:Choice Requires="x14">
        <control shapeId="2051" r:id="rId12" name="Scroll Bar 3">
          <controlPr defaultSize="0" autoPict="0">
            <anchor moveWithCells="1">
              <from>
                <xdr:col>4</xdr:col>
                <xdr:colOff>76200</xdr:colOff>
                <xdr:row>7</xdr:row>
                <xdr:rowOff>47625</xdr:rowOff>
              </from>
              <to>
                <xdr:col>5</xdr:col>
                <xdr:colOff>638175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3" name="Scroll Bar 4">
          <controlPr defaultSize="0" autoPict="0">
            <anchor moveWithCells="1">
              <from>
                <xdr:col>4</xdr:col>
                <xdr:colOff>76200</xdr:colOff>
                <xdr:row>11</xdr:row>
                <xdr:rowOff>47625</xdr:rowOff>
              </from>
              <to>
                <xdr:col>5</xdr:col>
                <xdr:colOff>638175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4" name="Scroll Bar 5">
          <controlPr defaultSize="0" autoPict="0">
            <anchor moveWithCells="1">
              <from>
                <xdr:col>4</xdr:col>
                <xdr:colOff>76200</xdr:colOff>
                <xdr:row>15</xdr:row>
                <xdr:rowOff>47625</xdr:rowOff>
              </from>
              <to>
                <xdr:col>5</xdr:col>
                <xdr:colOff>638175</xdr:colOff>
                <xdr:row>16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5" name="Scroll Bar 6">
          <controlPr defaultSize="0" autoPict="0">
            <anchor moveWithCells="1">
              <from>
                <xdr:col>4</xdr:col>
                <xdr:colOff>76200</xdr:colOff>
                <xdr:row>19</xdr:row>
                <xdr:rowOff>47625</xdr:rowOff>
              </from>
              <to>
                <xdr:col>5</xdr:col>
                <xdr:colOff>638175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6" name="Scroll Bar 7">
          <controlPr defaultSize="0" autoPict="0">
            <anchor moveWithCells="1">
              <from>
                <xdr:col>4</xdr:col>
                <xdr:colOff>76200</xdr:colOff>
                <xdr:row>23</xdr:row>
                <xdr:rowOff>47625</xdr:rowOff>
              </from>
              <to>
                <xdr:col>5</xdr:col>
                <xdr:colOff>638175</xdr:colOff>
                <xdr:row>24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7" name="Scroll Bar 8">
          <controlPr defaultSize="0" autoPict="0">
            <anchor moveWithCells="1">
              <from>
                <xdr:col>4</xdr:col>
                <xdr:colOff>76200</xdr:colOff>
                <xdr:row>27</xdr:row>
                <xdr:rowOff>47625</xdr:rowOff>
              </from>
              <to>
                <xdr:col>5</xdr:col>
                <xdr:colOff>638175</xdr:colOff>
                <xdr:row>28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8" name="Scroll Bar 9">
          <controlPr defaultSize="0" autoPict="0">
            <anchor moveWithCells="1">
              <from>
                <xdr:col>4</xdr:col>
                <xdr:colOff>76200</xdr:colOff>
                <xdr:row>31</xdr:row>
                <xdr:rowOff>47625</xdr:rowOff>
              </from>
              <to>
                <xdr:col>5</xdr:col>
                <xdr:colOff>638175</xdr:colOff>
                <xdr:row>32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9" name="Scroll Bar 10">
          <controlPr defaultSize="0" autoPict="0">
            <anchor moveWithCells="1">
              <from>
                <xdr:col>4</xdr:col>
                <xdr:colOff>76200</xdr:colOff>
                <xdr:row>35</xdr:row>
                <xdr:rowOff>47625</xdr:rowOff>
              </from>
              <to>
                <xdr:col>5</xdr:col>
                <xdr:colOff>638175</xdr:colOff>
                <xdr:row>36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20" name="Scroll Bar 11">
          <controlPr defaultSize="0" autoPict="0">
            <anchor moveWithCells="1">
              <from>
                <xdr:col>6</xdr:col>
                <xdr:colOff>76200</xdr:colOff>
                <xdr:row>7</xdr:row>
                <xdr:rowOff>47625</xdr:rowOff>
              </from>
              <to>
                <xdr:col>7</xdr:col>
                <xdr:colOff>638175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21" name="Scroll Bar 12">
          <controlPr defaultSize="0" autoPict="0">
            <anchor moveWithCells="1">
              <from>
                <xdr:col>6</xdr:col>
                <xdr:colOff>76200</xdr:colOff>
                <xdr:row>11</xdr:row>
                <xdr:rowOff>47625</xdr:rowOff>
              </from>
              <to>
                <xdr:col>7</xdr:col>
                <xdr:colOff>638175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22" name="Scroll Bar 13">
          <controlPr defaultSize="0" autoPict="0">
            <anchor moveWithCells="1">
              <from>
                <xdr:col>6</xdr:col>
                <xdr:colOff>76200</xdr:colOff>
                <xdr:row>15</xdr:row>
                <xdr:rowOff>47625</xdr:rowOff>
              </from>
              <to>
                <xdr:col>7</xdr:col>
                <xdr:colOff>638175</xdr:colOff>
                <xdr:row>16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3" name="Scroll Bar 14">
          <controlPr defaultSize="0" autoPict="0">
            <anchor moveWithCells="1">
              <from>
                <xdr:col>6</xdr:col>
                <xdr:colOff>76200</xdr:colOff>
                <xdr:row>19</xdr:row>
                <xdr:rowOff>47625</xdr:rowOff>
              </from>
              <to>
                <xdr:col>7</xdr:col>
                <xdr:colOff>638175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4" name="Scroll Bar 15">
          <controlPr defaultSize="0" autoPict="0">
            <anchor moveWithCells="1">
              <from>
                <xdr:col>6</xdr:col>
                <xdr:colOff>76200</xdr:colOff>
                <xdr:row>23</xdr:row>
                <xdr:rowOff>47625</xdr:rowOff>
              </from>
              <to>
                <xdr:col>7</xdr:col>
                <xdr:colOff>638175</xdr:colOff>
                <xdr:row>24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5" name="Scroll Bar 16">
          <controlPr defaultSize="0" autoPict="0">
            <anchor moveWithCells="1">
              <from>
                <xdr:col>6</xdr:col>
                <xdr:colOff>76200</xdr:colOff>
                <xdr:row>27</xdr:row>
                <xdr:rowOff>47625</xdr:rowOff>
              </from>
              <to>
                <xdr:col>7</xdr:col>
                <xdr:colOff>638175</xdr:colOff>
                <xdr:row>28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6" name="Scroll Bar 17">
          <controlPr defaultSize="0" autoPict="0">
            <anchor moveWithCells="1">
              <from>
                <xdr:col>6</xdr:col>
                <xdr:colOff>76200</xdr:colOff>
                <xdr:row>31</xdr:row>
                <xdr:rowOff>47625</xdr:rowOff>
              </from>
              <to>
                <xdr:col>7</xdr:col>
                <xdr:colOff>638175</xdr:colOff>
                <xdr:row>32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7" name="Scroll Bar 18">
          <controlPr defaultSize="0" autoPict="0">
            <anchor moveWithCells="1">
              <from>
                <xdr:col>6</xdr:col>
                <xdr:colOff>76200</xdr:colOff>
                <xdr:row>35</xdr:row>
                <xdr:rowOff>47625</xdr:rowOff>
              </from>
              <to>
                <xdr:col>7</xdr:col>
                <xdr:colOff>638175</xdr:colOff>
                <xdr:row>36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8" name="Scroll Bar 19">
          <controlPr defaultSize="0" autoPict="0">
            <anchor moveWithCells="1">
              <from>
                <xdr:col>6</xdr:col>
                <xdr:colOff>76200</xdr:colOff>
                <xdr:row>31</xdr:row>
                <xdr:rowOff>47625</xdr:rowOff>
              </from>
              <to>
                <xdr:col>7</xdr:col>
                <xdr:colOff>638175</xdr:colOff>
                <xdr:row>32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9" name="Scroll Bar 20">
          <controlPr defaultSize="0" autoPict="0">
            <anchor moveWithCells="1">
              <from>
                <xdr:col>8</xdr:col>
                <xdr:colOff>76200</xdr:colOff>
                <xdr:row>7</xdr:row>
                <xdr:rowOff>47625</xdr:rowOff>
              </from>
              <to>
                <xdr:col>9</xdr:col>
                <xdr:colOff>638175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30" name="Scroll Bar 21">
          <controlPr defaultSize="0" autoPict="0">
            <anchor moveWithCells="1">
              <from>
                <xdr:col>8</xdr:col>
                <xdr:colOff>76200</xdr:colOff>
                <xdr:row>11</xdr:row>
                <xdr:rowOff>47625</xdr:rowOff>
              </from>
              <to>
                <xdr:col>9</xdr:col>
                <xdr:colOff>638175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31" name="Scroll Bar 22">
          <controlPr defaultSize="0" autoPict="0">
            <anchor moveWithCells="1">
              <from>
                <xdr:col>8</xdr:col>
                <xdr:colOff>76200</xdr:colOff>
                <xdr:row>15</xdr:row>
                <xdr:rowOff>47625</xdr:rowOff>
              </from>
              <to>
                <xdr:col>9</xdr:col>
                <xdr:colOff>638175</xdr:colOff>
                <xdr:row>16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32" name="Scroll Bar 23">
          <controlPr defaultSize="0" autoPict="0">
            <anchor moveWithCells="1">
              <from>
                <xdr:col>8</xdr:col>
                <xdr:colOff>76200</xdr:colOff>
                <xdr:row>19</xdr:row>
                <xdr:rowOff>47625</xdr:rowOff>
              </from>
              <to>
                <xdr:col>9</xdr:col>
                <xdr:colOff>638175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33" name="Scroll Bar 24">
          <controlPr defaultSize="0" autoPict="0">
            <anchor moveWithCells="1">
              <from>
                <xdr:col>8</xdr:col>
                <xdr:colOff>76200</xdr:colOff>
                <xdr:row>23</xdr:row>
                <xdr:rowOff>47625</xdr:rowOff>
              </from>
              <to>
                <xdr:col>9</xdr:col>
                <xdr:colOff>638175</xdr:colOff>
                <xdr:row>24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34" name="Scroll Bar 25">
          <controlPr defaultSize="0" autoPict="0">
            <anchor moveWithCells="1">
              <from>
                <xdr:col>8</xdr:col>
                <xdr:colOff>76200</xdr:colOff>
                <xdr:row>27</xdr:row>
                <xdr:rowOff>47625</xdr:rowOff>
              </from>
              <to>
                <xdr:col>9</xdr:col>
                <xdr:colOff>638175</xdr:colOff>
                <xdr:row>28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35" name="Scroll Bar 26">
          <controlPr defaultSize="0" autoPict="0">
            <anchor moveWithCells="1">
              <from>
                <xdr:col>8</xdr:col>
                <xdr:colOff>76200</xdr:colOff>
                <xdr:row>31</xdr:row>
                <xdr:rowOff>47625</xdr:rowOff>
              </from>
              <to>
                <xdr:col>9</xdr:col>
                <xdr:colOff>638175</xdr:colOff>
                <xdr:row>32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36" name="Scroll Bar 27">
          <controlPr defaultSize="0" autoPict="0">
            <anchor moveWithCells="1">
              <from>
                <xdr:col>8</xdr:col>
                <xdr:colOff>76200</xdr:colOff>
                <xdr:row>35</xdr:row>
                <xdr:rowOff>47625</xdr:rowOff>
              </from>
              <to>
                <xdr:col>9</xdr:col>
                <xdr:colOff>638175</xdr:colOff>
                <xdr:row>36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37" name="Scroll Bar 28">
          <controlPr defaultSize="0" autoPict="0">
            <anchor moveWithCells="1">
              <from>
                <xdr:col>14</xdr:col>
                <xdr:colOff>76200</xdr:colOff>
                <xdr:row>2</xdr:row>
                <xdr:rowOff>47625</xdr:rowOff>
              </from>
              <to>
                <xdr:col>15</xdr:col>
                <xdr:colOff>638175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38" name="Scroll Bar 29">
          <controlPr defaultSize="0" autoPict="0">
            <anchor moveWithCells="1">
              <from>
                <xdr:col>19</xdr:col>
                <xdr:colOff>76200</xdr:colOff>
                <xdr:row>2</xdr:row>
                <xdr:rowOff>47625</xdr:rowOff>
              </from>
              <to>
                <xdr:col>20</xdr:col>
                <xdr:colOff>638175</xdr:colOff>
                <xdr:row>3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773599-D5F1-4747-8BF4-B2FFBF6B4382}">
            <x14:dataBar minLength="0" maxLength="100" gradient="0">
              <x14:cfvo type="num">
                <xm:f>0</xm:f>
              </x14:cfvo>
              <x14:cfvo type="num">
                <xm:f>$N$8</xm:f>
              </x14:cfvo>
              <x14:negativeFill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6D5E288E-6526-4DE4-9AB7-58A0BE7DCCB1}">
            <x14:dataBar minLength="0" maxLength="100" gradient="0">
              <x14:cfvo type="num">
                <xm:f>0</xm:f>
              </x14:cfvo>
              <x14:cfvo type="num">
                <xm:f>$S$8</xm:f>
              </x14:cfvo>
              <x14:negativeFill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1B6B1FE4-988E-4C5F-8271-8A5AD0AA605C}">
            <x14:dataBar minLength="0" maxLength="100" gradient="0">
              <x14:cfvo type="num">
                <xm:f>0</xm:f>
              </x14:cfvo>
              <x14:cfvo type="num">
                <xm:f>$M$5</xm:f>
              </x14:cfvo>
              <x14:negativeFillColor rgb="FFFF0000"/>
              <x14:axisColor rgb="FF000000"/>
            </x14:dataBar>
          </x14:cfRule>
          <xm:sqref>L6:M6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A71"/>
  <sheetViews>
    <sheetView topLeftCell="D1" zoomScaleNormal="100" workbookViewId="0">
      <pane ySplit="22" topLeftCell="A23" activePane="bottomLeft" state="frozen"/>
      <selection pane="bottomLeft" activeCell="W23" sqref="W23"/>
    </sheetView>
  </sheetViews>
  <sheetFormatPr defaultRowHeight="12" x14ac:dyDescent="0.15"/>
  <cols>
    <col min="1" max="12" width="9" style="36"/>
    <col min="13" max="13" width="9.625" style="36" bestFit="1" customWidth="1"/>
    <col min="14" max="14" width="11.25" style="36" bestFit="1" customWidth="1"/>
    <col min="15" max="15" width="9" style="36"/>
    <col min="16" max="16" width="11.25" style="36" bestFit="1" customWidth="1"/>
    <col min="17" max="16384" width="9" style="36"/>
  </cols>
  <sheetData>
    <row r="2" spans="3:17" x14ac:dyDescent="0.15">
      <c r="C2" s="154" t="s">
        <v>312</v>
      </c>
      <c r="D2" s="154"/>
      <c r="E2" s="154"/>
      <c r="F2" s="154"/>
      <c r="H2" s="156" t="s">
        <v>313</v>
      </c>
      <c r="I2" s="156"/>
      <c r="J2" s="156"/>
      <c r="K2" s="156"/>
      <c r="M2" s="10" t="s">
        <v>314</v>
      </c>
      <c r="N2" s="36">
        <f>H4/N4</f>
        <v>23.499998680398011</v>
      </c>
    </row>
    <row r="3" spans="3:17" x14ac:dyDescent="0.15">
      <c r="C3" s="155"/>
      <c r="D3" s="155"/>
      <c r="E3" s="155"/>
      <c r="F3" s="155"/>
      <c r="H3" s="157"/>
      <c r="I3" s="157"/>
      <c r="J3" s="157"/>
      <c r="K3" s="157"/>
      <c r="M3" s="10"/>
      <c r="N3" s="10"/>
    </row>
    <row r="4" spans="3:17" x14ac:dyDescent="0.15">
      <c r="C4" s="132" t="s">
        <v>2</v>
      </c>
      <c r="D4" s="132">
        <v>4219</v>
      </c>
      <c r="E4" s="132"/>
      <c r="F4" s="132"/>
      <c r="G4" s="42"/>
      <c r="H4" s="132">
        <v>4219</v>
      </c>
      <c r="I4" s="132"/>
      <c r="J4" s="132"/>
      <c r="K4" s="132" t="s">
        <v>2</v>
      </c>
      <c r="M4" s="36" t="s">
        <v>317</v>
      </c>
      <c r="N4" s="36">
        <f>(D8^2/(D8+H10))*N8</f>
        <v>179.53192497492279</v>
      </c>
    </row>
    <row r="5" spans="3:17" x14ac:dyDescent="0.15">
      <c r="C5" s="133"/>
      <c r="D5" s="133"/>
      <c r="E5" s="133"/>
      <c r="F5" s="133"/>
      <c r="G5" s="68"/>
      <c r="H5" s="133"/>
      <c r="I5" s="133"/>
      <c r="J5" s="133"/>
      <c r="K5" s="133"/>
      <c r="P5" s="36" t="s">
        <v>325</v>
      </c>
      <c r="Q5" s="36">
        <f>N2*N6</f>
        <v>2.792771905981247</v>
      </c>
    </row>
    <row r="6" spans="3:17" x14ac:dyDescent="0.15">
      <c r="C6" s="132" t="s">
        <v>164</v>
      </c>
      <c r="D6" s="132">
        <v>662</v>
      </c>
      <c r="E6" s="132"/>
      <c r="F6" s="132"/>
      <c r="G6" s="68"/>
      <c r="H6" s="132">
        <v>662</v>
      </c>
      <c r="I6" s="132"/>
      <c r="J6" s="132"/>
      <c r="K6" s="132" t="s">
        <v>164</v>
      </c>
      <c r="M6" s="36" t="s">
        <v>316</v>
      </c>
      <c r="N6" s="36">
        <f>D16/(D16+H18*15)</f>
        <v>0.11884136437466161</v>
      </c>
      <c r="P6" s="36" t="s">
        <v>326</v>
      </c>
      <c r="Q6" s="36">
        <f>N4*Q5*1.5</f>
        <v>752.08757444504613</v>
      </c>
    </row>
    <row r="7" spans="3:17" x14ac:dyDescent="0.15">
      <c r="C7" s="133"/>
      <c r="D7" s="133"/>
      <c r="E7" s="133"/>
      <c r="F7" s="133"/>
      <c r="G7" s="68"/>
      <c r="H7" s="133"/>
      <c r="I7" s="133"/>
      <c r="J7" s="133"/>
      <c r="K7" s="133"/>
      <c r="P7" s="36" t="s">
        <v>327</v>
      </c>
      <c r="Q7" s="36">
        <f>N4*Q5</f>
        <v>501.39171629669738</v>
      </c>
    </row>
    <row r="8" spans="3:17" x14ac:dyDescent="0.15">
      <c r="C8" s="132" t="s">
        <v>0</v>
      </c>
      <c r="D8" s="132">
        <v>422</v>
      </c>
      <c r="E8" s="132"/>
      <c r="F8" s="132"/>
      <c r="G8" s="68"/>
      <c r="H8" s="132">
        <v>422</v>
      </c>
      <c r="I8" s="132"/>
      <c r="J8" s="132"/>
      <c r="K8" s="132" t="s">
        <v>0</v>
      </c>
      <c r="M8" s="36" t="s">
        <v>315</v>
      </c>
      <c r="N8" s="36">
        <f>D12*1.1/((D12+H14)*0.99)</f>
        <v>0.74299223235393463</v>
      </c>
      <c r="P8" s="36" t="s">
        <v>328</v>
      </c>
      <c r="Q8" s="36">
        <f>(Q6-Q7)/N4</f>
        <v>1.396385952990624</v>
      </c>
    </row>
    <row r="9" spans="3:17" x14ac:dyDescent="0.15">
      <c r="C9" s="133"/>
      <c r="D9" s="133"/>
      <c r="E9" s="133"/>
      <c r="F9" s="133"/>
      <c r="G9" s="68"/>
      <c r="H9" s="133"/>
      <c r="I9" s="133"/>
      <c r="J9" s="133"/>
      <c r="K9" s="133"/>
    </row>
    <row r="10" spans="3:17" x14ac:dyDescent="0.15">
      <c r="C10" s="132" t="s">
        <v>1</v>
      </c>
      <c r="D10" s="132">
        <v>315</v>
      </c>
      <c r="E10" s="132"/>
      <c r="F10" s="132"/>
      <c r="G10" s="68"/>
      <c r="H10" s="132">
        <v>315</v>
      </c>
      <c r="I10" s="132"/>
      <c r="J10" s="132"/>
      <c r="K10" s="132" t="s">
        <v>1</v>
      </c>
    </row>
    <row r="11" spans="3:17" x14ac:dyDescent="0.15">
      <c r="C11" s="133"/>
      <c r="D11" s="133"/>
      <c r="E11" s="133"/>
      <c r="F11" s="133"/>
      <c r="G11" s="68"/>
      <c r="H11" s="133"/>
      <c r="I11" s="133"/>
      <c r="J11" s="133"/>
      <c r="K11" s="133"/>
    </row>
    <row r="12" spans="3:17" x14ac:dyDescent="0.15">
      <c r="C12" s="132" t="s">
        <v>5</v>
      </c>
      <c r="D12" s="132">
        <v>440</v>
      </c>
      <c r="E12" s="132"/>
      <c r="F12" s="132"/>
      <c r="G12" s="49"/>
      <c r="H12" s="132">
        <v>440</v>
      </c>
      <c r="I12" s="132"/>
      <c r="J12" s="132"/>
      <c r="K12" s="132" t="s">
        <v>5</v>
      </c>
    </row>
    <row r="13" spans="3:17" x14ac:dyDescent="0.15">
      <c r="C13" s="133"/>
      <c r="D13" s="133"/>
      <c r="E13" s="133"/>
      <c r="F13" s="133"/>
      <c r="G13" s="68"/>
      <c r="H13" s="133"/>
      <c r="I13" s="133"/>
      <c r="J13" s="133"/>
      <c r="K13" s="133"/>
    </row>
    <row r="14" spans="3:17" x14ac:dyDescent="0.15">
      <c r="C14" s="132" t="s">
        <v>243</v>
      </c>
      <c r="D14" s="132">
        <v>218</v>
      </c>
      <c r="E14" s="132"/>
      <c r="F14" s="132"/>
      <c r="G14" s="68"/>
      <c r="H14" s="132">
        <v>218</v>
      </c>
      <c r="I14" s="132"/>
      <c r="J14" s="132"/>
      <c r="K14" s="132" t="s">
        <v>243</v>
      </c>
    </row>
    <row r="15" spans="3:17" x14ac:dyDescent="0.15">
      <c r="C15" s="133"/>
      <c r="D15" s="133"/>
      <c r="E15" s="133"/>
      <c r="F15" s="133"/>
      <c r="G15" s="68"/>
      <c r="H15" s="133"/>
      <c r="I15" s="133"/>
      <c r="J15" s="133"/>
      <c r="K15" s="133"/>
    </row>
    <row r="16" spans="3:17" x14ac:dyDescent="0.15">
      <c r="C16" s="132" t="s">
        <v>3</v>
      </c>
      <c r="D16" s="132">
        <v>439</v>
      </c>
      <c r="E16" s="132"/>
      <c r="F16" s="132"/>
      <c r="G16" s="49"/>
      <c r="H16" s="132">
        <v>439</v>
      </c>
      <c r="I16" s="132"/>
      <c r="J16" s="132"/>
      <c r="K16" s="132" t="s">
        <v>3</v>
      </c>
    </row>
    <row r="17" spans="2:27" x14ac:dyDescent="0.15">
      <c r="C17" s="133"/>
      <c r="D17" s="133"/>
      <c r="E17" s="133"/>
      <c r="F17" s="133"/>
      <c r="G17" s="68"/>
      <c r="H17" s="133"/>
      <c r="I17" s="133"/>
      <c r="J17" s="133"/>
      <c r="K17" s="133"/>
    </row>
    <row r="18" spans="2:27" x14ac:dyDescent="0.15">
      <c r="C18" s="132" t="s">
        <v>4</v>
      </c>
      <c r="D18" s="132">
        <v>217</v>
      </c>
      <c r="E18" s="132"/>
      <c r="F18" s="132"/>
      <c r="G18" s="68"/>
      <c r="H18" s="132">
        <v>217</v>
      </c>
      <c r="I18" s="132"/>
      <c r="J18" s="132"/>
      <c r="K18" s="132" t="s">
        <v>4</v>
      </c>
    </row>
    <row r="19" spans="2:27" x14ac:dyDescent="0.15">
      <c r="C19" s="133"/>
      <c r="D19" s="133"/>
      <c r="E19" s="133"/>
      <c r="F19" s="133"/>
      <c r="G19" s="68"/>
      <c r="H19" s="133"/>
      <c r="I19" s="133"/>
      <c r="J19" s="133"/>
      <c r="K19" s="133"/>
    </row>
    <row r="22" spans="2:27" x14ac:dyDescent="0.15">
      <c r="C22" s="36" t="s">
        <v>155</v>
      </c>
      <c r="E22" s="36" t="s">
        <v>156</v>
      </c>
      <c r="F22" s="36">
        <v>4</v>
      </c>
      <c r="G22" s="36" t="s">
        <v>166</v>
      </c>
      <c r="H22" s="36">
        <v>2</v>
      </c>
      <c r="I22" s="36" t="s">
        <v>170</v>
      </c>
      <c r="K22" s="36" t="s">
        <v>171</v>
      </c>
      <c r="M22" s="36" t="s">
        <v>172</v>
      </c>
      <c r="O22" s="36" t="s">
        <v>173</v>
      </c>
      <c r="Q22" s="36" t="s">
        <v>211</v>
      </c>
      <c r="S22" s="36" t="s">
        <v>397</v>
      </c>
      <c r="T22" s="36" t="s">
        <v>324</v>
      </c>
      <c r="U22" s="36" t="s">
        <v>318</v>
      </c>
      <c r="V22" s="36" t="s">
        <v>319</v>
      </c>
      <c r="W22" s="36" t="s">
        <v>320</v>
      </c>
      <c r="X22" s="36" t="s">
        <v>323</v>
      </c>
      <c r="Y22" s="36" t="s">
        <v>321</v>
      </c>
      <c r="Z22" s="36" t="s">
        <v>322</v>
      </c>
      <c r="AA22" s="36" t="s">
        <v>412</v>
      </c>
    </row>
    <row r="23" spans="2:27" x14ac:dyDescent="0.15">
      <c r="B23" s="36">
        <v>2</v>
      </c>
      <c r="C23" s="36">
        <f>VLOOKUP(B23,怪物属性!$O$11:$AF$60,3,FALSE)</f>
        <v>447</v>
      </c>
      <c r="D23" s="36">
        <f t="shared" ref="D23:D54" si="0">ABS($H$4/((C23^2/(C23+$H$10))*$N$8)-$N$2)</f>
        <v>1.8446501907722421</v>
      </c>
      <c r="E23" s="36">
        <f>VLOOKUP(B23,怪物属性!$O$11:$AF$60,5,FALSE)</f>
        <v>335</v>
      </c>
      <c r="F23" s="36">
        <f t="shared" ref="F23:F54" si="1">ABS($D$4/(($H$8^2/($H$8+E23))*$N$8)-$N$2)/$F$22</f>
        <v>0.15943011316416467</v>
      </c>
      <c r="G23" s="36">
        <f>VLOOKUP(B23,怪物属性!$O$11:$AF$60,7,FALSE)</f>
        <v>4425</v>
      </c>
      <c r="H23" s="36">
        <f t="shared" ref="H23:H54" si="2">ABS(G23/(($D$8^2/($D$8+$H$10))*$N$8)-$N$2)/$H$22</f>
        <v>0.57371411805664607</v>
      </c>
      <c r="I23" s="36">
        <f>VLOOKUP(B23,怪物属性!$O$11:$AF$60,9,FALSE)</f>
        <v>448</v>
      </c>
      <c r="J23" s="36">
        <f t="shared" ref="J23:J54" si="3">((I23/(D16+$H$18*15))*$N$2*$N$4*0.5)/$N$4</f>
        <v>1.4250134554437344</v>
      </c>
      <c r="K23" s="36">
        <f>VLOOKUP(B23,怪物属性!$O$11:$AF$60,11,FALSE)</f>
        <v>222</v>
      </c>
      <c r="L23" s="36">
        <f>$N$2-(($H$16/($H$16+K23*15))*$N$2*$N$4*0.5)/$N$4</f>
        <v>22.13139965934538</v>
      </c>
      <c r="M23" s="36">
        <f>VLOOKUP(B23,怪物属性!$O$11:$AF$60,13,FALSE)</f>
        <v>450</v>
      </c>
      <c r="N23" s="36">
        <f>ABS($H$4/(($D$8^2/($D$8+$H$10))*(M23*1.1/((M23+$H$14)*0.99)))-$N$2)</f>
        <v>0.17301586330045993</v>
      </c>
      <c r="O23" s="36">
        <f>VLOOKUP(B23,怪物属性!$O$11:$AF$60,15,FALSE)</f>
        <v>223</v>
      </c>
      <c r="P23" s="36">
        <f>ABS($D$4/(($H$8^2/($H$8+$D$10))*($H$12*1.1/(($H$12+O23)*0.99)))-$N$2)</f>
        <v>0.17857141854405612</v>
      </c>
      <c r="Q23" s="36">
        <f>VLOOKUP(B23,怪物属性!$O$11:$AF$60,17,FALSE)</f>
        <v>674</v>
      </c>
      <c r="R23" s="36">
        <f>H23*0.5</f>
        <v>0.28685705902832304</v>
      </c>
      <c r="S23" s="36">
        <v>2</v>
      </c>
      <c r="T23" s="36">
        <v>1</v>
      </c>
      <c r="U23" s="36">
        <f>F23/D23*T23</f>
        <v>8.6428372144325666E-2</v>
      </c>
      <c r="V23" s="36">
        <f>H23/D23*T23</f>
        <v>0.31101512954955818</v>
      </c>
      <c r="W23" s="36">
        <f>J23/D23*T23</f>
        <v>0.77251148351719112</v>
      </c>
      <c r="X23" s="36">
        <f>1/(L23/D23*T23)</f>
        <v>8.3349910948506398E-2</v>
      </c>
      <c r="Y23" s="36">
        <f>N23/D23*T23</f>
        <v>9.3793318736507314E-2</v>
      </c>
      <c r="Z23" s="36">
        <f>P23/D23*T23</f>
        <v>9.6805030806030049E-2</v>
      </c>
      <c r="AA23" s="36">
        <f>R23/D23*T23</f>
        <v>0.15550756477477909</v>
      </c>
    </row>
    <row r="24" spans="2:27" x14ac:dyDescent="0.15">
      <c r="B24" s="36">
        <v>3</v>
      </c>
      <c r="C24" s="36">
        <f>VLOOKUP(B24,怪物属性!$O$11:$AF$60,3,FALSE)</f>
        <v>471</v>
      </c>
      <c r="D24" s="36">
        <f t="shared" si="0"/>
        <v>3.3810175305081067</v>
      </c>
      <c r="E24" s="36">
        <f>VLOOKUP(B24,怪物属性!$O$11:$AF$60,5,FALSE)</f>
        <v>353</v>
      </c>
      <c r="F24" s="36">
        <f t="shared" si="1"/>
        <v>0.30291721501191393</v>
      </c>
      <c r="G24" s="36">
        <f>VLOOKUP(B24,怪物属性!$O$11:$AF$60,7,FALSE)</f>
        <v>4631</v>
      </c>
      <c r="H24" s="36">
        <f t="shared" si="2"/>
        <v>1.1474282361132939</v>
      </c>
      <c r="I24" s="36">
        <f>VLOOKUP(B24,怪物属性!$O$11:$AF$60,9,FALSE)</f>
        <v>455</v>
      </c>
      <c r="J24" s="36">
        <f t="shared" si="3"/>
        <v>1.6424730260493232</v>
      </c>
      <c r="K24" s="36">
        <f>VLOOKUP(B24,怪物属性!$O$11:$AF$60,11,FALSE)</f>
        <v>226</v>
      </c>
      <c r="L24" s="36">
        <f t="shared" ref="L24:L71" si="4">$N$2-(($H$16/($H$16+K24*15))*$N$2*$N$4*0.5)/$N$4</f>
        <v>22.152845452310427</v>
      </c>
      <c r="M24" s="36">
        <f>VLOOKUP(B24,怪物属性!$O$11:$AF$60,13,FALSE)</f>
        <v>459</v>
      </c>
      <c r="N24" s="36">
        <f t="shared" ref="N24:N71" si="5">ABS($H$4/(($D$8^2/($D$8+$H$10))*(M24*1.1/((M24+$H$14)*0.99)))-$N$2)</f>
        <v>0.32228445124596306</v>
      </c>
      <c r="O24" s="36">
        <f>VLOOKUP(B24,怪物属性!$O$11:$AF$60,15,FALSE)</f>
        <v>227</v>
      </c>
      <c r="P24" s="36">
        <f t="shared" ref="P24:P71" si="6">ABS($D$4/(($H$8^2/($H$8+$D$10))*($H$12*1.1/(($H$12+O24)*0.99)))-$N$2)</f>
        <v>0.32142855337930598</v>
      </c>
      <c r="Q24" s="36">
        <f>VLOOKUP(B24,怪物属性!$O$11:$AF$60,17,FALSE)</f>
        <v>687</v>
      </c>
      <c r="R24" s="36">
        <f t="shared" ref="R24:R71" si="7">H24*0.5</f>
        <v>0.57371411805664696</v>
      </c>
      <c r="S24" s="36">
        <v>3</v>
      </c>
      <c r="T24" s="36">
        <v>1</v>
      </c>
      <c r="U24" s="36">
        <f t="shared" ref="U24:U71" si="8">F24/D24*T24</f>
        <v>8.9593506179304214E-2</v>
      </c>
      <c r="V24" s="36">
        <f t="shared" ref="V24:V71" si="9">H24/D24*T24</f>
        <v>0.33937364292247724</v>
      </c>
      <c r="W24" s="36">
        <f t="shared" ref="W24:W71" si="10">J24/D24*T24</f>
        <v>0.48579251992298567</v>
      </c>
      <c r="X24" s="36">
        <f t="shared" ref="X24:X71" si="11">1/(L24/D24*T24)</f>
        <v>0.15262226867363823</v>
      </c>
      <c r="Y24" s="36">
        <f t="shared" ref="Y24:Y71" si="12">N24/D24*T24</f>
        <v>9.5321733276410858E-2</v>
      </c>
      <c r="Z24" s="36">
        <f t="shared" ref="Z24:Z71" si="13">P24/D24*T24</f>
        <v>9.5068585264330471E-2</v>
      </c>
      <c r="AA24" s="36">
        <f t="shared" ref="AA24:AA71" si="14">R24/D24*T24</f>
        <v>0.16968682146123862</v>
      </c>
    </row>
    <row r="25" spans="2:27" x14ac:dyDescent="0.15">
      <c r="B25" s="36">
        <v>4</v>
      </c>
      <c r="C25" s="36">
        <f>VLOOKUP(B25,怪物属性!$O$11:$AF$60,3,FALSE)</f>
        <v>496</v>
      </c>
      <c r="D25" s="36">
        <f t="shared" si="0"/>
        <v>4.7809939870595173</v>
      </c>
      <c r="E25" s="36">
        <f>VLOOKUP(B25,怪物属性!$O$11:$AF$60,5,FALSE)</f>
        <v>371</v>
      </c>
      <c r="F25" s="36">
        <f t="shared" si="1"/>
        <v>0.4464043168596632</v>
      </c>
      <c r="G25" s="36">
        <f>VLOOKUP(B25,怪物属性!$O$11:$AF$60,7,FALSE)</f>
        <v>4839</v>
      </c>
      <c r="H25" s="36">
        <f t="shared" si="2"/>
        <v>1.7267123941510736</v>
      </c>
      <c r="I25" s="36">
        <f>VLOOKUP(B25,怪物属性!$O$11:$AF$60,9,FALSE)</f>
        <v>464</v>
      </c>
      <c r="J25" s="36">
        <f t="shared" si="3"/>
        <v>1.5702764095196828</v>
      </c>
      <c r="K25" s="36">
        <f>VLOOKUP(B25,怪物属性!$O$11:$AF$60,11,FALSE)</f>
        <v>231</v>
      </c>
      <c r="L25" s="36">
        <f t="shared" si="4"/>
        <v>22.178725701313134</v>
      </c>
      <c r="M25" s="36">
        <f>VLOOKUP(B25,怪物属性!$O$11:$AF$60,13,FALSE)</f>
        <v>470</v>
      </c>
      <c r="N25" s="36">
        <f t="shared" si="5"/>
        <v>0.49696045841622549</v>
      </c>
      <c r="O25" s="36">
        <f>VLOOKUP(B25,怪物属性!$O$11:$AF$60,15,FALSE)</f>
        <v>233</v>
      </c>
      <c r="P25" s="36">
        <f t="shared" si="6"/>
        <v>0.53571425563217545</v>
      </c>
      <c r="Q25" s="36">
        <f>VLOOKUP(B25,怪物属性!$O$11:$AF$60,17,FALSE)</f>
        <v>702</v>
      </c>
      <c r="R25" s="36">
        <f t="shared" si="7"/>
        <v>0.86335619707553679</v>
      </c>
      <c r="S25" s="36">
        <v>4</v>
      </c>
      <c r="T25" s="36">
        <v>1</v>
      </c>
      <c r="U25" s="36">
        <f t="shared" si="8"/>
        <v>9.3370608301939703E-2</v>
      </c>
      <c r="V25" s="36">
        <f t="shared" si="9"/>
        <v>0.3611617999990549</v>
      </c>
      <c r="W25" s="36">
        <f t="shared" si="10"/>
        <v>0.32844141067105986</v>
      </c>
      <c r="X25" s="36">
        <f t="shared" si="11"/>
        <v>0.21556666742023187</v>
      </c>
      <c r="Y25" s="36">
        <f t="shared" si="12"/>
        <v>0.10394500803835438</v>
      </c>
      <c r="Z25" s="36">
        <f t="shared" si="13"/>
        <v>0.11205081141749332</v>
      </c>
      <c r="AA25" s="36">
        <f t="shared" si="14"/>
        <v>0.18058089999952745</v>
      </c>
    </row>
    <row r="26" spans="2:27" x14ac:dyDescent="0.15">
      <c r="B26" s="36">
        <v>5</v>
      </c>
      <c r="C26" s="36">
        <f>VLOOKUP(B26,怪物属性!$O$11:$AF$60,3,FALSE)</f>
        <v>520</v>
      </c>
      <c r="D26" s="36">
        <f t="shared" si="0"/>
        <v>5.9650281569310977</v>
      </c>
      <c r="E26" s="36">
        <f>VLOOKUP(B26,怪物属性!$O$11:$AF$60,5,FALSE)</f>
        <v>388</v>
      </c>
      <c r="F26" s="36">
        <f t="shared" si="1"/>
        <v>0.58191991304920343</v>
      </c>
      <c r="G26" s="36">
        <f>VLOOKUP(B26,怪物属性!$O$11:$AF$60,7,FALSE)</f>
        <v>5048</v>
      </c>
      <c r="H26" s="36">
        <f t="shared" si="2"/>
        <v>2.30878157217942</v>
      </c>
      <c r="I26" s="36">
        <f>VLOOKUP(B26,怪物属性!$O$11:$AF$60,9,FALSE)</f>
        <v>472</v>
      </c>
      <c r="J26" s="36">
        <f t="shared" si="3"/>
        <v>1.7038401500995182</v>
      </c>
      <c r="K26" s="36">
        <f>VLOOKUP(B26,怪物属性!$O$11:$AF$60,11,FALSE)</f>
        <v>234</v>
      </c>
      <c r="L26" s="36">
        <f t="shared" si="4"/>
        <v>22.193781990008706</v>
      </c>
      <c r="M26" s="36">
        <f>VLOOKUP(B26,怪物属性!$O$11:$AF$60,13,FALSE)</f>
        <v>478</v>
      </c>
      <c r="N26" s="36">
        <f t="shared" si="5"/>
        <v>0.61894796285313092</v>
      </c>
      <c r="O26" s="36">
        <f>VLOOKUP(B26,怪物属性!$O$11:$AF$60,15,FALSE)</f>
        <v>237</v>
      </c>
      <c r="P26" s="36">
        <f t="shared" si="6"/>
        <v>0.67857139046741821</v>
      </c>
      <c r="Q26" s="36">
        <f>VLOOKUP(B26,怪物属性!$O$11:$AF$60,17,FALSE)</f>
        <v>715</v>
      </c>
      <c r="R26" s="36">
        <f t="shared" si="7"/>
        <v>1.15439078608971</v>
      </c>
      <c r="S26" s="36">
        <v>5</v>
      </c>
      <c r="T26" s="36">
        <v>1</v>
      </c>
      <c r="U26" s="36">
        <f t="shared" si="8"/>
        <v>9.7555266754782766E-2</v>
      </c>
      <c r="V26" s="36">
        <f t="shared" si="9"/>
        <v>0.3870529210321863</v>
      </c>
      <c r="W26" s="36">
        <f t="shared" si="10"/>
        <v>0.28563824097288321</v>
      </c>
      <c r="X26" s="36">
        <f t="shared" si="11"/>
        <v>0.26877024202618821</v>
      </c>
      <c r="Y26" s="36">
        <f t="shared" si="12"/>
        <v>0.10376278980912117</v>
      </c>
      <c r="Z26" s="36">
        <f t="shared" si="13"/>
        <v>0.11375828790999895</v>
      </c>
      <c r="AA26" s="36">
        <f t="shared" si="14"/>
        <v>0.19352646051609315</v>
      </c>
    </row>
    <row r="27" spans="2:27" x14ac:dyDescent="0.15">
      <c r="B27" s="36">
        <v>6</v>
      </c>
      <c r="C27" s="36">
        <f>VLOOKUP(B27,怪物属性!$O$11:$AF$60,3,FALSE)</f>
        <v>544</v>
      </c>
      <c r="D27" s="36">
        <f t="shared" si="0"/>
        <v>7.0175923477634399</v>
      </c>
      <c r="E27" s="36">
        <f>VLOOKUP(B27,怪物属性!$O$11:$AF$60,5,FALSE)</f>
        <v>407</v>
      </c>
      <c r="F27" s="36">
        <f t="shared" si="1"/>
        <v>0.73337852055516173</v>
      </c>
      <c r="G27" s="36">
        <f>VLOOKUP(B27,怪物属性!$O$11:$AF$60,7,FALSE)</f>
        <v>5260</v>
      </c>
      <c r="H27" s="36">
        <f t="shared" si="2"/>
        <v>2.8992058101794651</v>
      </c>
      <c r="I27" s="36">
        <f>VLOOKUP(B27,怪物属性!$O$11:$AF$60,9,FALSE)</f>
        <v>480</v>
      </c>
      <c r="J27" s="36">
        <f t="shared" si="3"/>
        <v>1.7327187967113742</v>
      </c>
      <c r="K27" s="36">
        <f>VLOOKUP(B27,怪物属性!$O$11:$AF$60,11,FALSE)</f>
        <v>237</v>
      </c>
      <c r="L27" s="36">
        <f t="shared" si="4"/>
        <v>22.208499003295518</v>
      </c>
      <c r="M27" s="36">
        <f>VLOOKUP(B27,怪物属性!$O$11:$AF$60,13,FALSE)</f>
        <v>488</v>
      </c>
      <c r="N27" s="36">
        <f t="shared" si="5"/>
        <v>0.7658079195266474</v>
      </c>
      <c r="O27" s="36">
        <f>VLOOKUP(B27,怪物属性!$O$11:$AF$60,15,FALSE)</f>
        <v>242</v>
      </c>
      <c r="P27" s="36">
        <f t="shared" si="6"/>
        <v>0.85714280901147788</v>
      </c>
      <c r="Q27" s="36">
        <f>VLOOKUP(B27,怪物属性!$O$11:$AF$60,17,FALSE)</f>
        <v>729</v>
      </c>
      <c r="R27" s="36">
        <f t="shared" si="7"/>
        <v>1.4496029050897326</v>
      </c>
      <c r="S27" s="36">
        <v>6</v>
      </c>
      <c r="T27" s="36">
        <v>1</v>
      </c>
      <c r="U27" s="36">
        <f t="shared" si="8"/>
        <v>0.10450571709097566</v>
      </c>
      <c r="V27" s="36">
        <f t="shared" si="9"/>
        <v>0.41313397337812935</v>
      </c>
      <c r="W27" s="36">
        <f t="shared" si="10"/>
        <v>0.24691072248783513</v>
      </c>
      <c r="X27" s="36">
        <f t="shared" si="11"/>
        <v>0.31598679166575366</v>
      </c>
      <c r="Y27" s="36">
        <f t="shared" si="12"/>
        <v>0.10912687451426503</v>
      </c>
      <c r="Z27" s="36">
        <f t="shared" si="13"/>
        <v>0.12214200633706741</v>
      </c>
      <c r="AA27" s="36">
        <f t="shared" si="14"/>
        <v>0.20656698668906467</v>
      </c>
    </row>
    <row r="28" spans="2:27" x14ac:dyDescent="0.15">
      <c r="B28" s="36">
        <v>7</v>
      </c>
      <c r="C28" s="36">
        <f>VLOOKUP(B28,怪物属性!$O$11:$AF$60,3,FALSE)</f>
        <v>568</v>
      </c>
      <c r="D28" s="36">
        <f t="shared" si="0"/>
        <v>7.958629249222291</v>
      </c>
      <c r="E28" s="36">
        <f>VLOOKUP(B28,怪物属性!$O$11:$AF$60,5,FALSE)</f>
        <v>426</v>
      </c>
      <c r="F28" s="36">
        <f t="shared" si="1"/>
        <v>0.88483712806111825</v>
      </c>
      <c r="G28" s="36">
        <f>VLOOKUP(B28,怪物属性!$O$11:$AF$60,7,FALSE)</f>
        <v>5475</v>
      </c>
      <c r="H28" s="36">
        <f t="shared" si="2"/>
        <v>3.4979851081512088</v>
      </c>
      <c r="I28" s="36">
        <f>VLOOKUP(B28,怪物属性!$O$11:$AF$60,9,FALSE)</f>
        <v>488</v>
      </c>
      <c r="J28" s="36">
        <f t="shared" si="3"/>
        <v>1.7615974433232302</v>
      </c>
      <c r="K28" s="36">
        <f>VLOOKUP(B28,怪物属性!$O$11:$AF$60,11,FALSE)</f>
        <v>242</v>
      </c>
      <c r="L28" s="36">
        <f t="shared" si="4"/>
        <v>22.232303986284627</v>
      </c>
      <c r="M28" s="36">
        <f>VLOOKUP(B28,怪物属性!$O$11:$AF$60,13,FALSE)</f>
        <v>497</v>
      </c>
      <c r="N28" s="36">
        <f t="shared" si="5"/>
        <v>0.8929289524460593</v>
      </c>
      <c r="O28" s="36">
        <f>VLOOKUP(B28,怪物属性!$O$11:$AF$60,15,FALSE)</f>
        <v>248</v>
      </c>
      <c r="P28" s="36">
        <f t="shared" si="6"/>
        <v>1.0714285112643473</v>
      </c>
      <c r="Q28" s="36">
        <f>VLOOKUP(B28,怪物属性!$O$11:$AF$60,17,FALSE)</f>
        <v>743</v>
      </c>
      <c r="R28" s="36">
        <f t="shared" si="7"/>
        <v>1.7489925540756044</v>
      </c>
      <c r="S28" s="36">
        <v>7</v>
      </c>
      <c r="T28" s="36">
        <v>1</v>
      </c>
      <c r="U28" s="36">
        <f t="shared" si="8"/>
        <v>0.11117958889058485</v>
      </c>
      <c r="V28" s="36">
        <f t="shared" si="9"/>
        <v>0.43952105301211614</v>
      </c>
      <c r="W28" s="36">
        <f t="shared" si="10"/>
        <v>0.22134432804435156</v>
      </c>
      <c r="X28" s="36">
        <f t="shared" si="11"/>
        <v>0.35797590992512807</v>
      </c>
      <c r="Y28" s="36">
        <f t="shared" si="12"/>
        <v>0.11219632482984622</v>
      </c>
      <c r="Z28" s="36">
        <f t="shared" si="13"/>
        <v>0.13462475480548944</v>
      </c>
      <c r="AA28" s="36">
        <f t="shared" si="14"/>
        <v>0.21976052650605807</v>
      </c>
    </row>
    <row r="29" spans="2:27" x14ac:dyDescent="0.15">
      <c r="B29" s="36">
        <v>8</v>
      </c>
      <c r="C29" s="36">
        <f>VLOOKUP(B29,怪物属性!$O$11:$AF$60,3,FALSE)</f>
        <v>593</v>
      </c>
      <c r="D29" s="36">
        <f t="shared" si="0"/>
        <v>8.8377117615463376</v>
      </c>
      <c r="E29" s="36">
        <f>VLOOKUP(B29,怪物属性!$O$11:$AF$60,5,FALSE)</f>
        <v>443</v>
      </c>
      <c r="F29" s="36">
        <f t="shared" si="1"/>
        <v>1.0203527242506594</v>
      </c>
      <c r="G29" s="36">
        <f>VLOOKUP(B29,怪物属性!$O$11:$AF$60,7,FALSE)</f>
        <v>5691</v>
      </c>
      <c r="H29" s="36">
        <f t="shared" si="2"/>
        <v>4.0995494261135175</v>
      </c>
      <c r="I29" s="36">
        <f>VLOOKUP(B29,怪物属性!$O$11:$AF$60,9,FALSE)</f>
        <v>496</v>
      </c>
      <c r="J29" s="36">
        <f t="shared" si="3"/>
        <v>1.7904760899350867</v>
      </c>
      <c r="K29" s="36">
        <f>VLOOKUP(B29,怪物属性!$O$11:$AF$60,11,FALSE)</f>
        <v>247</v>
      </c>
      <c r="L29" s="36">
        <f t="shared" si="4"/>
        <v>22.255247302418436</v>
      </c>
      <c r="M29" s="36">
        <f>VLOOKUP(B29,怪物属性!$O$11:$AF$60,13,FALSE)</f>
        <v>507</v>
      </c>
      <c r="N29" s="36">
        <f t="shared" si="5"/>
        <v>1.0288813172601614</v>
      </c>
      <c r="O29" s="36">
        <f>VLOOKUP(B29,怪物属性!$O$11:$AF$60,15,FALSE)</f>
        <v>252</v>
      </c>
      <c r="P29" s="36">
        <f t="shared" si="6"/>
        <v>1.2142856460995972</v>
      </c>
      <c r="Q29" s="36">
        <f>VLOOKUP(B29,怪物属性!$O$11:$AF$60,17,FALSE)</f>
        <v>759</v>
      </c>
      <c r="R29" s="36">
        <f t="shared" si="7"/>
        <v>2.0497747130567587</v>
      </c>
      <c r="S29" s="36">
        <v>8</v>
      </c>
      <c r="T29" s="36">
        <v>1</v>
      </c>
      <c r="U29" s="36">
        <f t="shared" si="8"/>
        <v>0.11545440174800721</v>
      </c>
      <c r="V29" s="36">
        <f t="shared" si="9"/>
        <v>0.46387000806600392</v>
      </c>
      <c r="W29" s="36">
        <f t="shared" si="10"/>
        <v>0.20259498592447944</v>
      </c>
      <c r="X29" s="36">
        <f t="shared" si="11"/>
        <v>0.39710687737835021</v>
      </c>
      <c r="Y29" s="36">
        <f t="shared" si="12"/>
        <v>0.11641942450951101</v>
      </c>
      <c r="Z29" s="36">
        <f t="shared" si="13"/>
        <v>0.13739819524133623</v>
      </c>
      <c r="AA29" s="36">
        <f t="shared" si="14"/>
        <v>0.23193500403300196</v>
      </c>
    </row>
    <row r="30" spans="2:27" x14ac:dyDescent="0.15">
      <c r="B30" s="36">
        <v>9</v>
      </c>
      <c r="C30" s="36">
        <f>VLOOKUP(B30,怪物属性!$O$11:$AF$60,3,FALSE)</f>
        <v>616</v>
      </c>
      <c r="D30" s="36">
        <f t="shared" si="0"/>
        <v>9.5679973069006454</v>
      </c>
      <c r="E30" s="36">
        <f>VLOOKUP(B30,怪物属性!$O$11:$AF$60,5,FALSE)</f>
        <v>462</v>
      </c>
      <c r="F30" s="36">
        <f t="shared" si="1"/>
        <v>1.1718113317566168</v>
      </c>
      <c r="G30" s="36">
        <f>VLOOKUP(B30,怪物属性!$O$11:$AF$60,7,FALSE)</f>
        <v>5908</v>
      </c>
      <c r="H30" s="36">
        <f t="shared" si="2"/>
        <v>4.703898764066393</v>
      </c>
      <c r="I30" s="36">
        <f>VLOOKUP(B30,怪物属性!$O$11:$AF$60,9,FALSE)</f>
        <v>504</v>
      </c>
      <c r="J30" s="36">
        <f t="shared" si="3"/>
        <v>1.818324268894254</v>
      </c>
      <c r="K30" s="36">
        <f>VLOOKUP(B30,怪物属性!$O$11:$AF$60,11,FALSE)</f>
        <v>250</v>
      </c>
      <c r="L30" s="36">
        <f t="shared" si="4"/>
        <v>22.268618945294797</v>
      </c>
      <c r="M30" s="36">
        <f>VLOOKUP(B30,怪物属性!$O$11:$AF$60,13,FALSE)</f>
        <v>515</v>
      </c>
      <c r="N30" s="36">
        <f t="shared" si="5"/>
        <v>1.1338418226001359</v>
      </c>
      <c r="O30" s="36">
        <f>VLOOKUP(B30,怪物属性!$O$11:$AF$60,15,FALSE)</f>
        <v>256</v>
      </c>
      <c r="P30" s="36">
        <f t="shared" si="6"/>
        <v>1.35714278093484</v>
      </c>
      <c r="Q30" s="36">
        <f>VLOOKUP(B30,怪物属性!$O$11:$AF$60,17,FALSE)</f>
        <v>772</v>
      </c>
      <c r="R30" s="36">
        <f t="shared" si="7"/>
        <v>2.3519493820331965</v>
      </c>
      <c r="S30" s="36">
        <v>9</v>
      </c>
      <c r="T30" s="36">
        <v>1</v>
      </c>
      <c r="U30" s="36">
        <f t="shared" si="8"/>
        <v>0.12247195459717378</v>
      </c>
      <c r="V30" s="36">
        <f t="shared" si="9"/>
        <v>0.4916283536862871</v>
      </c>
      <c r="W30" s="36">
        <f t="shared" si="10"/>
        <v>0.19004230567486044</v>
      </c>
      <c r="X30" s="36">
        <f t="shared" si="11"/>
        <v>0.42966280622994341</v>
      </c>
      <c r="Y30" s="36">
        <f t="shared" si="12"/>
        <v>0.11850356832587994</v>
      </c>
      <c r="Z30" s="36">
        <f t="shared" si="13"/>
        <v>0.14184188575764328</v>
      </c>
      <c r="AA30" s="36">
        <f t="shared" si="14"/>
        <v>0.24581417684314355</v>
      </c>
    </row>
    <row r="31" spans="2:27" x14ac:dyDescent="0.15">
      <c r="B31" s="36">
        <v>10</v>
      </c>
      <c r="C31" s="36">
        <f>VLOOKUP(B31,怪物属性!$O$11:$AF$60,3,FALSE)</f>
        <v>641</v>
      </c>
      <c r="D31" s="36">
        <f t="shared" si="0"/>
        <v>10.288043699404845</v>
      </c>
      <c r="E31" s="36">
        <f>VLOOKUP(B31,怪物属性!$O$11:$AF$60,5,FALSE)</f>
        <v>479</v>
      </c>
      <c r="F31" s="36">
        <f t="shared" si="1"/>
        <v>1.307326927946157</v>
      </c>
      <c r="G31" s="36">
        <f>VLOOKUP(B31,怪物属性!$O$11:$AF$60,7,FALSE)</f>
        <v>6128</v>
      </c>
      <c r="H31" s="36">
        <f t="shared" si="2"/>
        <v>5.3166031619909671</v>
      </c>
      <c r="I31" s="36">
        <f>VLOOKUP(B31,怪物属性!$O$11:$AF$60,9,FALSE)</f>
        <v>513</v>
      </c>
      <c r="J31" s="36">
        <f t="shared" si="3"/>
        <v>1.8499216724784557</v>
      </c>
      <c r="K31" s="36">
        <f>VLOOKUP(B31,怪物属性!$O$11:$AF$60,11,FALSE)</f>
        <v>255</v>
      </c>
      <c r="L31" s="36">
        <f t="shared" si="4"/>
        <v>22.290277829003227</v>
      </c>
      <c r="M31" s="36">
        <f>VLOOKUP(B31,怪物属性!$O$11:$AF$60,13,FALSE)</f>
        <v>525</v>
      </c>
      <c r="N31" s="36">
        <f t="shared" si="5"/>
        <v>1.2605441469033813</v>
      </c>
      <c r="O31" s="36">
        <f>VLOOKUP(B31,怪物属性!$O$11:$AF$60,15,FALSE)</f>
        <v>260</v>
      </c>
      <c r="P31" s="36">
        <f t="shared" si="6"/>
        <v>1.4999999157700863</v>
      </c>
      <c r="Q31" s="36">
        <f>VLOOKUP(B31,怪物属性!$O$11:$AF$60,17,FALSE)</f>
        <v>787</v>
      </c>
      <c r="R31" s="36">
        <f t="shared" si="7"/>
        <v>2.6583015809954835</v>
      </c>
      <c r="S31" s="36">
        <v>10</v>
      </c>
      <c r="T31" s="36">
        <v>1</v>
      </c>
      <c r="U31" s="36">
        <f t="shared" si="8"/>
        <v>0.12707245090937791</v>
      </c>
      <c r="V31" s="36">
        <f t="shared" si="9"/>
        <v>0.51677493966112609</v>
      </c>
      <c r="W31" s="36">
        <f t="shared" si="10"/>
        <v>0.17981277359712927</v>
      </c>
      <c r="X31" s="36">
        <f t="shared" si="11"/>
        <v>0.46154847321007592</v>
      </c>
      <c r="Y31" s="36">
        <f t="shared" si="12"/>
        <v>0.12252515480433883</v>
      </c>
      <c r="Z31" s="36">
        <f t="shared" si="13"/>
        <v>0.14580030563603263</v>
      </c>
      <c r="AA31" s="36">
        <f t="shared" si="14"/>
        <v>0.25838746983056304</v>
      </c>
    </row>
    <row r="32" spans="2:27" x14ac:dyDescent="0.15">
      <c r="B32" s="36">
        <v>11</v>
      </c>
      <c r="C32" s="36">
        <f>VLOOKUP(B32,怪物属性!$O$11:$AF$60,3,FALSE)</f>
        <v>664</v>
      </c>
      <c r="D32" s="36">
        <f t="shared" si="0"/>
        <v>10.891255904323838</v>
      </c>
      <c r="E32" s="36">
        <f>VLOOKUP(B32,怪物属性!$O$11:$AF$60,5,FALSE)</f>
        <v>498</v>
      </c>
      <c r="F32" s="36">
        <f t="shared" si="1"/>
        <v>1.4587855354521153</v>
      </c>
      <c r="G32" s="36">
        <f>VLOOKUP(B32,怪物属性!$O$11:$AF$60,7,FALSE)</f>
        <v>6350</v>
      </c>
      <c r="H32" s="36">
        <f t="shared" si="2"/>
        <v>5.9348775998966747</v>
      </c>
      <c r="I32" s="36">
        <f>VLOOKUP(B32,怪物属性!$O$11:$AF$60,9,FALSE)</f>
        <v>520</v>
      </c>
      <c r="J32" s="36">
        <f t="shared" si="3"/>
        <v>1.8743589425712626</v>
      </c>
      <c r="K32" s="36">
        <f>VLOOKUP(B32,怪物属性!$O$11:$AF$60,11,FALSE)</f>
        <v>258</v>
      </c>
      <c r="L32" s="36">
        <f t="shared" si="4"/>
        <v>22.30291125632111</v>
      </c>
      <c r="M32" s="36">
        <f>VLOOKUP(B32,怪物属性!$O$11:$AF$60,13,FALSE)</f>
        <v>534</v>
      </c>
      <c r="N32" s="36">
        <f t="shared" si="5"/>
        <v>1.3705189171553691</v>
      </c>
      <c r="O32" s="36">
        <f>VLOOKUP(B32,怪物属性!$O$11:$AF$60,15,FALSE)</f>
        <v>266</v>
      </c>
      <c r="P32" s="36">
        <f t="shared" si="6"/>
        <v>1.7142856180229522</v>
      </c>
      <c r="Q32" s="36">
        <f>VLOOKUP(B32,怪物属性!$O$11:$AF$60,17,FALSE)</f>
        <v>803</v>
      </c>
      <c r="R32" s="36">
        <f t="shared" si="7"/>
        <v>2.9674387999483374</v>
      </c>
      <c r="S32" s="36">
        <v>11</v>
      </c>
      <c r="T32" s="36">
        <v>1</v>
      </c>
      <c r="U32" s="36">
        <f t="shared" si="8"/>
        <v>0.1339409842415856</v>
      </c>
      <c r="V32" s="36">
        <f t="shared" si="9"/>
        <v>0.54492132514676506</v>
      </c>
      <c r="W32" s="36">
        <f t="shared" si="10"/>
        <v>0.1720975945324304</v>
      </c>
      <c r="X32" s="36">
        <f t="shared" si="11"/>
        <v>0.48833337402250698</v>
      </c>
      <c r="Y32" s="36">
        <f t="shared" si="12"/>
        <v>0.12583662795135242</v>
      </c>
      <c r="Z32" s="36">
        <f t="shared" si="13"/>
        <v>0.15740017800356515</v>
      </c>
      <c r="AA32" s="36">
        <f t="shared" si="14"/>
        <v>0.27246066257338253</v>
      </c>
    </row>
    <row r="33" spans="2:27" x14ac:dyDescent="0.15">
      <c r="B33" s="36">
        <v>12</v>
      </c>
      <c r="C33" s="36">
        <f>VLOOKUP(B33,怪物属性!$O$11:$AF$60,3,FALSE)</f>
        <v>689</v>
      </c>
      <c r="D33" s="36">
        <f t="shared" si="0"/>
        <v>11.490620505925772</v>
      </c>
      <c r="E33" s="36">
        <f>VLOOKUP(B33,怪物属性!$O$11:$AF$60,5,FALSE)</f>
        <v>516</v>
      </c>
      <c r="F33" s="36">
        <f t="shared" si="1"/>
        <v>1.6022726372998637</v>
      </c>
      <c r="G33" s="36">
        <f>VLOOKUP(B33,怪物属性!$O$11:$AF$60,7,FALSE)</f>
        <v>6574</v>
      </c>
      <c r="H33" s="36">
        <f t="shared" si="2"/>
        <v>6.558722077783516</v>
      </c>
      <c r="I33" s="36">
        <f>VLOOKUP(B33,怪物属性!$O$11:$AF$60,9,FALSE)</f>
        <v>529</v>
      </c>
      <c r="J33" s="36">
        <f t="shared" si="3"/>
        <v>1.9061074244265539</v>
      </c>
      <c r="K33" s="36">
        <f>VLOOKUP(B33,怪物属性!$O$11:$AF$60,11,FALSE)</f>
        <v>262</v>
      </c>
      <c r="L33" s="36">
        <f t="shared" si="4"/>
        <v>22.319351001215736</v>
      </c>
      <c r="M33" s="36">
        <f>VLOOKUP(B33,怪物属性!$O$11:$AF$60,13,FALSE)</f>
        <v>545</v>
      </c>
      <c r="N33" s="36">
        <f t="shared" si="5"/>
        <v>1.4999999157700827</v>
      </c>
      <c r="O33" s="36">
        <f>VLOOKUP(B33,怪物属性!$O$11:$AF$60,15,FALSE)</f>
        <v>270</v>
      </c>
      <c r="P33" s="36">
        <f t="shared" si="6"/>
        <v>1.8571427528582021</v>
      </c>
      <c r="Q33" s="36">
        <f>VLOOKUP(B33,怪物属性!$O$11:$AF$60,17,FALSE)</f>
        <v>818</v>
      </c>
      <c r="R33" s="36">
        <f t="shared" si="7"/>
        <v>3.279361038891758</v>
      </c>
      <c r="S33" s="36">
        <v>12</v>
      </c>
      <c r="T33" s="36">
        <v>1</v>
      </c>
      <c r="U33" s="36">
        <f t="shared" si="8"/>
        <v>0.13944178527813736</v>
      </c>
      <c r="V33" s="36">
        <f t="shared" si="9"/>
        <v>0.57078919927789362</v>
      </c>
      <c r="W33" s="36">
        <f t="shared" si="10"/>
        <v>0.16588376784731204</v>
      </c>
      <c r="X33" s="36">
        <f t="shared" si="11"/>
        <v>0.5148277163300975</v>
      </c>
      <c r="Y33" s="36">
        <f t="shared" si="12"/>
        <v>0.13054124579229859</v>
      </c>
      <c r="Z33" s="36">
        <f t="shared" si="13"/>
        <v>0.16162249479046531</v>
      </c>
      <c r="AA33" s="36">
        <f t="shared" si="14"/>
        <v>0.28539459963894681</v>
      </c>
    </row>
    <row r="34" spans="2:27" x14ac:dyDescent="0.15">
      <c r="B34" s="36">
        <v>13</v>
      </c>
      <c r="C34" s="36">
        <f>VLOOKUP(B34,怪物属性!$O$11:$AF$60,3,FALSE)</f>
        <v>713</v>
      </c>
      <c r="D34" s="36">
        <f t="shared" si="0"/>
        <v>12.017423253350481</v>
      </c>
      <c r="E34" s="36">
        <f>VLOOKUP(B34,怪物属性!$O$11:$AF$60,5,FALSE)</f>
        <v>534</v>
      </c>
      <c r="F34" s="36">
        <f t="shared" si="1"/>
        <v>1.7457597391476138</v>
      </c>
      <c r="G34" s="36">
        <f>VLOOKUP(B34,怪物属性!$O$11:$AF$60,7,FALSE)</f>
        <v>6800</v>
      </c>
      <c r="H34" s="36">
        <f t="shared" si="2"/>
        <v>7.1881365956514873</v>
      </c>
      <c r="I34" s="36">
        <f>VLOOKUP(B34,怪物属性!$O$11:$AF$60,9,FALSE)</f>
        <v>536</v>
      </c>
      <c r="J34" s="36">
        <f t="shared" si="3"/>
        <v>1.9307068303742116</v>
      </c>
      <c r="K34" s="36">
        <f>VLOOKUP(B34,怪物属性!$O$11:$AF$60,11,FALSE)</f>
        <v>266</v>
      </c>
      <c r="L34" s="36">
        <f t="shared" si="4"/>
        <v>22.335345325160404</v>
      </c>
      <c r="M34" s="36">
        <f>VLOOKUP(B34,怪物属性!$O$11:$AF$60,13,FALSE)</f>
        <v>554</v>
      </c>
      <c r="N34" s="36">
        <f t="shared" si="5"/>
        <v>1.6021144020422149</v>
      </c>
      <c r="O34" s="36">
        <f>VLOOKUP(B34,怪物属性!$O$11:$AF$60,15,FALSE)</f>
        <v>275</v>
      </c>
      <c r="P34" s="36">
        <f t="shared" si="6"/>
        <v>2.0357141714022582</v>
      </c>
      <c r="Q34" s="36">
        <f>VLOOKUP(B34,怪物属性!$O$11:$AF$60,17,FALSE)</f>
        <v>833</v>
      </c>
      <c r="R34" s="36">
        <f t="shared" si="7"/>
        <v>3.5940682978257437</v>
      </c>
      <c r="S34" s="36">
        <v>13</v>
      </c>
      <c r="T34" s="36">
        <v>1</v>
      </c>
      <c r="U34" s="36">
        <f t="shared" si="8"/>
        <v>0.14526905663082912</v>
      </c>
      <c r="V34" s="36">
        <f t="shared" si="9"/>
        <v>0.598142916672875</v>
      </c>
      <c r="W34" s="36">
        <f t="shared" si="10"/>
        <v>0.16065896903780325</v>
      </c>
      <c r="X34" s="36">
        <f t="shared" si="11"/>
        <v>0.53804510646240378</v>
      </c>
      <c r="Y34" s="36">
        <f t="shared" si="12"/>
        <v>0.13331596701443815</v>
      </c>
      <c r="Z34" s="36">
        <f t="shared" si="13"/>
        <v>0.16939689386696913</v>
      </c>
      <c r="AA34" s="36">
        <f t="shared" si="14"/>
        <v>0.2990714583364375</v>
      </c>
    </row>
    <row r="35" spans="2:27" x14ac:dyDescent="0.15">
      <c r="B35" s="36">
        <v>14</v>
      </c>
      <c r="C35" s="36">
        <f>VLOOKUP(B35,怪物属性!$O$11:$AF$60,3,FALSE)</f>
        <v>738</v>
      </c>
      <c r="D35" s="36">
        <f t="shared" si="0"/>
        <v>12.521551936035893</v>
      </c>
      <c r="E35" s="36">
        <f>VLOOKUP(B35,怪物属性!$O$11:$AF$60,5,FALSE)</f>
        <v>553</v>
      </c>
      <c r="F35" s="36">
        <f t="shared" si="1"/>
        <v>1.8972183466535704</v>
      </c>
      <c r="G35" s="36">
        <f>VLOOKUP(B35,怪物属性!$O$11:$AF$60,7,FALSE)</f>
        <v>7028</v>
      </c>
      <c r="H35" s="36">
        <f t="shared" si="2"/>
        <v>7.8231211535005922</v>
      </c>
      <c r="I35" s="36">
        <f>VLOOKUP(B35,怪物属性!$O$11:$AF$60,9,FALSE)</f>
        <v>545</v>
      </c>
      <c r="J35" s="36">
        <f t="shared" si="3"/>
        <v>1.9625592500637692</v>
      </c>
      <c r="K35" s="36">
        <f>VLOOKUP(B35,怪物属性!$O$11:$AF$60,11,FALSE)</f>
        <v>270</v>
      </c>
      <c r="L35" s="36">
        <f t="shared" si="4"/>
        <v>22.350912088652109</v>
      </c>
      <c r="M35" s="36">
        <f>VLOOKUP(B35,怪物属性!$O$11:$AF$60,13,FALSE)</f>
        <v>563</v>
      </c>
      <c r="N35" s="36">
        <f t="shared" si="5"/>
        <v>1.7009641267638997</v>
      </c>
      <c r="O35" s="36">
        <f>VLOOKUP(B35,怪物属性!$O$11:$AF$60,15,FALSE)</f>
        <v>281</v>
      </c>
      <c r="P35" s="36">
        <f t="shared" si="6"/>
        <v>2.2499998736551241</v>
      </c>
      <c r="Q35" s="36">
        <f>VLOOKUP(B35,怪物属性!$O$11:$AF$60,17,FALSE)</f>
        <v>848</v>
      </c>
      <c r="R35" s="36">
        <f t="shared" si="7"/>
        <v>3.9115605767502961</v>
      </c>
      <c r="S35" s="36">
        <v>14</v>
      </c>
      <c r="T35" s="36">
        <v>1</v>
      </c>
      <c r="U35" s="36">
        <f t="shared" si="8"/>
        <v>0.15151623028400718</v>
      </c>
      <c r="V35" s="36">
        <f t="shared" si="9"/>
        <v>0.6247724877446188</v>
      </c>
      <c r="W35" s="36">
        <f t="shared" si="10"/>
        <v>0.15673450544222889</v>
      </c>
      <c r="X35" s="36">
        <f t="shared" si="11"/>
        <v>0.56022554633881239</v>
      </c>
      <c r="Y35" s="36">
        <f t="shared" si="12"/>
        <v>0.13584291591433478</v>
      </c>
      <c r="Z35" s="36">
        <f t="shared" si="13"/>
        <v>0.1796901761977146</v>
      </c>
      <c r="AA35" s="36">
        <f t="shared" si="14"/>
        <v>0.3123862438723094</v>
      </c>
    </row>
    <row r="36" spans="2:27" x14ac:dyDescent="0.15">
      <c r="B36" s="36">
        <v>15</v>
      </c>
      <c r="C36" s="36">
        <f>VLOOKUP(B36,怪物属性!$O$11:$AF$60,3,FALSE)</f>
        <v>762</v>
      </c>
      <c r="D36" s="36">
        <f t="shared" si="0"/>
        <v>12.967509720647367</v>
      </c>
      <c r="E36" s="36">
        <f>VLOOKUP(B36,怪物属性!$O$11:$AF$60,5,FALSE)</f>
        <v>570</v>
      </c>
      <c r="F36" s="36">
        <f t="shared" si="1"/>
        <v>2.0327339428431097</v>
      </c>
      <c r="G36" s="36">
        <f>VLOOKUP(B36,怪物属性!$O$11:$AF$60,7,FALSE)</f>
        <v>7258</v>
      </c>
      <c r="H36" s="36">
        <f t="shared" si="2"/>
        <v>8.4636757513308307</v>
      </c>
      <c r="I36" s="36">
        <f>VLOOKUP(B36,怪物属性!$O$11:$AF$60,9,FALSE)</f>
        <v>553</v>
      </c>
      <c r="J36" s="36">
        <f t="shared" si="3"/>
        <v>1.9908311040450319</v>
      </c>
      <c r="K36" s="36">
        <f>VLOOKUP(B36,怪物属性!$O$11:$AF$60,11,FALSE)</f>
        <v>275</v>
      </c>
      <c r="L36" s="36">
        <f t="shared" si="4"/>
        <v>22.369794975238641</v>
      </c>
      <c r="M36" s="36">
        <f>VLOOKUP(B36,怪物属性!$O$11:$AF$60,13,FALSE)</f>
        <v>573</v>
      </c>
      <c r="N36" s="36">
        <f t="shared" si="5"/>
        <v>1.8071552213844377</v>
      </c>
      <c r="O36" s="36">
        <f>VLOOKUP(B36,怪物属性!$O$11:$AF$60,15,FALSE)</f>
        <v>285</v>
      </c>
      <c r="P36" s="36">
        <f t="shared" si="6"/>
        <v>2.3928570084903775</v>
      </c>
      <c r="Q36" s="36">
        <f>VLOOKUP(B36,怪物属性!$O$11:$AF$60,17,FALSE)</f>
        <v>865</v>
      </c>
      <c r="R36" s="36">
        <f t="shared" si="7"/>
        <v>4.2318378756654154</v>
      </c>
      <c r="S36" s="36">
        <v>15</v>
      </c>
      <c r="T36" s="36">
        <v>1</v>
      </c>
      <c r="U36" s="36">
        <f t="shared" si="8"/>
        <v>0.15675592204157077</v>
      </c>
      <c r="V36" s="36">
        <f t="shared" si="9"/>
        <v>0.65268320083497922</v>
      </c>
      <c r="W36" s="36">
        <f t="shared" si="10"/>
        <v>0.15352455073738283</v>
      </c>
      <c r="X36" s="36">
        <f t="shared" si="11"/>
        <v>0.57968835811867025</v>
      </c>
      <c r="Y36" s="36">
        <f t="shared" si="12"/>
        <v>0.13936023649220913</v>
      </c>
      <c r="Z36" s="36">
        <f t="shared" si="13"/>
        <v>0.1845271035101195</v>
      </c>
      <c r="AA36" s="36">
        <f t="shared" si="14"/>
        <v>0.32634160041748961</v>
      </c>
    </row>
    <row r="37" spans="2:27" x14ac:dyDescent="0.15">
      <c r="B37" s="36">
        <v>16</v>
      </c>
      <c r="C37" s="36">
        <f>VLOOKUP(B37,怪物属性!$O$11:$AF$60,3,FALSE)</f>
        <v>787</v>
      </c>
      <c r="D37" s="36">
        <f t="shared" si="0"/>
        <v>13.396835168970915</v>
      </c>
      <c r="E37" s="36">
        <f>VLOOKUP(B37,怪物属性!$O$11:$AF$60,5,FALSE)</f>
        <v>588</v>
      </c>
      <c r="F37" s="36">
        <f t="shared" si="1"/>
        <v>2.1762210446908599</v>
      </c>
      <c r="G37" s="36">
        <f>VLOOKUP(B37,怪物属性!$O$11:$AF$60,7,FALSE)</f>
        <v>7490</v>
      </c>
      <c r="H37" s="36">
        <f t="shared" si="2"/>
        <v>9.1098003891421993</v>
      </c>
      <c r="I37" s="36">
        <f>VLOOKUP(B37,怪物属性!$O$11:$AF$60,9,FALSE)</f>
        <v>561</v>
      </c>
      <c r="J37" s="36">
        <f t="shared" si="3"/>
        <v>2.0191797613924702</v>
      </c>
      <c r="K37" s="36">
        <f>VLOOKUP(B37,怪物属性!$O$11:$AF$60,11,FALSE)</f>
        <v>278</v>
      </c>
      <c r="L37" s="36">
        <f t="shared" si="4"/>
        <v>22.38082972610264</v>
      </c>
      <c r="M37" s="36">
        <f>VLOOKUP(B37,怪物属性!$O$11:$AF$60,13,FALSE)</f>
        <v>582</v>
      </c>
      <c r="N37" s="36">
        <f t="shared" si="5"/>
        <v>1.8996071589174761</v>
      </c>
      <c r="O37" s="36">
        <f>VLOOKUP(B37,怪物属性!$O$11:$AF$60,15,FALSE)</f>
        <v>290</v>
      </c>
      <c r="P37" s="36">
        <f t="shared" si="6"/>
        <v>2.5714284270344336</v>
      </c>
      <c r="Q37" s="36">
        <f>VLOOKUP(B37,怪物属性!$O$11:$AF$60,17,FALSE)</f>
        <v>881</v>
      </c>
      <c r="R37" s="36">
        <f t="shared" si="7"/>
        <v>4.5549001945710996</v>
      </c>
      <c r="S37" s="36">
        <v>16</v>
      </c>
      <c r="T37" s="36">
        <v>1</v>
      </c>
      <c r="U37" s="36">
        <f t="shared" si="8"/>
        <v>0.16244292157384418</v>
      </c>
      <c r="V37" s="36">
        <f t="shared" si="9"/>
        <v>0.67999645246377793</v>
      </c>
      <c r="W37" s="36">
        <f t="shared" si="10"/>
        <v>0.15072065423848718</v>
      </c>
      <c r="X37" s="36">
        <f t="shared" si="11"/>
        <v>0.59858527735217337</v>
      </c>
      <c r="Y37" s="36">
        <f t="shared" si="12"/>
        <v>0.14179521767329437</v>
      </c>
      <c r="Z37" s="36">
        <f t="shared" si="13"/>
        <v>0.19194297717346323</v>
      </c>
      <c r="AA37" s="36">
        <f t="shared" si="14"/>
        <v>0.33999822623188897</v>
      </c>
    </row>
    <row r="38" spans="2:27" x14ac:dyDescent="0.15">
      <c r="B38" s="36">
        <v>17</v>
      </c>
      <c r="C38" s="36">
        <f>VLOOKUP(B38,怪物属性!$O$11:$AF$60,3,FALSE)</f>
        <v>810</v>
      </c>
      <c r="D38" s="36">
        <f t="shared" si="0"/>
        <v>13.763389533372202</v>
      </c>
      <c r="E38" s="36">
        <f>VLOOKUP(B38,怪物属性!$O$11:$AF$60,5,FALSE)</f>
        <v>607</v>
      </c>
      <c r="F38" s="36">
        <f t="shared" si="1"/>
        <v>2.3276796521968164</v>
      </c>
      <c r="G38" s="36">
        <f>VLOOKUP(B38,怪物属性!$O$11:$AF$60,7,FALSE)</f>
        <v>7723</v>
      </c>
      <c r="H38" s="36">
        <f t="shared" si="2"/>
        <v>9.7587100469441364</v>
      </c>
      <c r="I38" s="36">
        <f>VLOOKUP(B38,怪物属性!$O$11:$AF$60,9,FALSE)</f>
        <v>569</v>
      </c>
      <c r="J38" s="36">
        <f t="shared" si="3"/>
        <v>2.0475221588716632</v>
      </c>
      <c r="K38" s="36">
        <f>VLOOKUP(B38,怪物属性!$O$11:$AF$60,11,FALSE)</f>
        <v>282</v>
      </c>
      <c r="L38" s="36">
        <f t="shared" si="4"/>
        <v>22.395211850167264</v>
      </c>
      <c r="M38" s="36">
        <f>VLOOKUP(B38,怪物属性!$O$11:$AF$60,13,FALSE)</f>
        <v>591</v>
      </c>
      <c r="N38" s="36">
        <f t="shared" si="5"/>
        <v>1.9892433013987443</v>
      </c>
      <c r="O38" s="36">
        <f>VLOOKUP(B38,怪物属性!$O$11:$AF$60,15,FALSE)</f>
        <v>293</v>
      </c>
      <c r="P38" s="36">
        <f t="shared" si="6"/>
        <v>2.6785712781608666</v>
      </c>
      <c r="Q38" s="36">
        <f>VLOOKUP(B38,怪物属性!$O$11:$AF$60,17,FALSE)</f>
        <v>896</v>
      </c>
      <c r="R38" s="36">
        <f t="shared" si="7"/>
        <v>4.8793550234720682</v>
      </c>
      <c r="S38" s="36">
        <v>17</v>
      </c>
      <c r="T38" s="36">
        <v>1</v>
      </c>
      <c r="U38" s="36">
        <f t="shared" si="8"/>
        <v>0.16912110541904468</v>
      </c>
      <c r="V38" s="36">
        <f t="shared" si="9"/>
        <v>0.70903392098887508</v>
      </c>
      <c r="W38" s="36">
        <f t="shared" si="10"/>
        <v>0.14876583663544651</v>
      </c>
      <c r="X38" s="36">
        <f t="shared" si="11"/>
        <v>0.61456840084633568</v>
      </c>
      <c r="Y38" s="36">
        <f t="shared" si="12"/>
        <v>0.1445314976064152</v>
      </c>
      <c r="Z38" s="36">
        <f t="shared" si="13"/>
        <v>0.19461567019273218</v>
      </c>
      <c r="AA38" s="36">
        <f t="shared" si="14"/>
        <v>0.35451696049443754</v>
      </c>
    </row>
    <row r="39" spans="2:27" x14ac:dyDescent="0.15">
      <c r="B39" s="36">
        <v>18</v>
      </c>
      <c r="C39" s="36">
        <f>VLOOKUP(B39,怪物属性!$O$11:$AF$60,3,FALSE)</f>
        <v>835</v>
      </c>
      <c r="D39" s="36">
        <f t="shared" si="0"/>
        <v>14.134085205225331</v>
      </c>
      <c r="E39" s="36">
        <f>VLOOKUP(B39,怪物属性!$O$11:$AF$60,5,FALSE)</f>
        <v>624</v>
      </c>
      <c r="F39" s="36">
        <f t="shared" si="1"/>
        <v>2.4631952483863584</v>
      </c>
      <c r="G39" s="36">
        <f>VLOOKUP(B39,怪物属性!$O$11:$AF$60,7,FALSE)</f>
        <v>7959</v>
      </c>
      <c r="H39" s="36">
        <f t="shared" si="2"/>
        <v>10.415974764717772</v>
      </c>
      <c r="I39" s="36">
        <f>VLOOKUP(B39,怪物属性!$O$11:$AF$60,9,FALSE)</f>
        <v>576</v>
      </c>
      <c r="J39" s="36">
        <f t="shared" si="3"/>
        <v>2.0723285283056896</v>
      </c>
      <c r="K39" s="36">
        <f>VLOOKUP(B39,怪物属性!$O$11:$AF$60,11,FALSE)</f>
        <v>286</v>
      </c>
      <c r="L39" s="36">
        <f t="shared" si="4"/>
        <v>22.409229022891697</v>
      </c>
      <c r="M39" s="36">
        <f>VLOOKUP(B39,怪物属性!$O$11:$AF$60,13,FALSE)</f>
        <v>600</v>
      </c>
      <c r="N39" s="36">
        <f t="shared" si="5"/>
        <v>2.0761903596055795</v>
      </c>
      <c r="O39" s="36">
        <f>VLOOKUP(B39,怪物属性!$O$11:$AF$60,15,FALSE)</f>
        <v>299</v>
      </c>
      <c r="P39" s="36">
        <f t="shared" si="6"/>
        <v>2.8928569804137396</v>
      </c>
      <c r="Q39" s="36">
        <f>VLOOKUP(B39,怪物属性!$O$11:$AF$60,17,FALSE)</f>
        <v>912</v>
      </c>
      <c r="R39" s="36">
        <f t="shared" si="7"/>
        <v>5.207987382358886</v>
      </c>
      <c r="S39" s="36">
        <v>18</v>
      </c>
      <c r="T39" s="36">
        <v>1</v>
      </c>
      <c r="U39" s="36">
        <f t="shared" si="8"/>
        <v>0.1742734115877356</v>
      </c>
      <c r="V39" s="36">
        <f t="shared" si="9"/>
        <v>0.73694014246263462</v>
      </c>
      <c r="W39" s="36">
        <f t="shared" si="10"/>
        <v>0.14661921859219837</v>
      </c>
      <c r="X39" s="36">
        <f t="shared" si="11"/>
        <v>0.63072608124032026</v>
      </c>
      <c r="Y39" s="36">
        <f t="shared" si="12"/>
        <v>0.14689244683752281</v>
      </c>
      <c r="Z39" s="36">
        <f t="shared" si="13"/>
        <v>0.2046723886554935</v>
      </c>
      <c r="AA39" s="36">
        <f t="shared" si="14"/>
        <v>0.36847007123131731</v>
      </c>
    </row>
    <row r="40" spans="2:27" x14ac:dyDescent="0.15">
      <c r="B40" s="36">
        <v>19</v>
      </c>
      <c r="C40" s="36">
        <f>VLOOKUP(B40,怪物属性!$O$11:$AF$60,3,FALSE)</f>
        <v>859</v>
      </c>
      <c r="D40" s="36">
        <f t="shared" si="0"/>
        <v>14.465438373741026</v>
      </c>
      <c r="E40" s="36">
        <f>VLOOKUP(B40,怪物属性!$O$11:$AF$60,5,FALSE)</f>
        <v>644</v>
      </c>
      <c r="F40" s="36">
        <f t="shared" si="1"/>
        <v>2.6226253615505231</v>
      </c>
      <c r="G40" s="36">
        <f>VLOOKUP(B40,怪物属性!$O$11:$AF$60,7,FALSE)</f>
        <v>8198</v>
      </c>
      <c r="H40" s="36">
        <f t="shared" si="2"/>
        <v>11.081594542463103</v>
      </c>
      <c r="I40" s="36">
        <f>VLOOKUP(B40,怪物属性!$O$11:$AF$60,9,FALSE)</f>
        <v>584</v>
      </c>
      <c r="J40" s="36">
        <f t="shared" si="3"/>
        <v>2.1007253385633198</v>
      </c>
      <c r="K40" s="36">
        <f>VLOOKUP(B40,怪物属性!$O$11:$AF$60,11,FALSE)</f>
        <v>291</v>
      </c>
      <c r="L40" s="36">
        <f t="shared" si="4"/>
        <v>22.426258107886071</v>
      </c>
      <c r="M40" s="36">
        <f>VLOOKUP(B40,怪物属性!$O$11:$AF$60,13,FALSE)</f>
        <v>611</v>
      </c>
      <c r="N40" s="36">
        <f t="shared" si="5"/>
        <v>2.1789804715173098</v>
      </c>
      <c r="O40" s="36">
        <f>VLOOKUP(B40,怪物属性!$O$11:$AF$60,15,FALSE)</f>
        <v>303</v>
      </c>
      <c r="P40" s="36">
        <f t="shared" si="6"/>
        <v>3.0357141152489895</v>
      </c>
      <c r="Q40" s="36">
        <f>VLOOKUP(B40,怪物属性!$O$11:$AF$60,17,FALSE)</f>
        <v>930</v>
      </c>
      <c r="R40" s="36">
        <f t="shared" si="7"/>
        <v>5.5407972712315514</v>
      </c>
      <c r="S40" s="36">
        <v>19</v>
      </c>
      <c r="T40" s="36">
        <v>1</v>
      </c>
      <c r="U40" s="36">
        <f t="shared" si="8"/>
        <v>0.18130286091511405</v>
      </c>
      <c r="V40" s="36">
        <f t="shared" si="9"/>
        <v>0.76607388287515821</v>
      </c>
      <c r="W40" s="36">
        <f t="shared" si="10"/>
        <v>0.14522375916216593</v>
      </c>
      <c r="X40" s="36">
        <f t="shared" si="11"/>
        <v>0.64502237975466514</v>
      </c>
      <c r="Y40" s="36">
        <f t="shared" si="12"/>
        <v>0.15063355946908547</v>
      </c>
      <c r="Z40" s="36">
        <f t="shared" si="13"/>
        <v>0.20985980768890439</v>
      </c>
      <c r="AA40" s="36">
        <f t="shared" si="14"/>
        <v>0.3830369414375791</v>
      </c>
    </row>
    <row r="41" spans="2:27" x14ac:dyDescent="0.15">
      <c r="B41" s="36">
        <v>20</v>
      </c>
      <c r="C41" s="36">
        <f>VLOOKUP(B41,怪物属性!$O$11:$AF$60,3,FALSE)</f>
        <v>884</v>
      </c>
      <c r="D41" s="36">
        <f t="shared" si="0"/>
        <v>14.78755657873138</v>
      </c>
      <c r="E41" s="36">
        <f>VLOOKUP(B41,怪物属性!$O$11:$AF$60,5,FALSE)</f>
        <v>661</v>
      </c>
      <c r="F41" s="36">
        <f t="shared" si="1"/>
        <v>2.7581409577400651</v>
      </c>
      <c r="G41" s="36">
        <f>VLOOKUP(B41,怪物属性!$O$11:$AF$60,7,FALSE)</f>
        <v>8438</v>
      </c>
      <c r="H41" s="36">
        <f t="shared" si="2"/>
        <v>11.749999340199006</v>
      </c>
      <c r="I41" s="36">
        <f>VLOOKUP(B41,怪物属性!$O$11:$AF$60,9,FALSE)</f>
        <v>594</v>
      </c>
      <c r="J41" s="36">
        <f t="shared" si="3"/>
        <v>2.1363521230100777</v>
      </c>
      <c r="K41" s="36">
        <f>VLOOKUP(B41,怪物属性!$O$11:$AF$60,11,FALSE)</f>
        <v>295</v>
      </c>
      <c r="L41" s="36">
        <f t="shared" si="4"/>
        <v>22.439503262974622</v>
      </c>
      <c r="M41" s="36">
        <f>VLOOKUP(B41,怪物属性!$O$11:$AF$60,13,FALSE)</f>
        <v>620</v>
      </c>
      <c r="N41" s="36">
        <f t="shared" si="5"/>
        <v>2.2603685366673645</v>
      </c>
      <c r="O41" s="36">
        <f>VLOOKUP(B41,怪物属性!$O$11:$AF$60,15,FALSE)</f>
        <v>308</v>
      </c>
      <c r="P41" s="36">
        <f t="shared" si="6"/>
        <v>3.214285533793042</v>
      </c>
      <c r="Q41" s="36">
        <f>VLOOKUP(B41,怪物属性!$O$11:$AF$60,17,FALSE)</f>
        <v>947</v>
      </c>
      <c r="R41" s="36">
        <f t="shared" si="7"/>
        <v>5.8749996700995029</v>
      </c>
      <c r="S41" s="36">
        <v>20</v>
      </c>
      <c r="T41" s="36">
        <v>1</v>
      </c>
      <c r="U41" s="36">
        <f t="shared" si="8"/>
        <v>0.18651769432328252</v>
      </c>
      <c r="V41" s="36">
        <f t="shared" si="9"/>
        <v>0.79458694055641166</v>
      </c>
      <c r="W41" s="36">
        <f t="shared" si="10"/>
        <v>0.14446958235701673</v>
      </c>
      <c r="X41" s="36">
        <f t="shared" si="11"/>
        <v>0.65899660992634257</v>
      </c>
      <c r="Y41" s="36">
        <f t="shared" si="12"/>
        <v>0.1528561209306481</v>
      </c>
      <c r="Z41" s="36">
        <f t="shared" si="13"/>
        <v>0.21736420866284825</v>
      </c>
      <c r="AA41" s="36">
        <f t="shared" si="14"/>
        <v>0.39729347027820583</v>
      </c>
    </row>
    <row r="42" spans="2:27" x14ac:dyDescent="0.15">
      <c r="B42" s="36">
        <v>21</v>
      </c>
      <c r="C42" s="36">
        <f>VLOOKUP(B42,怪物属性!$O$11:$AF$60,3,FALSE)</f>
        <v>908</v>
      </c>
      <c r="D42" s="36">
        <f t="shared" si="0"/>
        <v>15.076742448580625</v>
      </c>
      <c r="E42" s="36">
        <f>VLOOKUP(B42,怪物属性!$O$11:$AF$60,5,FALSE)</f>
        <v>679</v>
      </c>
      <c r="F42" s="36">
        <f t="shared" si="1"/>
        <v>2.9016280595878134</v>
      </c>
      <c r="G42" s="36">
        <f>VLOOKUP(B42,怪物属性!$O$11:$AF$60,7,FALSE)</f>
        <v>8679</v>
      </c>
      <c r="H42" s="36">
        <f t="shared" si="2"/>
        <v>12.42118915792547</v>
      </c>
      <c r="I42" s="36">
        <f>VLOOKUP(B42,怪物属性!$O$11:$AF$60,9,FALSE)</f>
        <v>600</v>
      </c>
      <c r="J42" s="36">
        <f t="shared" si="3"/>
        <v>2.1575985015132391</v>
      </c>
      <c r="K42" s="36">
        <f>VLOOKUP(B42,怪物属性!$O$11:$AF$60,11,FALSE)</f>
        <v>298</v>
      </c>
      <c r="L42" s="36">
        <f t="shared" si="4"/>
        <v>22.449224650993376</v>
      </c>
      <c r="M42" s="36">
        <f>VLOOKUP(B42,怪物属性!$O$11:$AF$60,13,FALSE)</f>
        <v>629</v>
      </c>
      <c r="N42" s="36">
        <f t="shared" si="5"/>
        <v>2.3394275315905482</v>
      </c>
      <c r="O42" s="36">
        <f>VLOOKUP(B42,怪物属性!$O$11:$AF$60,15,FALSE)</f>
        <v>314</v>
      </c>
      <c r="P42" s="36">
        <f t="shared" si="6"/>
        <v>3.428571236045908</v>
      </c>
      <c r="Q42" s="36">
        <f>VLOOKUP(B42,怪物属性!$O$11:$AF$60,17,FALSE)</f>
        <v>964</v>
      </c>
      <c r="R42" s="36">
        <f t="shared" si="7"/>
        <v>6.210594578962735</v>
      </c>
      <c r="S42" s="36">
        <v>21</v>
      </c>
      <c r="T42" s="36">
        <v>1</v>
      </c>
      <c r="U42" s="36">
        <f t="shared" si="8"/>
        <v>0.19245722804404491</v>
      </c>
      <c r="V42" s="36">
        <f t="shared" si="9"/>
        <v>0.823864253189179</v>
      </c>
      <c r="W42" s="36">
        <f t="shared" si="10"/>
        <v>0.14310773755482986</v>
      </c>
      <c r="X42" s="36">
        <f t="shared" si="11"/>
        <v>0.67159301414507777</v>
      </c>
      <c r="Y42" s="36">
        <f t="shared" si="12"/>
        <v>0.15516797077148384</v>
      </c>
      <c r="Z42" s="36">
        <f t="shared" si="13"/>
        <v>0.22740795949384179</v>
      </c>
      <c r="AA42" s="36">
        <f t="shared" si="14"/>
        <v>0.4119321265945895</v>
      </c>
    </row>
    <row r="43" spans="2:27" x14ac:dyDescent="0.15">
      <c r="B43" s="36">
        <v>22</v>
      </c>
      <c r="C43" s="36">
        <f>VLOOKUP(B43,怪物属性!$O$11:$AF$60,3,FALSE)</f>
        <v>931</v>
      </c>
      <c r="D43" s="36">
        <f t="shared" si="0"/>
        <v>15.337108902981129</v>
      </c>
      <c r="E43" s="36">
        <f>VLOOKUP(B43,怪物属性!$O$11:$AF$60,5,FALSE)</f>
        <v>698</v>
      </c>
      <c r="F43" s="36">
        <f t="shared" si="1"/>
        <v>3.0530866670937717</v>
      </c>
      <c r="G43" s="36">
        <f>VLOOKUP(B43,怪物属性!$O$11:$AF$60,7,FALSE)</f>
        <v>8923</v>
      </c>
      <c r="H43" s="36">
        <f t="shared" si="2"/>
        <v>13.100734035623633</v>
      </c>
      <c r="I43" s="36">
        <f>VLOOKUP(B43,怪物属性!$O$11:$AF$60,9,FALSE)</f>
        <v>609</v>
      </c>
      <c r="J43" s="36">
        <f t="shared" si="3"/>
        <v>2.1896636294260108</v>
      </c>
      <c r="K43" s="36">
        <f>VLOOKUP(B43,怪物属性!$O$11:$AF$60,11,FALSE)</f>
        <v>302</v>
      </c>
      <c r="L43" s="36">
        <f t="shared" si="4"/>
        <v>22.461912604658956</v>
      </c>
      <c r="M43" s="36">
        <f>VLOOKUP(B43,怪物属性!$O$11:$AF$60,13,FALSE)</f>
        <v>638</v>
      </c>
      <c r="N43" s="36">
        <f t="shared" si="5"/>
        <v>2.4162560219547693</v>
      </c>
      <c r="O43" s="36">
        <f>VLOOKUP(B43,怪物属性!$O$11:$AF$60,15,FALSE)</f>
        <v>318</v>
      </c>
      <c r="P43" s="36">
        <f t="shared" si="6"/>
        <v>3.5714283708811507</v>
      </c>
      <c r="Q43" s="36">
        <f>VLOOKUP(B43,怪物属性!$O$11:$AF$60,17,FALSE)</f>
        <v>982</v>
      </c>
      <c r="R43" s="36">
        <f t="shared" si="7"/>
        <v>6.5503670178118165</v>
      </c>
      <c r="S43" s="36">
        <v>22</v>
      </c>
      <c r="T43" s="36">
        <v>1</v>
      </c>
      <c r="U43" s="36">
        <f t="shared" si="8"/>
        <v>0.19906533143937788</v>
      </c>
      <c r="V43" s="36">
        <f t="shared" si="9"/>
        <v>0.85418536951753643</v>
      </c>
      <c r="W43" s="36">
        <f t="shared" si="10"/>
        <v>0.142768995335255</v>
      </c>
      <c r="X43" s="36">
        <f t="shared" si="11"/>
        <v>0.6828051187324079</v>
      </c>
      <c r="Y43" s="36">
        <f t="shared" si="12"/>
        <v>0.1575431221907222</v>
      </c>
      <c r="Z43" s="36">
        <f t="shared" si="13"/>
        <v>0.23286190334000689</v>
      </c>
      <c r="AA43" s="36">
        <f t="shared" si="14"/>
        <v>0.42709268475876822</v>
      </c>
    </row>
    <row r="44" spans="2:27" x14ac:dyDescent="0.15">
      <c r="B44" s="36">
        <v>23</v>
      </c>
      <c r="C44" s="36">
        <f>VLOOKUP(B44,怪物属性!$O$11:$AF$60,3,FALSE)</f>
        <v>955</v>
      </c>
      <c r="D44" s="36">
        <f t="shared" si="0"/>
        <v>15.592807674369968</v>
      </c>
      <c r="E44" s="36">
        <f>VLOOKUP(B44,怪物属性!$O$11:$AF$60,5,FALSE)</f>
        <v>715</v>
      </c>
      <c r="F44" s="36">
        <f t="shared" si="1"/>
        <v>3.188602263283312</v>
      </c>
      <c r="G44" s="36">
        <f>VLOOKUP(B44,怪物属性!$O$11:$AF$60,7,FALSE)</f>
        <v>9169</v>
      </c>
      <c r="H44" s="36">
        <f t="shared" si="2"/>
        <v>13.785848953302933</v>
      </c>
      <c r="I44" s="36">
        <f>VLOOKUP(B44,怪物属性!$O$11:$AF$60,9,FALSE)</f>
        <v>616</v>
      </c>
      <c r="J44" s="36">
        <f t="shared" si="3"/>
        <v>2.2145412440984678</v>
      </c>
      <c r="K44" s="36">
        <f>VLOOKUP(B44,怪物属性!$O$11:$AF$60,11,FALSE)</f>
        <v>307</v>
      </c>
      <c r="L44" s="36">
        <f t="shared" si="4"/>
        <v>22.477348063754999</v>
      </c>
      <c r="M44" s="36">
        <f>VLOOKUP(B44,怪物属性!$O$11:$AF$60,13,FALSE)</f>
        <v>648</v>
      </c>
      <c r="N44" s="36">
        <f t="shared" si="5"/>
        <v>2.4991180254511569</v>
      </c>
      <c r="O44" s="36">
        <f>VLOOKUP(B44,怪物属性!$O$11:$AF$60,15,FALSE)</f>
        <v>323</v>
      </c>
      <c r="P44" s="36">
        <f t="shared" si="6"/>
        <v>3.7499997894252175</v>
      </c>
      <c r="Q44" s="36">
        <f>VLOOKUP(B44,怪物属性!$O$11:$AF$60,17,FALSE)</f>
        <v>998</v>
      </c>
      <c r="R44" s="36">
        <f t="shared" si="7"/>
        <v>6.8929244766514666</v>
      </c>
      <c r="S44" s="36">
        <v>23</v>
      </c>
      <c r="T44" s="36">
        <v>1</v>
      </c>
      <c r="U44" s="36">
        <f t="shared" si="8"/>
        <v>0.20449186123961785</v>
      </c>
      <c r="V44" s="36">
        <f t="shared" si="9"/>
        <v>0.88411588478467873</v>
      </c>
      <c r="W44" s="36">
        <f t="shared" si="10"/>
        <v>0.1420232513826569</v>
      </c>
      <c r="X44" s="36">
        <f t="shared" si="11"/>
        <v>0.69371207093213827</v>
      </c>
      <c r="Y44" s="36">
        <f t="shared" si="12"/>
        <v>0.16027376708807733</v>
      </c>
      <c r="Z44" s="36">
        <f t="shared" si="13"/>
        <v>0.24049548148978483</v>
      </c>
      <c r="AA44" s="36">
        <f t="shared" si="14"/>
        <v>0.44205794239233936</v>
      </c>
    </row>
    <row r="45" spans="2:27" x14ac:dyDescent="0.15">
      <c r="B45" s="36">
        <v>24</v>
      </c>
      <c r="C45" s="36">
        <f>VLOOKUP(B45,怪物属性!$O$11:$AF$60,3,FALSE)</f>
        <v>980</v>
      </c>
      <c r="D45" s="36">
        <f t="shared" si="0"/>
        <v>15.843276857577976</v>
      </c>
      <c r="E45" s="36">
        <f>VLOOKUP(B45,怪物属性!$O$11:$AF$60,5,FALSE)</f>
        <v>734</v>
      </c>
      <c r="F45" s="36">
        <f t="shared" si="1"/>
        <v>3.3400608707892703</v>
      </c>
      <c r="G45" s="36">
        <f>VLOOKUP(B45,怪物属性!$O$11:$AF$60,7,FALSE)</f>
        <v>9417</v>
      </c>
      <c r="H45" s="36">
        <f t="shared" si="2"/>
        <v>14.476533910963363</v>
      </c>
      <c r="I45" s="36">
        <f>VLOOKUP(B45,怪物属性!$O$11:$AF$60,9,FALSE)</f>
        <v>625</v>
      </c>
      <c r="J45" s="36">
        <f t="shared" si="3"/>
        <v>2.2466445907767971</v>
      </c>
      <c r="K45" s="36">
        <f>VLOOKUP(B45,怪物属性!$O$11:$AF$60,11,FALSE)</f>
        <v>311</v>
      </c>
      <c r="L45" s="36">
        <f t="shared" si="4"/>
        <v>22.48936981865284</v>
      </c>
      <c r="M45" s="36">
        <f>VLOOKUP(B45,怪物属性!$O$11:$AF$60,13,FALSE)</f>
        <v>657</v>
      </c>
      <c r="N45" s="36">
        <f t="shared" si="5"/>
        <v>2.57153714631513</v>
      </c>
      <c r="O45" s="36">
        <f>VLOOKUP(B45,怪物属性!$O$11:$AF$60,15,FALSE)</f>
        <v>327</v>
      </c>
      <c r="P45" s="36">
        <f t="shared" si="6"/>
        <v>3.8928569242604638</v>
      </c>
      <c r="Q45" s="36">
        <f>VLOOKUP(B45,怪物属性!$O$11:$AF$60,17,FALSE)</f>
        <v>1016</v>
      </c>
      <c r="R45" s="36">
        <f t="shared" si="7"/>
        <v>7.2382669554816816</v>
      </c>
      <c r="S45" s="36">
        <v>24</v>
      </c>
      <c r="T45" s="36">
        <v>1</v>
      </c>
      <c r="U45" s="36">
        <f t="shared" si="8"/>
        <v>0.21081881613346234</v>
      </c>
      <c r="V45" s="36">
        <f t="shared" si="9"/>
        <v>0.9137335692040951</v>
      </c>
      <c r="W45" s="36">
        <f t="shared" si="10"/>
        <v>0.14180428777284212</v>
      </c>
      <c r="X45" s="36">
        <f t="shared" si="11"/>
        <v>0.70447847073231251</v>
      </c>
      <c r="Y45" s="36">
        <f t="shared" si="12"/>
        <v>0.162310939171977</v>
      </c>
      <c r="Z45" s="36">
        <f t="shared" si="13"/>
        <v>0.24571033879260126</v>
      </c>
      <c r="AA45" s="36">
        <f t="shared" si="14"/>
        <v>0.45686678460204755</v>
      </c>
    </row>
    <row r="46" spans="2:27" x14ac:dyDescent="0.15">
      <c r="B46" s="36">
        <v>25</v>
      </c>
      <c r="C46" s="36">
        <f>VLOOKUP(B46,怪物属性!$O$11:$AF$60,3,FALSE)</f>
        <v>1004</v>
      </c>
      <c r="D46" s="36">
        <f t="shared" si="0"/>
        <v>16.069762444519363</v>
      </c>
      <c r="E46" s="36">
        <f>VLOOKUP(B46,怪物属性!$O$11:$AF$60,5,FALSE)</f>
        <v>752</v>
      </c>
      <c r="F46" s="36">
        <f t="shared" si="1"/>
        <v>3.4835479726370187</v>
      </c>
      <c r="G46" s="36">
        <f>VLOOKUP(B46,怪物属性!$O$11:$AF$60,7,FALSE)</f>
        <v>9667</v>
      </c>
      <c r="H46" s="36">
        <f t="shared" si="2"/>
        <v>15.172788908604923</v>
      </c>
      <c r="I46" s="36">
        <f>VLOOKUP(B46,怪物属性!$O$11:$AF$60,9,FALSE)</f>
        <v>633</v>
      </c>
      <c r="J46" s="36">
        <f t="shared" si="3"/>
        <v>2.2751436277900643</v>
      </c>
      <c r="K46" s="36">
        <f>VLOOKUP(B46,怪物属性!$O$11:$AF$60,11,FALSE)</f>
        <v>315</v>
      </c>
      <c r="L46" s="36">
        <f t="shared" si="4"/>
        <v>22.501112214412853</v>
      </c>
      <c r="M46" s="36">
        <f>VLOOKUP(B46,怪物属性!$O$11:$AF$60,13,FALSE)</f>
        <v>666</v>
      </c>
      <c r="N46" s="36">
        <f t="shared" si="5"/>
        <v>2.6419989936422326</v>
      </c>
      <c r="O46" s="36">
        <f>VLOOKUP(B46,怪物属性!$O$11:$AF$60,15,FALSE)</f>
        <v>333</v>
      </c>
      <c r="P46" s="36">
        <f t="shared" si="6"/>
        <v>4.1071426265133297</v>
      </c>
      <c r="Q46" s="36">
        <f>VLOOKUP(B46,怪物属性!$O$11:$AF$60,17,FALSE)</f>
        <v>1034</v>
      </c>
      <c r="R46" s="36">
        <f t="shared" si="7"/>
        <v>7.5863944543024617</v>
      </c>
      <c r="S46" s="36">
        <v>25</v>
      </c>
      <c r="T46" s="36">
        <v>1</v>
      </c>
      <c r="U46" s="36">
        <f t="shared" si="8"/>
        <v>0.21677656932788653</v>
      </c>
      <c r="V46" s="36">
        <f t="shared" si="9"/>
        <v>0.94418252671679326</v>
      </c>
      <c r="W46" s="36">
        <f t="shared" si="10"/>
        <v>0.14157916992519129</v>
      </c>
      <c r="X46" s="36">
        <f t="shared" si="11"/>
        <v>0.71417636121231576</v>
      </c>
      <c r="Y46" s="36">
        <f t="shared" si="12"/>
        <v>0.16440809269979556</v>
      </c>
      <c r="Z46" s="36">
        <f t="shared" si="13"/>
        <v>0.25558203742545565</v>
      </c>
      <c r="AA46" s="36">
        <f t="shared" si="14"/>
        <v>0.47209126335839663</v>
      </c>
    </row>
    <row r="47" spans="2:27" x14ac:dyDescent="0.15">
      <c r="B47" s="36">
        <v>26</v>
      </c>
      <c r="C47" s="36">
        <f>VLOOKUP(B47,怪物属性!$O$11:$AF$60,3,FALSE)</f>
        <v>1029</v>
      </c>
      <c r="D47" s="36">
        <f t="shared" si="0"/>
        <v>16.292347323009047</v>
      </c>
      <c r="E47" s="36">
        <f>VLOOKUP(B47,怪物属性!$O$11:$AF$60,5,FALSE)</f>
        <v>770</v>
      </c>
      <c r="F47" s="36">
        <f t="shared" si="1"/>
        <v>3.627035074484767</v>
      </c>
      <c r="G47" s="36">
        <f>VLOOKUP(B47,怪物属性!$O$11:$AF$60,7,FALSE)</f>
        <v>9919</v>
      </c>
      <c r="H47" s="36">
        <f t="shared" si="2"/>
        <v>15.874613946227617</v>
      </c>
      <c r="I47" s="36">
        <f>VLOOKUP(B47,怪物属性!$O$11:$AF$60,9,FALSE)</f>
        <v>641</v>
      </c>
      <c r="J47" s="36">
        <f t="shared" si="3"/>
        <v>2.3036639227524351</v>
      </c>
      <c r="K47" s="36">
        <f>VLOOKUP(B47,怪物属性!$O$11:$AF$60,11,FALSE)</f>
        <v>318</v>
      </c>
      <c r="L47" s="36">
        <f t="shared" si="4"/>
        <v>22.509741488931827</v>
      </c>
      <c r="M47" s="36">
        <f>VLOOKUP(B47,怪物属性!$O$11:$AF$60,13,FALSE)</f>
        <v>677</v>
      </c>
      <c r="N47" s="36">
        <f t="shared" si="5"/>
        <v>2.7255748627761598</v>
      </c>
      <c r="O47" s="36">
        <f>VLOOKUP(B47,怪物属性!$O$11:$AF$60,15,FALSE)</f>
        <v>336</v>
      </c>
      <c r="P47" s="36">
        <f t="shared" si="6"/>
        <v>4.2142854776397627</v>
      </c>
      <c r="Q47" s="36">
        <f>VLOOKUP(B47,怪物属性!$O$11:$AF$60,17,FALSE)</f>
        <v>1052</v>
      </c>
      <c r="R47" s="36">
        <f t="shared" si="7"/>
        <v>7.9373069731138086</v>
      </c>
      <c r="S47" s="36">
        <v>26</v>
      </c>
      <c r="T47" s="36">
        <v>1</v>
      </c>
      <c r="U47" s="36">
        <f t="shared" si="8"/>
        <v>0.22262200790198272</v>
      </c>
      <c r="V47" s="36">
        <f t="shared" si="9"/>
        <v>0.97436014783508329</v>
      </c>
      <c r="W47" s="36">
        <f t="shared" si="10"/>
        <v>0.14139545868255954</v>
      </c>
      <c r="X47" s="36">
        <f t="shared" si="11"/>
        <v>0.72379095650743441</v>
      </c>
      <c r="Y47" s="36">
        <f t="shared" si="12"/>
        <v>0.16729172345392715</v>
      </c>
      <c r="Z47" s="36">
        <f t="shared" si="13"/>
        <v>0.2586665625332018</v>
      </c>
      <c r="AA47" s="36">
        <f t="shared" si="14"/>
        <v>0.48718007391754165</v>
      </c>
    </row>
    <row r="48" spans="2:27" x14ac:dyDescent="0.15">
      <c r="B48" s="36">
        <v>27</v>
      </c>
      <c r="C48" s="36">
        <f>VLOOKUP(B48,怪物属性!$O$11:$AF$60,3,FALSE)</f>
        <v>1053</v>
      </c>
      <c r="D48" s="36">
        <f t="shared" si="0"/>
        <v>16.494249140289497</v>
      </c>
      <c r="E48" s="36">
        <f>VLOOKUP(B48,怪物属性!$O$11:$AF$60,5,FALSE)</f>
        <v>788</v>
      </c>
      <c r="F48" s="36">
        <f t="shared" si="1"/>
        <v>3.7705221763325154</v>
      </c>
      <c r="G48" s="36">
        <f>VLOOKUP(B48,怪物属性!$O$11:$AF$60,7,FALSE)</f>
        <v>10173</v>
      </c>
      <c r="H48" s="36">
        <f t="shared" si="2"/>
        <v>16.582009023831446</v>
      </c>
      <c r="I48" s="36">
        <f>VLOOKUP(B48,怪物属性!$O$11:$AF$60,9,FALSE)</f>
        <v>649</v>
      </c>
      <c r="J48" s="36">
        <f t="shared" si="3"/>
        <v>2.3321850242063391</v>
      </c>
      <c r="K48" s="36">
        <f>VLOOKUP(B48,怪物属性!$O$11:$AF$60,11,FALSE)</f>
        <v>323</v>
      </c>
      <c r="L48" s="36">
        <f t="shared" si="4"/>
        <v>22.523796994109713</v>
      </c>
      <c r="M48" s="36">
        <f>VLOOKUP(B48,怪物属性!$O$11:$AF$60,13,FALSE)</f>
        <v>686</v>
      </c>
      <c r="N48" s="36">
        <f t="shared" si="5"/>
        <v>2.7919615258544397</v>
      </c>
      <c r="O48" s="36">
        <f>VLOOKUP(B48,怪物属性!$O$11:$AF$60,15,FALSE)</f>
        <v>341</v>
      </c>
      <c r="P48" s="36">
        <f t="shared" si="6"/>
        <v>4.3928568961838224</v>
      </c>
      <c r="Q48" s="36">
        <f>VLOOKUP(B48,怪物属性!$O$11:$AF$60,17,FALSE)</f>
        <v>1070</v>
      </c>
      <c r="R48" s="36">
        <f t="shared" si="7"/>
        <v>8.2910045119157232</v>
      </c>
      <c r="S48" s="36">
        <v>27</v>
      </c>
      <c r="T48" s="36">
        <v>1</v>
      </c>
      <c r="U48" s="36">
        <f t="shared" si="8"/>
        <v>0.22859616974758135</v>
      </c>
      <c r="V48" s="36">
        <f t="shared" si="9"/>
        <v>1.0053206352587207</v>
      </c>
      <c r="W48" s="36">
        <f t="shared" si="10"/>
        <v>0.14139382789542404</v>
      </c>
      <c r="X48" s="36">
        <f t="shared" si="11"/>
        <v>0.7323032233243344</v>
      </c>
      <c r="Y48" s="36">
        <f t="shared" si="12"/>
        <v>0.16926878587244601</v>
      </c>
      <c r="Z48" s="36">
        <f t="shared" si="13"/>
        <v>0.26632657593692205</v>
      </c>
      <c r="AA48" s="36">
        <f t="shared" si="14"/>
        <v>0.50266031762936036</v>
      </c>
    </row>
    <row r="49" spans="2:27" x14ac:dyDescent="0.15">
      <c r="B49" s="36">
        <v>28</v>
      </c>
      <c r="C49" s="36">
        <f>VLOOKUP(B49,怪物属性!$O$11:$AF$60,3,FALSE)</f>
        <v>1077</v>
      </c>
      <c r="D49" s="36">
        <f t="shared" si="0"/>
        <v>16.68551304142591</v>
      </c>
      <c r="E49" s="36">
        <f>VLOOKUP(B49,怪物属性!$O$11:$AF$60,5,FALSE)</f>
        <v>806</v>
      </c>
      <c r="F49" s="36">
        <f t="shared" si="1"/>
        <v>3.9140092781802638</v>
      </c>
      <c r="G49" s="36">
        <f>VLOOKUP(B49,怪物属性!$O$11:$AF$60,7,FALSE)</f>
        <v>10429</v>
      </c>
      <c r="H49" s="36">
        <f t="shared" si="2"/>
        <v>17.294974141416404</v>
      </c>
      <c r="I49" s="36">
        <f>VLOOKUP(B49,怪物属性!$O$11:$AF$60,9,FALSE)</f>
        <v>657</v>
      </c>
      <c r="J49" s="36">
        <f t="shared" si="3"/>
        <v>2.3607242809629971</v>
      </c>
      <c r="K49" s="36">
        <f>VLOOKUP(B49,怪物属性!$O$11:$AF$60,11,FALSE)</f>
        <v>327</v>
      </c>
      <c r="L49" s="36">
        <f t="shared" si="4"/>
        <v>22.534757342383909</v>
      </c>
      <c r="M49" s="36">
        <f>VLOOKUP(B49,怪物属性!$O$11:$AF$60,13,FALSE)</f>
        <v>696</v>
      </c>
      <c r="N49" s="36">
        <f t="shared" si="5"/>
        <v>2.863710840835278</v>
      </c>
      <c r="O49" s="36">
        <f>VLOOKUP(B49,怪物属性!$O$11:$AF$60,15,FALSE)</f>
        <v>347</v>
      </c>
      <c r="P49" s="36">
        <f t="shared" si="6"/>
        <v>4.6071425984366954</v>
      </c>
      <c r="Q49" s="36">
        <f>VLOOKUP(B49,怪物属性!$O$11:$AF$60,17,FALSE)</f>
        <v>1088</v>
      </c>
      <c r="R49" s="36">
        <f t="shared" si="7"/>
        <v>8.6474870707082019</v>
      </c>
      <c r="S49" s="36">
        <v>28</v>
      </c>
      <c r="T49" s="36">
        <v>1</v>
      </c>
      <c r="U49" s="36">
        <f t="shared" si="8"/>
        <v>0.23457530304658708</v>
      </c>
      <c r="V49" s="36">
        <f t="shared" si="9"/>
        <v>1.0365263626283086</v>
      </c>
      <c r="W49" s="36">
        <f t="shared" si="10"/>
        <v>0.14148346982810273</v>
      </c>
      <c r="X49" s="36">
        <f t="shared" si="11"/>
        <v>0.74043455573596961</v>
      </c>
      <c r="Y49" s="36">
        <f t="shared" si="12"/>
        <v>0.17162857586251068</v>
      </c>
      <c r="Z49" s="36">
        <f t="shared" si="13"/>
        <v>0.27611632839807354</v>
      </c>
      <c r="AA49" s="36">
        <f t="shared" si="14"/>
        <v>0.51826318131415428</v>
      </c>
    </row>
    <row r="50" spans="2:27" x14ac:dyDescent="0.15">
      <c r="B50" s="36">
        <v>29</v>
      </c>
      <c r="C50" s="36">
        <f>VLOOKUP(B50,怪物属性!$O$11:$AF$60,3,FALSE)</f>
        <v>1101</v>
      </c>
      <c r="D50" s="36">
        <f t="shared" si="0"/>
        <v>16.86693957251379</v>
      </c>
      <c r="E50" s="36">
        <f>VLOOKUP(B50,怪物属性!$O$11:$AF$60,5,FALSE)</f>
        <v>825</v>
      </c>
      <c r="F50" s="36">
        <f t="shared" si="1"/>
        <v>4.0654678856862221</v>
      </c>
      <c r="G50" s="36">
        <f>VLOOKUP(B50,怪物属性!$O$11:$AF$60,7,FALSE)</f>
        <v>10686</v>
      </c>
      <c r="H50" s="36">
        <f t="shared" si="2"/>
        <v>18.01072427899193</v>
      </c>
      <c r="I50" s="36">
        <f>VLOOKUP(B50,怪物属性!$O$11:$AF$60,9,FALSE)</f>
        <v>665</v>
      </c>
      <c r="J50" s="36">
        <f t="shared" si="3"/>
        <v>2.3892795455124882</v>
      </c>
      <c r="K50" s="36">
        <f>VLOOKUP(B50,怪物属性!$O$11:$AF$60,11,FALSE)</f>
        <v>331</v>
      </c>
      <c r="L50" s="36">
        <f t="shared" si="4"/>
        <v>22.545474307646835</v>
      </c>
      <c r="M50" s="36">
        <f>VLOOKUP(B50,怪物属性!$O$11:$AF$60,13,FALSE)</f>
        <v>704</v>
      </c>
      <c r="N50" s="36">
        <f t="shared" si="5"/>
        <v>2.9196426931953461</v>
      </c>
      <c r="O50" s="36">
        <f>VLOOKUP(B50,怪物属性!$O$11:$AF$60,15,FALSE)</f>
        <v>351</v>
      </c>
      <c r="P50" s="36">
        <f t="shared" si="6"/>
        <v>4.7499997332719381</v>
      </c>
      <c r="Q50" s="36">
        <f>VLOOKUP(B50,怪物属性!$O$11:$AF$60,17,FALSE)</f>
        <v>1108</v>
      </c>
      <c r="R50" s="36">
        <f t="shared" si="7"/>
        <v>9.0053621394959649</v>
      </c>
      <c r="S50" s="36">
        <v>29</v>
      </c>
      <c r="T50" s="36">
        <v>1</v>
      </c>
      <c r="U50" s="36">
        <f t="shared" si="8"/>
        <v>0.24103174545732478</v>
      </c>
      <c r="V50" s="36">
        <f t="shared" si="9"/>
        <v>1.0678122253038744</v>
      </c>
      <c r="W50" s="36">
        <f t="shared" si="10"/>
        <v>0.14165459805204</v>
      </c>
      <c r="X50" s="36">
        <f t="shared" si="11"/>
        <v>0.74812972849247017</v>
      </c>
      <c r="Y50" s="36">
        <f t="shared" si="12"/>
        <v>0.17309854467927122</v>
      </c>
      <c r="Z50" s="36">
        <f t="shared" si="13"/>
        <v>0.28161598094609258</v>
      </c>
      <c r="AA50" s="36">
        <f t="shared" si="14"/>
        <v>0.53390611265193721</v>
      </c>
    </row>
    <row r="51" spans="2:27" x14ac:dyDescent="0.15">
      <c r="B51" s="36">
        <v>30</v>
      </c>
      <c r="C51" s="36">
        <f>VLOOKUP(B51,怪物属性!$O$11:$AF$60,3,FALSE)</f>
        <v>1126</v>
      </c>
      <c r="D51" s="36">
        <f t="shared" si="0"/>
        <v>17.046244019058889</v>
      </c>
      <c r="E51" s="36">
        <f>VLOOKUP(B51,怪物属性!$O$11:$AF$60,5,FALSE)</f>
        <v>843</v>
      </c>
      <c r="F51" s="36">
        <f t="shared" si="1"/>
        <v>4.2089549875339722</v>
      </c>
      <c r="G51" s="36">
        <f>VLOOKUP(B51,怪物属性!$O$11:$AF$60,7,FALSE)</f>
        <v>10946</v>
      </c>
      <c r="H51" s="36">
        <f t="shared" si="2"/>
        <v>18.734829476539154</v>
      </c>
      <c r="I51" s="36">
        <f>VLOOKUP(B51,怪物属性!$O$11:$AF$60,9,FALSE)</f>
        <v>674</v>
      </c>
      <c r="J51" s="36">
        <f t="shared" si="3"/>
        <v>2.4214263349173915</v>
      </c>
      <c r="K51" s="36">
        <f>VLOOKUP(B51,怪物属性!$O$11:$AF$60,11,FALSE)</f>
        <v>335</v>
      </c>
      <c r="L51" s="36">
        <f t="shared" si="4"/>
        <v>22.555955907640442</v>
      </c>
      <c r="M51" s="36">
        <f>VLOOKUP(B51,怪物属性!$O$11:$AF$60,13,FALSE)</f>
        <v>714</v>
      </c>
      <c r="N51" s="36">
        <f t="shared" si="5"/>
        <v>2.9877949502727361</v>
      </c>
      <c r="O51" s="36">
        <f>VLOOKUP(B51,怪物属性!$O$11:$AF$60,15,FALSE)</f>
        <v>356</v>
      </c>
      <c r="P51" s="36">
        <f t="shared" si="6"/>
        <v>4.9285711518159943</v>
      </c>
      <c r="Q51" s="36">
        <f>VLOOKUP(B51,怪物属性!$O$11:$AF$60,17,FALSE)</f>
        <v>1127</v>
      </c>
      <c r="R51" s="36">
        <f t="shared" si="7"/>
        <v>9.3674147382695772</v>
      </c>
      <c r="S51" s="36">
        <v>30</v>
      </c>
      <c r="T51" s="36">
        <v>1</v>
      </c>
      <c r="U51" s="36">
        <f t="shared" si="8"/>
        <v>0.24691392325652894</v>
      </c>
      <c r="V51" s="36">
        <f t="shared" si="9"/>
        <v>1.0990590921725811</v>
      </c>
      <c r="W51" s="36">
        <f t="shared" si="10"/>
        <v>0.14205043247122756</v>
      </c>
      <c r="X51" s="36">
        <f t="shared" si="11"/>
        <v>0.75573139479691775</v>
      </c>
      <c r="Y51" s="36">
        <f t="shared" si="12"/>
        <v>0.17527585237734325</v>
      </c>
      <c r="Z51" s="36">
        <f t="shared" si="13"/>
        <v>0.28912944964917248</v>
      </c>
      <c r="AA51" s="36">
        <f t="shared" si="14"/>
        <v>0.54952954608629057</v>
      </c>
    </row>
    <row r="52" spans="2:27" x14ac:dyDescent="0.15">
      <c r="B52" s="36">
        <v>31</v>
      </c>
      <c r="C52" s="36">
        <f>VLOOKUP(B52,怪物属性!$O$11:$AF$60,3,FALSE)</f>
        <v>1150</v>
      </c>
      <c r="D52" s="36">
        <f t="shared" si="0"/>
        <v>17.209758970825924</v>
      </c>
      <c r="E52" s="36">
        <f>VLOOKUP(B52,怪物属性!$O$11:$AF$60,5,FALSE)</f>
        <v>861</v>
      </c>
      <c r="F52" s="36">
        <f t="shared" si="1"/>
        <v>4.3524420893817206</v>
      </c>
      <c r="G52" s="36">
        <f>VLOOKUP(B52,怪物属性!$O$11:$AF$60,7,FALSE)</f>
        <v>11209</v>
      </c>
      <c r="H52" s="36">
        <f t="shared" si="2"/>
        <v>19.467289734058077</v>
      </c>
      <c r="I52" s="36">
        <f>VLOOKUP(B52,怪物属性!$O$11:$AF$60,9,FALSE)</f>
        <v>681</v>
      </c>
      <c r="J52" s="36">
        <f t="shared" si="3"/>
        <v>2.446387329925237</v>
      </c>
      <c r="K52" s="36">
        <f>VLOOKUP(B52,怪物属性!$O$11:$AF$60,11,FALSE)</f>
        <v>339</v>
      </c>
      <c r="L52" s="36">
        <f t="shared" si="4"/>
        <v>22.566209811761631</v>
      </c>
      <c r="M52" s="36">
        <f>VLOOKUP(B52,怪物属性!$O$11:$AF$60,13,FALSE)</f>
        <v>723</v>
      </c>
      <c r="N52" s="36">
        <f t="shared" si="5"/>
        <v>3.047520081786196</v>
      </c>
      <c r="O52" s="36">
        <f>VLOOKUP(B52,怪物属性!$O$11:$AF$60,15,FALSE)</f>
        <v>360</v>
      </c>
      <c r="P52" s="36">
        <f t="shared" si="6"/>
        <v>5.0714282866512406</v>
      </c>
      <c r="Q52" s="36">
        <f>VLOOKUP(B52,怪物属性!$O$11:$AF$60,17,FALSE)</f>
        <v>1146</v>
      </c>
      <c r="R52" s="36">
        <f t="shared" si="7"/>
        <v>9.7336448670290387</v>
      </c>
      <c r="S52" s="36">
        <v>31</v>
      </c>
      <c r="T52" s="36">
        <v>1</v>
      </c>
      <c r="U52" s="36">
        <f t="shared" si="8"/>
        <v>0.25290546467036545</v>
      </c>
      <c r="V52" s="36">
        <f t="shared" si="9"/>
        <v>1.1311773608833879</v>
      </c>
      <c r="W52" s="36">
        <f t="shared" si="10"/>
        <v>0.1421511674900483</v>
      </c>
      <c r="X52" s="36">
        <f t="shared" si="11"/>
        <v>0.76263400519550717</v>
      </c>
      <c r="Y52" s="36">
        <f t="shared" si="12"/>
        <v>0.17708092756861782</v>
      </c>
      <c r="Z52" s="36">
        <f t="shared" si="13"/>
        <v>0.2946832837838318</v>
      </c>
      <c r="AA52" s="36">
        <f t="shared" si="14"/>
        <v>0.56558868044169397</v>
      </c>
    </row>
    <row r="53" spans="2:27" x14ac:dyDescent="0.15">
      <c r="B53" s="36">
        <v>32</v>
      </c>
      <c r="C53" s="36">
        <f>VLOOKUP(B53,怪物属性!$O$11:$AF$60,3,FALSE)</f>
        <v>1175</v>
      </c>
      <c r="D53" s="36">
        <f t="shared" si="0"/>
        <v>17.371758370920258</v>
      </c>
      <c r="E53" s="36">
        <f>VLOOKUP(B53,怪物属性!$O$11:$AF$60,5,FALSE)</f>
        <v>879</v>
      </c>
      <c r="F53" s="36">
        <f t="shared" si="1"/>
        <v>4.4959291912294708</v>
      </c>
      <c r="G53" s="36">
        <f>VLOOKUP(B53,怪物属性!$O$11:$AF$60,7,FALSE)</f>
        <v>11473</v>
      </c>
      <c r="H53" s="36">
        <f t="shared" si="2"/>
        <v>20.202535011567569</v>
      </c>
      <c r="I53" s="36">
        <f>VLOOKUP(B53,怪物属性!$O$11:$AF$60,9,FALSE)</f>
        <v>690</v>
      </c>
      <c r="J53" s="36">
        <f t="shared" si="3"/>
        <v>2.4785468160356379</v>
      </c>
      <c r="K53" s="36">
        <f>VLOOKUP(B53,怪物属性!$O$11:$AF$60,11,FALSE)</f>
        <v>343</v>
      </c>
      <c r="L53" s="36">
        <f t="shared" si="4"/>
        <v>22.576243359777067</v>
      </c>
      <c r="M53" s="36">
        <f>VLOOKUP(B53,怪物属性!$O$11:$AF$60,13,FALSE)</f>
        <v>733</v>
      </c>
      <c r="N53" s="36">
        <f t="shared" si="5"/>
        <v>3.1121611972941743</v>
      </c>
      <c r="O53" s="36">
        <f>VLOOKUP(B53,怪物属性!$O$11:$AF$60,15,FALSE)</f>
        <v>366</v>
      </c>
      <c r="P53" s="36">
        <f t="shared" si="6"/>
        <v>5.28571398890411</v>
      </c>
      <c r="Q53" s="36">
        <f>VLOOKUP(B53,怪物属性!$O$11:$AF$60,17,FALSE)</f>
        <v>1164</v>
      </c>
      <c r="R53" s="36">
        <f t="shared" si="7"/>
        <v>10.101267505783785</v>
      </c>
      <c r="S53" s="36">
        <v>32</v>
      </c>
      <c r="T53" s="36">
        <v>1</v>
      </c>
      <c r="U53" s="36">
        <f t="shared" si="8"/>
        <v>0.25880679982030524</v>
      </c>
      <c r="V53" s="36">
        <f t="shared" si="9"/>
        <v>1.162952798456254</v>
      </c>
      <c r="W53" s="36">
        <f t="shared" si="10"/>
        <v>0.14267679546963088</v>
      </c>
      <c r="X53" s="36">
        <f t="shared" si="11"/>
        <v>0.76947072611161826</v>
      </c>
      <c r="Y53" s="36">
        <f t="shared" si="12"/>
        <v>0.17915061508706154</v>
      </c>
      <c r="Z53" s="36">
        <f t="shared" si="13"/>
        <v>0.30427052207634997</v>
      </c>
      <c r="AA53" s="36">
        <f t="shared" si="14"/>
        <v>0.58147639922812699</v>
      </c>
    </row>
    <row r="54" spans="2:27" x14ac:dyDescent="0.15">
      <c r="B54" s="36">
        <v>33</v>
      </c>
      <c r="C54" s="36">
        <f>VLOOKUP(B54,怪物属性!$O$11:$AF$60,3,FALSE)</f>
        <v>1197</v>
      </c>
      <c r="D54" s="36">
        <f t="shared" si="0"/>
        <v>17.507764986114456</v>
      </c>
      <c r="E54" s="36">
        <f>VLOOKUP(B54,怪物属性!$O$11:$AF$60,5,FALSE)</f>
        <v>897</v>
      </c>
      <c r="F54" s="36">
        <f t="shared" si="1"/>
        <v>4.6394162930772191</v>
      </c>
      <c r="G54" s="36">
        <f>VLOOKUP(B54,怪物属性!$O$11:$AF$60,7,FALSE)</f>
        <v>11738</v>
      </c>
      <c r="H54" s="36">
        <f t="shared" si="2"/>
        <v>20.94056530906763</v>
      </c>
      <c r="I54" s="36">
        <f>VLOOKUP(B54,怪物属性!$O$11:$AF$60,9,FALSE)</f>
        <v>697</v>
      </c>
      <c r="J54" s="36">
        <f t="shared" si="3"/>
        <v>2.5035211380054769</v>
      </c>
      <c r="K54" s="36">
        <f>VLOOKUP(B54,怪物属性!$O$11:$AF$60,11,FALSE)</f>
        <v>347</v>
      </c>
      <c r="L54" s="36">
        <f t="shared" si="4"/>
        <v>22.586063579344263</v>
      </c>
      <c r="M54" s="36">
        <f>VLOOKUP(B54,怪物属性!$O$11:$AF$60,13,FALSE)</f>
        <v>741</v>
      </c>
      <c r="N54" s="36">
        <f t="shared" si="5"/>
        <v>3.1626179060793476</v>
      </c>
      <c r="O54" s="36">
        <f>VLOOKUP(B54,怪物属性!$O$11:$AF$60,15,FALSE)</f>
        <v>370</v>
      </c>
      <c r="P54" s="36">
        <f t="shared" si="6"/>
        <v>5.4285711237393599</v>
      </c>
      <c r="Q54" s="36">
        <f>VLOOKUP(B54,怪物属性!$O$11:$AF$60,17,FALSE)</f>
        <v>1184</v>
      </c>
      <c r="R54" s="36">
        <f t="shared" si="7"/>
        <v>10.470282654533815</v>
      </c>
      <c r="S54" s="36">
        <v>33</v>
      </c>
      <c r="T54" s="36">
        <v>1</v>
      </c>
      <c r="U54" s="36">
        <f t="shared" si="8"/>
        <v>0.26499192197043864</v>
      </c>
      <c r="V54" s="36">
        <f t="shared" si="9"/>
        <v>1.1960730182108199</v>
      </c>
      <c r="W54" s="36">
        <f t="shared" si="10"/>
        <v>0.14299490197583981</v>
      </c>
      <c r="X54" s="36">
        <f t="shared" si="11"/>
        <v>0.77515787222550425</v>
      </c>
      <c r="Y54" s="36">
        <f t="shared" si="12"/>
        <v>0.18064087041307925</v>
      </c>
      <c r="Z54" s="36">
        <f t="shared" si="13"/>
        <v>0.31006648353143884</v>
      </c>
      <c r="AA54" s="36">
        <f t="shared" si="14"/>
        <v>0.59803650910540995</v>
      </c>
    </row>
    <row r="55" spans="2:27" x14ac:dyDescent="0.15">
      <c r="B55" s="36">
        <v>34</v>
      </c>
      <c r="C55" s="36">
        <f>VLOOKUP(B55,怪物属性!$O$11:$AF$60,3,FALSE)</f>
        <v>1222</v>
      </c>
      <c r="D55" s="36">
        <f t="shared" ref="D55:D71" si="15">ABS($H$4/((C55^2/(C55+$H$10))*$N$8)-$N$2)</f>
        <v>17.655372923585269</v>
      </c>
      <c r="E55" s="36">
        <f>VLOOKUP(B55,怪物属性!$O$11:$AF$60,5,FALSE)</f>
        <v>916</v>
      </c>
      <c r="F55" s="36">
        <f t="shared" ref="F55:F71" si="16">ABS($D$4/(($H$8^2/($H$8+E55))*$N$8)-$N$2)/$F$22</f>
        <v>4.7908749005831739</v>
      </c>
      <c r="G55" s="36">
        <f>VLOOKUP(B55,怪物属性!$O$11:$AF$60,7,FALSE)</f>
        <v>12006</v>
      </c>
      <c r="H55" s="36">
        <f t="shared" ref="H55:H71" si="17">ABS(G55/(($D$8^2/($D$8+$H$10))*$N$8)-$N$2)/$H$22</f>
        <v>21.686950666539381</v>
      </c>
      <c r="I55" s="36">
        <f>VLOOKUP(B55,怪物属性!$O$11:$AF$60,9,FALSE)</f>
        <v>706</v>
      </c>
      <c r="J55" s="36">
        <f t="shared" ref="J55:J71" si="18">((I55/(D48+$H$18*15))*$N$2*$N$4*0.5)/$N$4</f>
        <v>2.5356913087530133</v>
      </c>
      <c r="K55" s="36">
        <f>VLOOKUP(B55,怪物属性!$O$11:$AF$60,11,FALSE)</f>
        <v>351</v>
      </c>
      <c r="L55" s="36">
        <f t="shared" si="4"/>
        <v>22.595677202426874</v>
      </c>
      <c r="M55" s="36">
        <f>VLOOKUP(B55,怪物属性!$O$11:$AF$60,13,FALSE)</f>
        <v>752</v>
      </c>
      <c r="N55" s="36">
        <f t="shared" si="5"/>
        <v>3.230242979705487</v>
      </c>
      <c r="O55" s="36">
        <f>VLOOKUP(B55,怪物属性!$O$11:$AF$60,15,FALSE)</f>
        <v>374</v>
      </c>
      <c r="P55" s="36">
        <f t="shared" si="6"/>
        <v>5.5714282585746098</v>
      </c>
      <c r="Q55" s="36">
        <f>VLOOKUP(B55,怪物属性!$O$11:$AF$60,17,FALSE)</f>
        <v>1203</v>
      </c>
      <c r="R55" s="36">
        <f t="shared" si="7"/>
        <v>10.843475333269691</v>
      </c>
      <c r="S55" s="36">
        <v>34</v>
      </c>
      <c r="T55" s="36">
        <v>1</v>
      </c>
      <c r="U55" s="36">
        <f t="shared" si="8"/>
        <v>0.27135506688636363</v>
      </c>
      <c r="V55" s="36">
        <f t="shared" si="9"/>
        <v>1.2283484897432244</v>
      </c>
      <c r="W55" s="36">
        <f t="shared" si="10"/>
        <v>0.14362150942536372</v>
      </c>
      <c r="X55" s="36">
        <f t="shared" si="11"/>
        <v>0.78136064546403616</v>
      </c>
      <c r="Y55" s="36">
        <f t="shared" si="12"/>
        <v>0.18296090338541107</v>
      </c>
      <c r="Z55" s="36">
        <f t="shared" si="13"/>
        <v>0.31556559482988378</v>
      </c>
      <c r="AA55" s="36">
        <f t="shared" si="14"/>
        <v>0.61417424487161221</v>
      </c>
    </row>
    <row r="56" spans="2:27" x14ac:dyDescent="0.15">
      <c r="B56" s="36">
        <v>35</v>
      </c>
      <c r="C56" s="36">
        <f>VLOOKUP(B56,怪物属性!$O$11:$AF$60,3,FALSE)</f>
        <v>1246</v>
      </c>
      <c r="D56" s="36">
        <f t="shared" si="15"/>
        <v>17.790577650569364</v>
      </c>
      <c r="E56" s="36">
        <f>VLOOKUP(B56,怪物属性!$O$11:$AF$60,5,FALSE)</f>
        <v>933</v>
      </c>
      <c r="F56" s="36">
        <f t="shared" si="16"/>
        <v>4.9263904967727159</v>
      </c>
      <c r="G56" s="36">
        <f>VLOOKUP(B56,怪物属性!$O$11:$AF$60,7,FALSE)</f>
        <v>12276</v>
      </c>
      <c r="H56" s="36">
        <f t="shared" si="17"/>
        <v>22.43890606399227</v>
      </c>
      <c r="I56" s="36">
        <f>VLOOKUP(B56,怪物属性!$O$11:$AF$60,9,FALSE)</f>
        <v>714</v>
      </c>
      <c r="J56" s="36">
        <f t="shared" si="18"/>
        <v>2.5642744375827977</v>
      </c>
      <c r="K56" s="36">
        <f>VLOOKUP(B56,怪物属性!$O$11:$AF$60,11,FALSE)</f>
        <v>356</v>
      </c>
      <c r="L56" s="36">
        <f t="shared" si="4"/>
        <v>22.607413508162786</v>
      </c>
      <c r="M56" s="36">
        <f>VLOOKUP(B56,怪物属性!$O$11:$AF$60,13,FALSE)</f>
        <v>761</v>
      </c>
      <c r="N56" s="36">
        <f t="shared" si="5"/>
        <v>3.2841184564720294</v>
      </c>
      <c r="O56" s="36">
        <f>VLOOKUP(B56,怪物属性!$O$11:$AF$60,15,FALSE)</f>
        <v>380</v>
      </c>
      <c r="P56" s="36">
        <f t="shared" si="6"/>
        <v>5.7857139608274686</v>
      </c>
      <c r="Q56" s="36">
        <f>VLOOKUP(B56,怪物属性!$O$11:$AF$60,17,FALSE)</f>
        <v>1223</v>
      </c>
      <c r="R56" s="36">
        <f t="shared" si="7"/>
        <v>11.219453031996135</v>
      </c>
      <c r="S56" s="36">
        <v>35</v>
      </c>
      <c r="T56" s="36">
        <v>1</v>
      </c>
      <c r="U56" s="36">
        <f t="shared" si="8"/>
        <v>0.2769100921585339</v>
      </c>
      <c r="V56" s="36">
        <f t="shared" si="9"/>
        <v>1.2612803532702686</v>
      </c>
      <c r="W56" s="36">
        <f t="shared" si="10"/>
        <v>0.14413665975037812</v>
      </c>
      <c r="X56" s="36">
        <f t="shared" si="11"/>
        <v>0.78693556183000679</v>
      </c>
      <c r="Y56" s="36">
        <f t="shared" si="12"/>
        <v>0.1845987533949987</v>
      </c>
      <c r="Z56" s="36">
        <f t="shared" si="13"/>
        <v>0.32521225979653923</v>
      </c>
      <c r="AA56" s="36">
        <f t="shared" si="14"/>
        <v>0.63064017663513428</v>
      </c>
    </row>
    <row r="57" spans="2:27" x14ac:dyDescent="0.15">
      <c r="B57" s="36">
        <v>36</v>
      </c>
      <c r="C57" s="36">
        <f>VLOOKUP(B57,怪物属性!$O$11:$AF$60,3,FALSE)</f>
        <v>1271</v>
      </c>
      <c r="D57" s="36">
        <f t="shared" si="15"/>
        <v>17.925095442886342</v>
      </c>
      <c r="E57" s="36">
        <f>VLOOKUP(B57,怪物属性!$O$11:$AF$60,5,FALSE)</f>
        <v>952</v>
      </c>
      <c r="F57" s="36">
        <f t="shared" si="16"/>
        <v>5.0778491042786742</v>
      </c>
      <c r="G57" s="36">
        <f>VLOOKUP(B57,怪物属性!$O$11:$AF$60,7,FALSE)</f>
        <v>12549</v>
      </c>
      <c r="H57" s="36">
        <f t="shared" si="17"/>
        <v>23.199216521416858</v>
      </c>
      <c r="I57" s="36">
        <f>VLOOKUP(B57,怪物属性!$O$11:$AF$60,9,FALSE)</f>
        <v>722</v>
      </c>
      <c r="J57" s="36">
        <f t="shared" si="18"/>
        <v>2.5928620204622668</v>
      </c>
      <c r="K57" s="36">
        <f>VLOOKUP(B57,怪物属性!$O$11:$AF$60,11,FALSE)</f>
        <v>359</v>
      </c>
      <c r="L57" s="36">
        <f t="shared" si="4"/>
        <v>22.614310199912545</v>
      </c>
      <c r="M57" s="36">
        <f>VLOOKUP(B57,怪物属性!$O$11:$AF$60,13,FALSE)</f>
        <v>771</v>
      </c>
      <c r="N57" s="36">
        <f t="shared" si="5"/>
        <v>3.3425049077307705</v>
      </c>
      <c r="O57" s="36">
        <f>VLOOKUP(B57,怪物属性!$O$11:$AF$60,15,FALSE)</f>
        <v>384</v>
      </c>
      <c r="P57" s="36">
        <f t="shared" si="6"/>
        <v>5.9285710956627184</v>
      </c>
      <c r="Q57" s="36">
        <f>VLOOKUP(B57,怪物属性!$O$11:$AF$60,17,FALSE)</f>
        <v>1243</v>
      </c>
      <c r="R57" s="36">
        <f t="shared" si="7"/>
        <v>11.599608260708429</v>
      </c>
      <c r="S57" s="36">
        <v>36</v>
      </c>
      <c r="T57" s="36">
        <v>1</v>
      </c>
      <c r="U57" s="36">
        <f t="shared" si="8"/>
        <v>0.28328156580576774</v>
      </c>
      <c r="V57" s="36">
        <f t="shared" si="9"/>
        <v>1.2942311294985922</v>
      </c>
      <c r="W57" s="36">
        <f t="shared" si="10"/>
        <v>0.14464983066470957</v>
      </c>
      <c r="X57" s="36">
        <f t="shared" si="11"/>
        <v>0.79264391813974777</v>
      </c>
      <c r="Y57" s="36">
        <f t="shared" si="12"/>
        <v>0.18647068956373447</v>
      </c>
      <c r="Z57" s="36">
        <f t="shared" si="13"/>
        <v>0.33074139630400123</v>
      </c>
      <c r="AA57" s="36">
        <f t="shared" si="14"/>
        <v>0.6471155647492961</v>
      </c>
    </row>
    <row r="58" spans="2:27" x14ac:dyDescent="0.15">
      <c r="B58" s="36">
        <v>37</v>
      </c>
      <c r="C58" s="36">
        <f>VLOOKUP(B58,怪物属性!$O$11:$AF$60,3,FALSE)</f>
        <v>1295</v>
      </c>
      <c r="D58" s="36">
        <f t="shared" si="15"/>
        <v>18.048554228575185</v>
      </c>
      <c r="E58" s="36">
        <f>VLOOKUP(B58,怪物属性!$O$11:$AF$60,5,FALSE)</f>
        <v>969</v>
      </c>
      <c r="F58" s="36">
        <f t="shared" si="16"/>
        <v>5.2133647004682162</v>
      </c>
      <c r="G58" s="36">
        <f>VLOOKUP(B58,怪物属性!$O$11:$AF$60,7,FALSE)</f>
        <v>12822</v>
      </c>
      <c r="H58" s="36">
        <f t="shared" si="17"/>
        <v>23.959526978841438</v>
      </c>
      <c r="I58" s="36">
        <f>VLOOKUP(B58,怪物属性!$O$11:$AF$60,9,FALSE)</f>
        <v>730</v>
      </c>
      <c r="J58" s="36">
        <f t="shared" si="18"/>
        <v>2.6214481332664539</v>
      </c>
      <c r="K58" s="36">
        <f>VLOOKUP(B58,怪物属性!$O$11:$AF$60,11,FALSE)</f>
        <v>363</v>
      </c>
      <c r="L58" s="36">
        <f t="shared" si="4"/>
        <v>22.623341693595265</v>
      </c>
      <c r="M58" s="36">
        <f>VLOOKUP(B58,怪物属性!$O$11:$AF$60,13,FALSE)</f>
        <v>779</v>
      </c>
      <c r="N58" s="36">
        <f t="shared" si="5"/>
        <v>3.388134781320403</v>
      </c>
      <c r="O58" s="36">
        <f>VLOOKUP(B58,怪物属性!$O$11:$AF$60,15,FALSE)</f>
        <v>389</v>
      </c>
      <c r="P58" s="36">
        <f t="shared" si="6"/>
        <v>6.1071425142067817</v>
      </c>
      <c r="Q58" s="36">
        <f>VLOOKUP(B58,怪物属性!$O$11:$AF$60,17,FALSE)</f>
        <v>1263</v>
      </c>
      <c r="R58" s="36">
        <f t="shared" si="7"/>
        <v>11.979763489420719</v>
      </c>
      <c r="S58" s="36">
        <v>37</v>
      </c>
      <c r="T58" s="36">
        <v>1</v>
      </c>
      <c r="U58" s="36">
        <f t="shared" si="8"/>
        <v>0.28885220580240223</v>
      </c>
      <c r="V58" s="36">
        <f t="shared" si="9"/>
        <v>1.3275039471531613</v>
      </c>
      <c r="W58" s="36">
        <f t="shared" si="10"/>
        <v>0.14524421735210644</v>
      </c>
      <c r="X58" s="36">
        <f t="shared" si="11"/>
        <v>0.79778462762133784</v>
      </c>
      <c r="Y58" s="36">
        <f t="shared" si="12"/>
        <v>0.18772333442399358</v>
      </c>
      <c r="Z58" s="36">
        <f t="shared" si="13"/>
        <v>0.33837294870620233</v>
      </c>
      <c r="AA58" s="36">
        <f t="shared" si="14"/>
        <v>0.66375197357658067</v>
      </c>
    </row>
    <row r="59" spans="2:27" x14ac:dyDescent="0.15">
      <c r="B59" s="36">
        <v>38</v>
      </c>
      <c r="C59" s="36">
        <f>VLOOKUP(B59,怪物属性!$O$11:$AF$60,3,FALSE)</f>
        <v>1320</v>
      </c>
      <c r="D59" s="36">
        <f t="shared" si="15"/>
        <v>18.17161920772709</v>
      </c>
      <c r="E59" s="36">
        <f>VLOOKUP(B59,怪物属性!$O$11:$AF$60,5,FALSE)</f>
        <v>988</v>
      </c>
      <c r="F59" s="36">
        <f t="shared" si="16"/>
        <v>5.364823307974171</v>
      </c>
      <c r="G59" s="36">
        <f>VLOOKUP(B59,怪物属性!$O$11:$AF$60,7,FALSE)</f>
        <v>13097</v>
      </c>
      <c r="H59" s="36">
        <f t="shared" si="17"/>
        <v>24.725407476247163</v>
      </c>
      <c r="I59" s="36">
        <f>VLOOKUP(B59,怪物属性!$O$11:$AF$60,9,FALSE)</f>
        <v>739</v>
      </c>
      <c r="J59" s="36">
        <f t="shared" si="18"/>
        <v>2.6536347459394283</v>
      </c>
      <c r="K59" s="36">
        <f>VLOOKUP(B59,怪物属性!$O$11:$AF$60,11,FALSE)</f>
        <v>367</v>
      </c>
      <c r="L59" s="36">
        <f t="shared" si="4"/>
        <v>22.632190855642399</v>
      </c>
      <c r="M59" s="36">
        <f>VLOOKUP(B59,怪物属性!$O$11:$AF$60,13,FALSE)</f>
        <v>789</v>
      </c>
      <c r="N59" s="36">
        <f t="shared" si="5"/>
        <v>3.4438708911708531</v>
      </c>
      <c r="O59" s="36">
        <f>VLOOKUP(B59,怪物属性!$O$11:$AF$60,15,FALSE)</f>
        <v>393</v>
      </c>
      <c r="P59" s="36">
        <f t="shared" si="6"/>
        <v>6.2499996490420244</v>
      </c>
      <c r="Q59" s="36">
        <f>VLOOKUP(B59,怪物属性!$O$11:$AF$60,17,FALSE)</f>
        <v>1284</v>
      </c>
      <c r="R59" s="36">
        <f t="shared" si="7"/>
        <v>12.362703738123582</v>
      </c>
      <c r="S59" s="36">
        <v>38</v>
      </c>
      <c r="T59" s="36">
        <v>1</v>
      </c>
      <c r="U59" s="36">
        <f t="shared" si="8"/>
        <v>0.29523088980936246</v>
      </c>
      <c r="V59" s="36">
        <f t="shared" si="9"/>
        <v>1.3606606650514235</v>
      </c>
      <c r="W59" s="36">
        <f t="shared" si="10"/>
        <v>0.14603182664157013</v>
      </c>
      <c r="X59" s="36">
        <f t="shared" si="11"/>
        <v>0.8029103025700558</v>
      </c>
      <c r="Y59" s="36">
        <f t="shared" si="12"/>
        <v>0.18951920859680027</v>
      </c>
      <c r="Z59" s="36">
        <f t="shared" si="13"/>
        <v>0.34394291326467741</v>
      </c>
      <c r="AA59" s="36">
        <f t="shared" si="14"/>
        <v>0.68033033252571173</v>
      </c>
    </row>
    <row r="60" spans="2:27" x14ac:dyDescent="0.15">
      <c r="B60" s="36">
        <v>39</v>
      </c>
      <c r="C60" s="36">
        <f>VLOOKUP(B60,怪物属性!$O$11:$AF$60,3,FALSE)</f>
        <v>1343</v>
      </c>
      <c r="D60" s="36">
        <f t="shared" si="15"/>
        <v>18.280151928820317</v>
      </c>
      <c r="E60" s="36">
        <f>VLOOKUP(B60,怪物属性!$O$11:$AF$60,5,FALSE)</f>
        <v>1006</v>
      </c>
      <c r="F60" s="36">
        <f t="shared" si="16"/>
        <v>5.5083104098219211</v>
      </c>
      <c r="G60" s="36">
        <f>VLOOKUP(B60,怪物属性!$O$11:$AF$60,7,FALSE)</f>
        <v>13375</v>
      </c>
      <c r="H60" s="36">
        <f t="shared" si="17"/>
        <v>25.499643033624579</v>
      </c>
      <c r="I60" s="36">
        <f>VLOOKUP(B60,怪物属性!$O$11:$AF$60,9,FALSE)</f>
        <v>746</v>
      </c>
      <c r="J60" s="36">
        <f t="shared" si="18"/>
        <v>2.678638050632784</v>
      </c>
      <c r="K60" s="36">
        <f>VLOOKUP(B60,怪物属性!$O$11:$AF$60,11,FALSE)</f>
        <v>372</v>
      </c>
      <c r="L60" s="36">
        <f t="shared" si="4"/>
        <v>22.643004211159372</v>
      </c>
      <c r="M60" s="36">
        <f>VLOOKUP(B60,怪物属性!$O$11:$AF$60,13,FALSE)</f>
        <v>799</v>
      </c>
      <c r="N60" s="36">
        <f t="shared" si="5"/>
        <v>3.4982118543416902</v>
      </c>
      <c r="O60" s="36">
        <f>VLOOKUP(B60,怪物属性!$O$11:$AF$60,15,FALSE)</f>
        <v>399</v>
      </c>
      <c r="P60" s="36">
        <f t="shared" si="6"/>
        <v>6.4642853512948903</v>
      </c>
      <c r="Q60" s="36">
        <f>VLOOKUP(B60,怪物属性!$O$11:$AF$60,17,FALSE)</f>
        <v>1305</v>
      </c>
      <c r="R60" s="36">
        <f t="shared" si="7"/>
        <v>12.74982151681229</v>
      </c>
      <c r="S60" s="36">
        <v>39</v>
      </c>
      <c r="T60" s="36">
        <v>1</v>
      </c>
      <c r="U60" s="36">
        <f t="shared" si="8"/>
        <v>0.30132738673454734</v>
      </c>
      <c r="V60" s="36">
        <f t="shared" si="9"/>
        <v>1.3949360559428436</v>
      </c>
      <c r="W60" s="36">
        <f t="shared" si="10"/>
        <v>0.1465325923473135</v>
      </c>
      <c r="X60" s="36">
        <f t="shared" si="11"/>
        <v>0.80732007812864037</v>
      </c>
      <c r="Y60" s="36">
        <f t="shared" si="12"/>
        <v>0.19136667287903894</v>
      </c>
      <c r="Z60" s="36">
        <f t="shared" si="13"/>
        <v>0.35362317427479134</v>
      </c>
      <c r="AA60" s="36">
        <f t="shared" si="14"/>
        <v>0.69746802797142182</v>
      </c>
    </row>
    <row r="61" spans="2:27" x14ac:dyDescent="0.15">
      <c r="B61" s="36">
        <v>40</v>
      </c>
      <c r="C61" s="36">
        <f>VLOOKUP(B61,怪物属性!$O$11:$AF$60,3,FALSE)</f>
        <v>1368</v>
      </c>
      <c r="D61" s="36">
        <f t="shared" si="15"/>
        <v>18.393335981298289</v>
      </c>
      <c r="E61" s="36">
        <f>VLOOKUP(B61,怪物属性!$O$11:$AF$60,5,FALSE)</f>
        <v>1024</v>
      </c>
      <c r="F61" s="36">
        <f t="shared" si="16"/>
        <v>5.6517975116696713</v>
      </c>
      <c r="G61" s="36">
        <f>VLOOKUP(B61,怪物属性!$O$11:$AF$60,7,FALSE)</f>
        <v>13655</v>
      </c>
      <c r="H61" s="36">
        <f t="shared" si="17"/>
        <v>26.279448630983126</v>
      </c>
      <c r="I61" s="36">
        <f>VLOOKUP(B61,怪物属性!$O$11:$AF$60,9,FALSE)</f>
        <v>755</v>
      </c>
      <c r="J61" s="36">
        <f t="shared" si="18"/>
        <v>2.7108413910479721</v>
      </c>
      <c r="K61" s="36">
        <f>VLOOKUP(B61,怪物属性!$O$11:$AF$60,11,FALSE)</f>
        <v>376</v>
      </c>
      <c r="L61" s="36">
        <f t="shared" si="4"/>
        <v>22.65146278463434</v>
      </c>
      <c r="M61" s="36">
        <f>VLOOKUP(B61,怪物属性!$O$11:$AF$60,13,FALSE)</f>
        <v>808</v>
      </c>
      <c r="N61" s="36">
        <f t="shared" si="5"/>
        <v>3.545968683484773</v>
      </c>
      <c r="O61" s="36">
        <f>VLOOKUP(B61,怪物属性!$O$11:$AF$60,15,FALSE)</f>
        <v>403</v>
      </c>
      <c r="P61" s="36">
        <f t="shared" si="6"/>
        <v>6.6071424861301367</v>
      </c>
      <c r="Q61" s="36">
        <f>VLOOKUP(B61,怪物属性!$O$11:$AF$60,17,FALSE)</f>
        <v>1327</v>
      </c>
      <c r="R61" s="36">
        <f t="shared" si="7"/>
        <v>13.139724315491563</v>
      </c>
      <c r="S61" s="36">
        <v>40</v>
      </c>
      <c r="T61" s="36">
        <v>1</v>
      </c>
      <c r="U61" s="36">
        <f t="shared" si="8"/>
        <v>0.30727419525290162</v>
      </c>
      <c r="V61" s="36">
        <f t="shared" si="9"/>
        <v>1.4287483606945017</v>
      </c>
      <c r="W61" s="36">
        <f t="shared" si="10"/>
        <v>0.14738171443202377</v>
      </c>
      <c r="X61" s="36">
        <f t="shared" si="11"/>
        <v>0.81201537208340646</v>
      </c>
      <c r="Y61" s="36">
        <f t="shared" si="12"/>
        <v>0.1927855113988127</v>
      </c>
      <c r="Z61" s="36">
        <f t="shared" si="13"/>
        <v>0.35921392904734911</v>
      </c>
      <c r="AA61" s="36">
        <f t="shared" si="14"/>
        <v>0.71437418034725086</v>
      </c>
    </row>
    <row r="62" spans="2:27" x14ac:dyDescent="0.15">
      <c r="B62" s="36">
        <v>41</v>
      </c>
      <c r="C62" s="36">
        <f>VLOOKUP(B62,怪物属性!$O$11:$AF$60,3,FALSE)</f>
        <v>1392</v>
      </c>
      <c r="D62" s="36">
        <f t="shared" si="15"/>
        <v>18.497576946852316</v>
      </c>
      <c r="E62" s="36">
        <f>VLOOKUP(B62,怪物属性!$O$11:$AF$60,5,FALSE)</f>
        <v>1043</v>
      </c>
      <c r="F62" s="36">
        <f t="shared" si="16"/>
        <v>5.8032561191756278</v>
      </c>
      <c r="G62" s="36">
        <f>VLOOKUP(B62,怪物属性!$O$11:$AF$60,7,FALSE)</f>
        <v>13936</v>
      </c>
      <c r="H62" s="36">
        <f t="shared" si="17"/>
        <v>27.062039248332241</v>
      </c>
      <c r="I62" s="36">
        <f>VLOOKUP(B62,怪物属性!$O$11:$AF$60,9,FALSE)</f>
        <v>762</v>
      </c>
      <c r="J62" s="36">
        <f t="shared" si="18"/>
        <v>2.7358516180190238</v>
      </c>
      <c r="K62" s="36">
        <f>VLOOKUP(B62,怪物属性!$O$11:$AF$60,11,FALSE)</f>
        <v>378</v>
      </c>
      <c r="L62" s="36">
        <f t="shared" si="4"/>
        <v>22.65562976398823</v>
      </c>
      <c r="M62" s="36">
        <f>VLOOKUP(B62,怪物属性!$O$11:$AF$60,13,FALSE)</f>
        <v>818</v>
      </c>
      <c r="N62" s="36">
        <f t="shared" si="5"/>
        <v>3.5977993089742135</v>
      </c>
      <c r="O62" s="36">
        <f>VLOOKUP(B62,怪物属性!$O$11:$AF$60,15,FALSE)</f>
        <v>408</v>
      </c>
      <c r="P62" s="36">
        <f t="shared" si="6"/>
        <v>6.7857139046741963</v>
      </c>
      <c r="Q62" s="36">
        <f>VLOOKUP(B62,怪物属性!$O$11:$AF$60,17,FALSE)</f>
        <v>1348</v>
      </c>
      <c r="R62" s="36">
        <f t="shared" si="7"/>
        <v>13.53101962416612</v>
      </c>
      <c r="S62" s="36">
        <v>41</v>
      </c>
      <c r="T62" s="36">
        <v>1</v>
      </c>
      <c r="U62" s="36">
        <f t="shared" si="8"/>
        <v>0.31373061108758638</v>
      </c>
      <c r="V62" s="36">
        <f t="shared" si="9"/>
        <v>1.4630045506007379</v>
      </c>
      <c r="W62" s="36">
        <f t="shared" si="10"/>
        <v>0.14790324299662266</v>
      </c>
      <c r="X62" s="36">
        <f t="shared" si="11"/>
        <v>0.81646712713564651</v>
      </c>
      <c r="Y62" s="36">
        <f t="shared" si="12"/>
        <v>0.19450111327075417</v>
      </c>
      <c r="Z62" s="36">
        <f t="shared" si="13"/>
        <v>0.36684339382239484</v>
      </c>
      <c r="AA62" s="36">
        <f t="shared" si="14"/>
        <v>0.73150227530036893</v>
      </c>
    </row>
    <row r="63" spans="2:27" x14ac:dyDescent="0.15">
      <c r="B63" s="36">
        <v>42</v>
      </c>
      <c r="C63" s="36">
        <f>VLOOKUP(B63,怪物属性!$O$11:$AF$60,3,FALSE)</f>
        <v>1417</v>
      </c>
      <c r="D63" s="36">
        <f t="shared" si="15"/>
        <v>18.601833359868479</v>
      </c>
      <c r="E63" s="36">
        <f>VLOOKUP(B63,怪物属性!$O$11:$AF$60,5,FALSE)</f>
        <v>1060</v>
      </c>
      <c r="F63" s="36">
        <f t="shared" si="16"/>
        <v>5.9387717153651662</v>
      </c>
      <c r="G63" s="36">
        <f>VLOOKUP(B63,怪物属性!$O$11:$AF$60,7,FALSE)</f>
        <v>14220</v>
      </c>
      <c r="H63" s="36">
        <f t="shared" si="17"/>
        <v>27.852984925653061</v>
      </c>
      <c r="I63" s="36">
        <f>VLOOKUP(B63,怪物属性!$O$11:$AF$60,9,FALSE)</f>
        <v>771</v>
      </c>
      <c r="J63" s="36">
        <f t="shared" si="18"/>
        <v>2.7680504683549825</v>
      </c>
      <c r="K63" s="36">
        <f>VLOOKUP(B63,怪物属性!$O$11:$AF$60,11,FALSE)</f>
        <v>383</v>
      </c>
      <c r="L63" s="36">
        <f t="shared" si="4"/>
        <v>22.66587033137677</v>
      </c>
      <c r="M63" s="36">
        <f>VLOOKUP(B63,怪物属性!$O$11:$AF$60,13,FALSE)</f>
        <v>827</v>
      </c>
      <c r="N63" s="36">
        <f t="shared" si="5"/>
        <v>3.6433751624880237</v>
      </c>
      <c r="O63" s="36">
        <f>VLOOKUP(B63,怪物属性!$O$11:$AF$60,15,FALSE)</f>
        <v>413</v>
      </c>
      <c r="P63" s="36">
        <f t="shared" si="6"/>
        <v>6.964285323218256</v>
      </c>
      <c r="Q63" s="36">
        <f>VLOOKUP(B63,怪物属性!$O$11:$AF$60,17,FALSE)</f>
        <v>1367</v>
      </c>
      <c r="R63" s="36">
        <f t="shared" si="7"/>
        <v>13.926492462826531</v>
      </c>
      <c r="S63" s="36">
        <v>42</v>
      </c>
      <c r="T63" s="36">
        <v>1</v>
      </c>
      <c r="U63" s="36">
        <f t="shared" si="8"/>
        <v>0.31925733342915802</v>
      </c>
      <c r="V63" s="36">
        <f t="shared" si="9"/>
        <v>1.4973247199248101</v>
      </c>
      <c r="W63" s="36">
        <f t="shared" si="10"/>
        <v>0.14880525025703992</v>
      </c>
      <c r="X63" s="36">
        <f t="shared" si="11"/>
        <v>0.82069795193867445</v>
      </c>
      <c r="Y63" s="36">
        <f t="shared" si="12"/>
        <v>0.19586107949704715</v>
      </c>
      <c r="Z63" s="36">
        <f t="shared" si="13"/>
        <v>0.37438703962604986</v>
      </c>
      <c r="AA63" s="36">
        <f t="shared" si="14"/>
        <v>0.74866235996240504</v>
      </c>
    </row>
    <row r="64" spans="2:27" x14ac:dyDescent="0.15">
      <c r="B64" s="36">
        <v>43</v>
      </c>
      <c r="C64" s="36">
        <f>VLOOKUP(B64,怪物属性!$O$11:$AF$60,3,FALSE)</f>
        <v>1441</v>
      </c>
      <c r="D64" s="36">
        <f t="shared" si="15"/>
        <v>18.698002592698767</v>
      </c>
      <c r="E64" s="36">
        <f>VLOOKUP(B64,怪物属性!$O$11:$AF$60,5,FALSE)</f>
        <v>1078</v>
      </c>
      <c r="F64" s="36">
        <f t="shared" si="16"/>
        <v>6.0822588172129182</v>
      </c>
      <c r="G64" s="36">
        <f>VLOOKUP(B64,怪物属性!$O$11:$AF$60,7,FALSE)</f>
        <v>14507</v>
      </c>
      <c r="H64" s="36">
        <f t="shared" si="17"/>
        <v>28.652285662945573</v>
      </c>
      <c r="I64" s="36">
        <f>VLOOKUP(B64,怪物属性!$O$11:$AF$60,9,FALSE)</f>
        <v>779</v>
      </c>
      <c r="J64" s="36">
        <f t="shared" si="18"/>
        <v>2.7966571855737583</v>
      </c>
      <c r="K64" s="36">
        <f>VLOOKUP(B64,怪物属性!$O$11:$AF$60,11,FALSE)</f>
        <v>388</v>
      </c>
      <c r="L64" s="36">
        <f t="shared" si="4"/>
        <v>22.675865478553089</v>
      </c>
      <c r="M64" s="36">
        <f>VLOOKUP(B64,怪物属性!$O$11:$AF$60,13,FALSE)</f>
        <v>837</v>
      </c>
      <c r="N64" s="36">
        <f t="shared" si="5"/>
        <v>3.6928654693701368</v>
      </c>
      <c r="O64" s="36">
        <f>VLOOKUP(B64,怪物属性!$O$11:$AF$60,15,FALSE)</f>
        <v>417</v>
      </c>
      <c r="P64" s="36">
        <f t="shared" si="6"/>
        <v>7.1071424580535023</v>
      </c>
      <c r="Q64" s="36">
        <f>VLOOKUP(B64,怪物属性!$O$11:$AF$60,17,FALSE)</f>
        <v>1388</v>
      </c>
      <c r="R64" s="36">
        <f t="shared" si="7"/>
        <v>14.326142831472787</v>
      </c>
      <c r="S64" s="36">
        <v>43</v>
      </c>
      <c r="T64" s="36">
        <v>1</v>
      </c>
      <c r="U64" s="36">
        <f t="shared" si="8"/>
        <v>0.3252892273952262</v>
      </c>
      <c r="V64" s="36">
        <f t="shared" si="9"/>
        <v>1.5323714670001047</v>
      </c>
      <c r="W64" s="36">
        <f t="shared" si="10"/>
        <v>0.14956983622763015</v>
      </c>
      <c r="X64" s="36">
        <f t="shared" si="11"/>
        <v>0.82457724096058882</v>
      </c>
      <c r="Y64" s="36">
        <f t="shared" si="12"/>
        <v>0.19750053253346611</v>
      </c>
      <c r="Z64" s="36">
        <f t="shared" si="13"/>
        <v>0.38010169390118242</v>
      </c>
      <c r="AA64" s="36">
        <f t="shared" si="14"/>
        <v>0.76618573350005237</v>
      </c>
    </row>
    <row r="65" spans="2:27" x14ac:dyDescent="0.15">
      <c r="B65" s="36">
        <v>44</v>
      </c>
      <c r="C65" s="36">
        <f>VLOOKUP(B65,怪物属性!$O$11:$AF$60,3,FALSE)</f>
        <v>1465</v>
      </c>
      <c r="D65" s="36">
        <f t="shared" si="15"/>
        <v>18.790550691910827</v>
      </c>
      <c r="E65" s="36">
        <f>VLOOKUP(B65,怪物属性!$O$11:$AF$60,5,FALSE)</f>
        <v>1097</v>
      </c>
      <c r="F65" s="36">
        <f t="shared" si="16"/>
        <v>6.2337174247188747</v>
      </c>
      <c r="G65" s="36">
        <f>VLOOKUP(B65,怪物属性!$O$11:$AF$60,7,FALSE)</f>
        <v>14795</v>
      </c>
      <c r="H65" s="36">
        <f t="shared" si="17"/>
        <v>29.454371420228654</v>
      </c>
      <c r="I65" s="36">
        <f>VLOOKUP(B65,怪物属性!$O$11:$AF$60,9,FALSE)</f>
        <v>787</v>
      </c>
      <c r="J65" s="36">
        <f t="shared" si="18"/>
        <v>2.8252710974268154</v>
      </c>
      <c r="K65" s="36">
        <f>VLOOKUP(B65,怪物属性!$O$11:$AF$60,11,FALSE)</f>
        <v>392</v>
      </c>
      <c r="L65" s="36">
        <f t="shared" si="4"/>
        <v>22.683690766116104</v>
      </c>
      <c r="M65" s="36">
        <f>VLOOKUP(B65,怪物属性!$O$11:$AF$60,13,FALSE)</f>
        <v>846</v>
      </c>
      <c r="N65" s="36">
        <f t="shared" si="5"/>
        <v>3.7364064095738705</v>
      </c>
      <c r="O65" s="36">
        <f>VLOOKUP(B65,怪物属性!$O$11:$AF$60,15,FALSE)</f>
        <v>422</v>
      </c>
      <c r="P65" s="36">
        <f t="shared" si="6"/>
        <v>7.285713876597562</v>
      </c>
      <c r="Q65" s="36">
        <f>VLOOKUP(B65,怪物属性!$O$11:$AF$60,17,FALSE)</f>
        <v>1411</v>
      </c>
      <c r="R65" s="36">
        <f t="shared" si="7"/>
        <v>14.727185710114327</v>
      </c>
      <c r="S65" s="36">
        <v>44</v>
      </c>
      <c r="T65" s="36">
        <v>1</v>
      </c>
      <c r="U65" s="36">
        <f t="shared" si="8"/>
        <v>0.33174745790725746</v>
      </c>
      <c r="V65" s="36">
        <f t="shared" si="9"/>
        <v>1.5675097501484356</v>
      </c>
      <c r="W65" s="36">
        <f t="shared" si="10"/>
        <v>0.15035594984680628</v>
      </c>
      <c r="X65" s="36">
        <f t="shared" si="11"/>
        <v>0.82837272318926691</v>
      </c>
      <c r="Y65" s="36">
        <f t="shared" si="12"/>
        <v>0.19884496579349117</v>
      </c>
      <c r="Z65" s="36">
        <f t="shared" si="13"/>
        <v>0.38773285552157871</v>
      </c>
      <c r="AA65" s="36">
        <f t="shared" si="14"/>
        <v>0.78375487507421782</v>
      </c>
    </row>
    <row r="66" spans="2:27" x14ac:dyDescent="0.15">
      <c r="B66" s="36">
        <v>45</v>
      </c>
      <c r="C66" s="36">
        <f>VLOOKUP(B66,怪物属性!$O$11:$AF$60,3,FALSE)</f>
        <v>1489</v>
      </c>
      <c r="D66" s="36">
        <f t="shared" si="15"/>
        <v>18.87967512566194</v>
      </c>
      <c r="E66" s="36">
        <f>VLOOKUP(B66,怪物属性!$O$11:$AF$60,5,FALSE)</f>
        <v>1115</v>
      </c>
      <c r="F66" s="36">
        <f t="shared" si="16"/>
        <v>6.3772045265666231</v>
      </c>
      <c r="G66" s="36">
        <f>VLOOKUP(B66,怪物属性!$O$11:$AF$60,7,FALSE)</f>
        <v>15084</v>
      </c>
      <c r="H66" s="36">
        <f t="shared" si="17"/>
        <v>30.259242197502296</v>
      </c>
      <c r="I66" s="36">
        <f>VLOOKUP(B66,怪物属性!$O$11:$AF$60,9,FALSE)</f>
        <v>795</v>
      </c>
      <c r="J66" s="36">
        <f t="shared" si="18"/>
        <v>2.8538831940988367</v>
      </c>
      <c r="K66" s="36">
        <f>VLOOKUP(B66,怪物属性!$O$11:$AF$60,11,FALSE)</f>
        <v>396</v>
      </c>
      <c r="L66" s="36">
        <f t="shared" si="4"/>
        <v>22.691368846513804</v>
      </c>
      <c r="M66" s="36">
        <f>VLOOKUP(B66,怪物属性!$O$11:$AF$60,13,FALSE)</f>
        <v>855</v>
      </c>
      <c r="N66" s="36">
        <f t="shared" si="5"/>
        <v>3.7790306984048918</v>
      </c>
      <c r="O66" s="36">
        <f>VLOOKUP(B66,怪物属性!$O$11:$AF$60,15,FALSE)</f>
        <v>426</v>
      </c>
      <c r="P66" s="36">
        <f t="shared" si="6"/>
        <v>7.4285710114328047</v>
      </c>
      <c r="Q66" s="36">
        <f>VLOOKUP(B66,怪物属性!$O$11:$AF$60,17,FALSE)</f>
        <v>1433</v>
      </c>
      <c r="R66" s="36">
        <f t="shared" si="7"/>
        <v>15.129621098751148</v>
      </c>
      <c r="S66" s="36">
        <v>45</v>
      </c>
      <c r="T66" s="36">
        <v>1</v>
      </c>
      <c r="U66" s="36">
        <f t="shared" si="8"/>
        <v>0.33778147579978718</v>
      </c>
      <c r="V66" s="36">
        <f t="shared" si="9"/>
        <v>1.6027416783444983</v>
      </c>
      <c r="W66" s="36">
        <f t="shared" si="10"/>
        <v>0.15116166857234398</v>
      </c>
      <c r="X66" s="36">
        <f t="shared" si="11"/>
        <v>0.83202010655970293</v>
      </c>
      <c r="Y66" s="36">
        <f t="shared" si="12"/>
        <v>0.20016396856682644</v>
      </c>
      <c r="Z66" s="36">
        <f t="shared" si="13"/>
        <v>0.39346921819304087</v>
      </c>
      <c r="AA66" s="36">
        <f t="shared" si="14"/>
        <v>0.80137083917224916</v>
      </c>
    </row>
    <row r="67" spans="2:27" x14ac:dyDescent="0.15">
      <c r="B67" s="36">
        <v>46</v>
      </c>
      <c r="C67" s="36">
        <f>VLOOKUP(B67,怪物属性!$O$11:$AF$60,3,FALSE)</f>
        <v>1513</v>
      </c>
      <c r="D67" s="36">
        <f t="shared" si="15"/>
        <v>18.965559435890906</v>
      </c>
      <c r="E67" s="36">
        <f>VLOOKUP(B67,怪物属性!$O$11:$AF$60,5,FALSE)</f>
        <v>1134</v>
      </c>
      <c r="F67" s="36">
        <f t="shared" si="16"/>
        <v>6.5286631340725814</v>
      </c>
      <c r="G67" s="36">
        <f>VLOOKUP(B67,怪物属性!$O$11:$AF$60,7,FALSE)</f>
        <v>15376</v>
      </c>
      <c r="H67" s="36">
        <f t="shared" si="17"/>
        <v>31.072468034747644</v>
      </c>
      <c r="I67" s="36">
        <f>VLOOKUP(B67,怪物属性!$O$11:$AF$60,9,FALSE)</f>
        <v>803</v>
      </c>
      <c r="J67" s="36">
        <f t="shared" si="18"/>
        <v>2.8825059366275037</v>
      </c>
      <c r="K67" s="36">
        <f>VLOOKUP(B67,怪物属性!$O$11:$AF$60,11,FALSE)</f>
        <v>399</v>
      </c>
      <c r="L67" s="36">
        <f t="shared" si="4"/>
        <v>22.697033283394997</v>
      </c>
      <c r="M67" s="36">
        <f>VLOOKUP(B67,怪物属性!$O$11:$AF$60,13,FALSE)</f>
        <v>864</v>
      </c>
      <c r="N67" s="36">
        <f t="shared" si="5"/>
        <v>3.8207669812185969</v>
      </c>
      <c r="O67" s="36">
        <f>VLOOKUP(B67,怪物属性!$O$11:$AF$60,15,FALSE)</f>
        <v>432</v>
      </c>
      <c r="P67" s="36">
        <f t="shared" si="6"/>
        <v>7.6428567136856742</v>
      </c>
      <c r="Q67" s="36">
        <f>VLOOKUP(B67,怪物属性!$O$11:$AF$60,17,FALSE)</f>
        <v>1454</v>
      </c>
      <c r="R67" s="36">
        <f t="shared" si="7"/>
        <v>15.536234017373822</v>
      </c>
      <c r="S67" s="36">
        <v>46</v>
      </c>
      <c r="T67" s="36">
        <v>1</v>
      </c>
      <c r="U67" s="36">
        <f t="shared" si="8"/>
        <v>0.34423783575387573</v>
      </c>
      <c r="V67" s="36">
        <f t="shared" si="9"/>
        <v>1.6383628513454402</v>
      </c>
      <c r="W67" s="36">
        <f t="shared" si="10"/>
        <v>0.15198633851910406</v>
      </c>
      <c r="X67" s="36">
        <f t="shared" si="11"/>
        <v>0.83559640588649031</v>
      </c>
      <c r="Y67" s="36">
        <f t="shared" si="12"/>
        <v>0.20145817444161865</v>
      </c>
      <c r="Z67" s="36">
        <f t="shared" si="13"/>
        <v>0.40298609379389772</v>
      </c>
      <c r="AA67" s="36">
        <f t="shared" si="14"/>
        <v>0.81918142567272012</v>
      </c>
    </row>
    <row r="68" spans="2:27" x14ac:dyDescent="0.15">
      <c r="B68" s="36">
        <v>47</v>
      </c>
      <c r="C68" s="36">
        <f>VLOOKUP(B68,怪物属性!$O$11:$AF$60,3,FALSE)</f>
        <v>1537</v>
      </c>
      <c r="D68" s="36">
        <f t="shared" si="15"/>
        <v>19.048374432950563</v>
      </c>
      <c r="E68" s="36">
        <f>VLOOKUP(B68,怪物属性!$O$11:$AF$60,5,FALSE)</f>
        <v>1151</v>
      </c>
      <c r="F68" s="36">
        <f t="shared" si="16"/>
        <v>6.6641787302621234</v>
      </c>
      <c r="G68" s="36">
        <f>VLOOKUP(B68,怪物属性!$O$11:$AF$60,7,FALSE)</f>
        <v>15670</v>
      </c>
      <c r="H68" s="36">
        <f t="shared" si="17"/>
        <v>31.891263911974121</v>
      </c>
      <c r="I68" s="36">
        <f>VLOOKUP(B68,怪物属性!$O$11:$AF$60,9,FALSE)</f>
        <v>811</v>
      </c>
      <c r="J68" s="36">
        <f t="shared" si="18"/>
        <v>2.9111226445521905</v>
      </c>
      <c r="K68" s="36">
        <f>VLOOKUP(B68,怪物属性!$O$11:$AF$60,11,FALSE)</f>
        <v>403</v>
      </c>
      <c r="L68" s="36">
        <f t="shared" si="4"/>
        <v>22.704463561590583</v>
      </c>
      <c r="M68" s="36">
        <f>VLOOKUP(B68,怪物属性!$O$11:$AF$60,13,FALSE)</f>
        <v>874</v>
      </c>
      <c r="N68" s="36">
        <f t="shared" si="5"/>
        <v>3.8661325060161111</v>
      </c>
      <c r="O68" s="36">
        <f>VLOOKUP(B68,怪物属性!$O$11:$AF$60,15,FALSE)</f>
        <v>436</v>
      </c>
      <c r="P68" s="36">
        <f t="shared" si="6"/>
        <v>7.785713848520917</v>
      </c>
      <c r="Q68" s="36">
        <f>VLOOKUP(B68,怪物属性!$O$11:$AF$60,17,FALSE)</f>
        <v>1477</v>
      </c>
      <c r="R68" s="36">
        <f t="shared" si="7"/>
        <v>15.945631955987061</v>
      </c>
      <c r="S68" s="36">
        <v>47</v>
      </c>
      <c r="T68" s="36">
        <v>1</v>
      </c>
      <c r="U68" s="36">
        <f t="shared" si="8"/>
        <v>0.34985550886348532</v>
      </c>
      <c r="V68" s="36">
        <f t="shared" si="9"/>
        <v>1.6742249594174012</v>
      </c>
      <c r="W68" s="36">
        <f t="shared" si="10"/>
        <v>0.15282787803228109</v>
      </c>
      <c r="X68" s="36">
        <f t="shared" si="11"/>
        <v>0.83897046857230884</v>
      </c>
      <c r="Y68" s="36">
        <f t="shared" si="12"/>
        <v>0.2029639074780227</v>
      </c>
      <c r="Z68" s="36">
        <f t="shared" si="13"/>
        <v>0.40873376759398999</v>
      </c>
      <c r="AA68" s="36">
        <f t="shared" si="14"/>
        <v>0.83711247970870062</v>
      </c>
    </row>
    <row r="69" spans="2:27" x14ac:dyDescent="0.15">
      <c r="B69" s="36">
        <v>48</v>
      </c>
      <c r="C69" s="36">
        <f>VLOOKUP(B69,怪物属性!$O$11:$AF$60,3,FALSE)</f>
        <v>1562</v>
      </c>
      <c r="D69" s="36">
        <f t="shared" si="15"/>
        <v>19.131547712556699</v>
      </c>
      <c r="E69" s="36">
        <f>VLOOKUP(B69,怪物属性!$O$11:$AF$60,5,FALSE)</f>
        <v>1169</v>
      </c>
      <c r="F69" s="36">
        <f t="shared" si="16"/>
        <v>6.80766583210987</v>
      </c>
      <c r="G69" s="36">
        <f>VLOOKUP(B69,怪物属性!$O$11:$AF$60,7,FALSE)</f>
        <v>15966</v>
      </c>
      <c r="H69" s="36">
        <f t="shared" si="17"/>
        <v>32.715629829181729</v>
      </c>
      <c r="I69" s="36">
        <f>VLOOKUP(B69,怪物属性!$O$11:$AF$60,9,FALSE)</f>
        <v>820</v>
      </c>
      <c r="J69" s="36">
        <f t="shared" si="18"/>
        <v>2.9433348375805495</v>
      </c>
      <c r="K69" s="36">
        <f>VLOOKUP(B69,怪物属性!$O$11:$AF$60,11,FALSE)</f>
        <v>408</v>
      </c>
      <c r="L69" s="36">
        <f t="shared" si="4"/>
        <v>22.713560243083275</v>
      </c>
      <c r="M69" s="36">
        <f>VLOOKUP(B69,怪物属性!$O$11:$AF$60,13,FALSE)</f>
        <v>883</v>
      </c>
      <c r="N69" s="36">
        <f t="shared" si="5"/>
        <v>3.906082938725671</v>
      </c>
      <c r="O69" s="36">
        <f>VLOOKUP(B69,怪物属性!$O$11:$AF$60,15,FALSE)</f>
        <v>441</v>
      </c>
      <c r="P69" s="36">
        <f t="shared" si="6"/>
        <v>7.9642852670649802</v>
      </c>
      <c r="Q69" s="36">
        <f>VLOOKUP(B69,怪物属性!$O$11:$AF$60,17,FALSE)</f>
        <v>1500</v>
      </c>
      <c r="R69" s="36">
        <f t="shared" si="7"/>
        <v>16.357814914590865</v>
      </c>
      <c r="S69" s="36">
        <v>48</v>
      </c>
      <c r="T69" s="36">
        <v>1</v>
      </c>
      <c r="U69" s="36">
        <f t="shared" si="8"/>
        <v>0.35583455841587569</v>
      </c>
      <c r="V69" s="36">
        <f t="shared" si="9"/>
        <v>1.7100357127776613</v>
      </c>
      <c r="W69" s="36">
        <f t="shared" si="10"/>
        <v>0.15384718904099623</v>
      </c>
      <c r="X69" s="36">
        <f t="shared" si="11"/>
        <v>0.84229629823808139</v>
      </c>
      <c r="Y69" s="36">
        <f t="shared" si="12"/>
        <v>0.20416973040618</v>
      </c>
      <c r="Z69" s="36">
        <f t="shared" si="13"/>
        <v>0.41629069360853349</v>
      </c>
      <c r="AA69" s="36">
        <f t="shared" si="14"/>
        <v>0.85501785638883065</v>
      </c>
    </row>
    <row r="70" spans="2:27" x14ac:dyDescent="0.15">
      <c r="B70" s="36">
        <v>49</v>
      </c>
      <c r="C70" s="36">
        <f>VLOOKUP(B70,怪物属性!$O$11:$AF$60,3,FALSE)</f>
        <v>1586</v>
      </c>
      <c r="D70" s="36">
        <f t="shared" si="15"/>
        <v>19.208578858592258</v>
      </c>
      <c r="E70" s="36">
        <f>VLOOKUP(B70,怪物属性!$O$11:$AF$60,5,FALSE)</f>
        <v>1188</v>
      </c>
      <c r="F70" s="36">
        <f t="shared" si="16"/>
        <v>6.9591244396158283</v>
      </c>
      <c r="G70" s="36">
        <f>VLOOKUP(B70,怪物属性!$O$11:$AF$60,7,FALSE)</f>
        <v>16264</v>
      </c>
      <c r="H70" s="36">
        <f t="shared" si="17"/>
        <v>33.545565786370474</v>
      </c>
      <c r="I70" s="36">
        <f>VLOOKUP(B70,怪物属性!$O$11:$AF$60,9,FALSE)</f>
        <v>827</v>
      </c>
      <c r="J70" s="36">
        <f t="shared" si="18"/>
        <v>2.9683663282810597</v>
      </c>
      <c r="K70" s="36">
        <f>VLOOKUP(B70,怪物属性!$O$11:$AF$60,11,FALSE)</f>
        <v>411</v>
      </c>
      <c r="L70" s="36">
        <f t="shared" si="4"/>
        <v>22.718919075560432</v>
      </c>
      <c r="M70" s="36">
        <f>VLOOKUP(B70,怪物属性!$O$11:$AF$60,13,FALSE)</f>
        <v>893</v>
      </c>
      <c r="N70" s="36">
        <f t="shared" si="5"/>
        <v>3.9495278537289771</v>
      </c>
      <c r="O70" s="36">
        <f>VLOOKUP(B70,怪物属性!$O$11:$AF$60,15,FALSE)</f>
        <v>447</v>
      </c>
      <c r="P70" s="36">
        <f t="shared" si="6"/>
        <v>8.1785709693178497</v>
      </c>
      <c r="Q70" s="36">
        <f>VLOOKUP(B70,怪物属性!$O$11:$AF$60,17,FALSE)</f>
        <v>1523</v>
      </c>
      <c r="R70" s="36">
        <f t="shared" si="7"/>
        <v>16.772782893185237</v>
      </c>
      <c r="S70" s="36">
        <v>49</v>
      </c>
      <c r="T70" s="36">
        <v>1</v>
      </c>
      <c r="U70" s="36">
        <f t="shared" si="8"/>
        <v>0.3622925199644802</v>
      </c>
      <c r="V70" s="36">
        <f t="shared" si="9"/>
        <v>1.7463845729204004</v>
      </c>
      <c r="W70" s="36">
        <f t="shared" si="10"/>
        <v>0.15453336502056056</v>
      </c>
      <c r="X70" s="36">
        <f t="shared" si="11"/>
        <v>0.84548823800581363</v>
      </c>
      <c r="Y70" s="36">
        <f t="shared" si="12"/>
        <v>0.20561270476094068</v>
      </c>
      <c r="Z70" s="36">
        <f t="shared" si="13"/>
        <v>0.42577699420274728</v>
      </c>
      <c r="AA70" s="36">
        <f t="shared" si="14"/>
        <v>0.8731922864602002</v>
      </c>
    </row>
    <row r="71" spans="2:27" x14ac:dyDescent="0.15">
      <c r="B71" s="36">
        <v>50</v>
      </c>
      <c r="C71" s="36">
        <f>VLOOKUP(B71,怪物属性!$O$11:$AF$60,3,FALSE)</f>
        <v>1610</v>
      </c>
      <c r="D71" s="36">
        <f t="shared" si="15"/>
        <v>19.282992536730717</v>
      </c>
      <c r="E71" s="36">
        <f>VLOOKUP(B71,怪物属性!$O$11:$AF$60,5,FALSE)</f>
        <v>1205</v>
      </c>
      <c r="F71" s="36">
        <f t="shared" si="16"/>
        <v>7.0946400358053685</v>
      </c>
      <c r="G71" s="36">
        <f>VLOOKUP(B71,怪物属性!$O$11:$AF$60,7,FALSE)</f>
        <v>16564</v>
      </c>
      <c r="H71" s="36">
        <f t="shared" si="17"/>
        <v>34.381071783540342</v>
      </c>
      <c r="I71" s="36">
        <f>VLOOKUP(B71,怪物属性!$O$11:$AF$60,9,FALSE)</f>
        <v>836</v>
      </c>
      <c r="J71" s="36">
        <f t="shared" si="18"/>
        <v>3.0005820453281773</v>
      </c>
      <c r="K71" s="36">
        <f>VLOOKUP(B71,怪物属性!$O$11:$AF$60,11,FALSE)</f>
        <v>416</v>
      </c>
      <c r="L71" s="36">
        <f t="shared" si="4"/>
        <v>22.727689994914051</v>
      </c>
      <c r="M71" s="36">
        <f>VLOOKUP(B71,怪物属性!$O$11:$AF$60,13,FALSE)</f>
        <v>903</v>
      </c>
      <c r="N71" s="36">
        <f t="shared" si="5"/>
        <v>3.9920105336270062</v>
      </c>
      <c r="O71" s="36">
        <f>VLOOKUP(B71,怪物属性!$O$11:$AF$60,15,FALSE)</f>
        <v>451</v>
      </c>
      <c r="P71" s="36">
        <f t="shared" si="6"/>
        <v>8.321428104153096</v>
      </c>
      <c r="Q71" s="36">
        <f>VLOOKUP(B71,怪物属性!$O$11:$AF$60,17,FALSE)</f>
        <v>1546</v>
      </c>
      <c r="R71" s="36">
        <f t="shared" si="7"/>
        <v>17.190535891770171</v>
      </c>
      <c r="S71" s="36">
        <v>50</v>
      </c>
      <c r="T71" s="36">
        <v>1</v>
      </c>
      <c r="U71" s="36">
        <f t="shared" si="8"/>
        <v>0.36792214809456181</v>
      </c>
      <c r="V71" s="36">
        <f t="shared" si="9"/>
        <v>1.7829738676738289</v>
      </c>
      <c r="W71" s="36">
        <f t="shared" si="10"/>
        <v>0.15560769624385815</v>
      </c>
      <c r="X71" s="36">
        <f t="shared" si="11"/>
        <v>0.84843609451932067</v>
      </c>
      <c r="Y71" s="36">
        <f t="shared" si="12"/>
        <v>0.20702235537471306</v>
      </c>
      <c r="Z71" s="36">
        <f t="shared" si="13"/>
        <v>0.43154235984390055</v>
      </c>
      <c r="AA71" s="36">
        <f t="shared" si="14"/>
        <v>0.89148693383691446</v>
      </c>
    </row>
  </sheetData>
  <mergeCells count="34">
    <mergeCell ref="C2:F3"/>
    <mergeCell ref="H2:K3"/>
    <mergeCell ref="C16:C17"/>
    <mergeCell ref="D16:F17"/>
    <mergeCell ref="H16:J17"/>
    <mergeCell ref="K16:K17"/>
    <mergeCell ref="C8:C9"/>
    <mergeCell ref="D8:F9"/>
    <mergeCell ref="H8:J9"/>
    <mergeCell ref="K8:K9"/>
    <mergeCell ref="C10:C11"/>
    <mergeCell ref="D10:F11"/>
    <mergeCell ref="H10:J11"/>
    <mergeCell ref="K10:K11"/>
    <mergeCell ref="C4:C5"/>
    <mergeCell ref="D4:F5"/>
    <mergeCell ref="C18:C19"/>
    <mergeCell ref="D18:F19"/>
    <mergeCell ref="H18:J19"/>
    <mergeCell ref="K18:K19"/>
    <mergeCell ref="C12:C13"/>
    <mergeCell ref="D12:F13"/>
    <mergeCell ref="H12:J13"/>
    <mergeCell ref="K12:K13"/>
    <mergeCell ref="C14:C15"/>
    <mergeCell ref="D14:F15"/>
    <mergeCell ref="H14:J15"/>
    <mergeCell ref="K14:K15"/>
    <mergeCell ref="H4:J5"/>
    <mergeCell ref="K4:K5"/>
    <mergeCell ref="C6:C7"/>
    <mergeCell ref="D6:F7"/>
    <mergeCell ref="H6:J7"/>
    <mergeCell ref="K6:K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60"/>
  <sheetViews>
    <sheetView workbookViewId="0">
      <pane ySplit="10" topLeftCell="A11" activePane="bottomLeft" state="frozen"/>
      <selection pane="bottomLeft" activeCell="Y26" sqref="Y26"/>
    </sheetView>
  </sheetViews>
  <sheetFormatPr defaultRowHeight="12" x14ac:dyDescent="0.15"/>
  <cols>
    <col min="1" max="16384" width="9" style="36"/>
  </cols>
  <sheetData>
    <row r="1" spans="1:17" x14ac:dyDescent="0.15">
      <c r="A1" s="37"/>
      <c r="B1" s="37" t="s">
        <v>140</v>
      </c>
      <c r="C1" s="37" t="s">
        <v>141</v>
      </c>
      <c r="D1" s="37" t="s">
        <v>142</v>
      </c>
      <c r="E1" s="37" t="s">
        <v>143</v>
      </c>
      <c r="G1" s="37"/>
      <c r="H1" s="37" t="s">
        <v>147</v>
      </c>
    </row>
    <row r="2" spans="1:17" x14ac:dyDescent="0.15">
      <c r="A2" s="37" t="s">
        <v>139</v>
      </c>
      <c r="B2" s="38">
        <f>SUM(F11:F60)</f>
        <v>246772.966478241</v>
      </c>
      <c r="C2" s="38">
        <f>B2/60</f>
        <v>4112.8827746373499</v>
      </c>
      <c r="D2" s="38">
        <f>C2/60</f>
        <v>68.548046243955838</v>
      </c>
      <c r="E2" s="38">
        <f>D2/24</f>
        <v>2.8561685934981598</v>
      </c>
      <c r="G2" s="37" t="s">
        <v>148</v>
      </c>
      <c r="H2" s="38">
        <v>5</v>
      </c>
    </row>
    <row r="10" spans="1:17" x14ac:dyDescent="0.15">
      <c r="A10" s="36" t="s">
        <v>163</v>
      </c>
      <c r="E10" s="36" t="s">
        <v>144</v>
      </c>
      <c r="F10" s="36" t="s">
        <v>145</v>
      </c>
      <c r="G10" s="36" t="s">
        <v>146</v>
      </c>
      <c r="H10" s="36" t="s">
        <v>150</v>
      </c>
      <c r="I10" s="36" t="s">
        <v>204</v>
      </c>
      <c r="J10" s="36" t="s">
        <v>151</v>
      </c>
      <c r="K10" s="36" t="s">
        <v>149</v>
      </c>
      <c r="L10" s="36" t="s">
        <v>152</v>
      </c>
      <c r="M10" s="36" t="s">
        <v>132</v>
      </c>
      <c r="N10" s="36" t="s">
        <v>153</v>
      </c>
      <c r="O10" s="36" t="s">
        <v>154</v>
      </c>
      <c r="P10" s="36" t="s">
        <v>263</v>
      </c>
      <c r="Q10" s="59" t="s">
        <v>301</v>
      </c>
    </row>
    <row r="11" spans="1:17" x14ac:dyDescent="0.15">
      <c r="A11" s="36">
        <f>怪物属性!E11</f>
        <v>132</v>
      </c>
      <c r="B11" s="39">
        <v>198</v>
      </c>
      <c r="E11" s="36">
        <v>1</v>
      </c>
      <c r="F11" s="36">
        <f>(E11-1)^2.5+60</f>
        <v>60</v>
      </c>
      <c r="G11" s="36">
        <f>INT(F11*VLOOKUP(E11,怪物属性!$B11:$C$60,2,FALSE)/$H$2)</f>
        <v>672</v>
      </c>
      <c r="H11" s="36">
        <f>500+INT(E11*3.75)+E11^2</f>
        <v>504</v>
      </c>
      <c r="I11" s="36">
        <f>299+INT(E11*2.75)+INT(E11^2/10)</f>
        <v>301</v>
      </c>
      <c r="J11" s="36">
        <f>50+INT(E11*4.5)</f>
        <v>54</v>
      </c>
      <c r="K11" s="36">
        <f>38+INT(E11*3.37)</f>
        <v>41</v>
      </c>
      <c r="L11" s="36">
        <f>199+INT(E11*1.5)</f>
        <v>200</v>
      </c>
      <c r="M11" s="36">
        <f>99+INT(E11*0.75)</f>
        <v>99</v>
      </c>
      <c r="N11" s="36">
        <f>199+INT(E11*1.75)</f>
        <v>200</v>
      </c>
      <c r="O11" s="36">
        <f>99+INT(E11*0.88)</f>
        <v>99</v>
      </c>
      <c r="P11" s="36">
        <v>2000</v>
      </c>
      <c r="Q11" s="59">
        <f>ROUNDUP(G11/怪物属性!C11,0)</f>
        <v>12</v>
      </c>
    </row>
    <row r="12" spans="1:17" x14ac:dyDescent="0.15">
      <c r="A12" s="36">
        <f>怪物属性!E12</f>
        <v>141</v>
      </c>
      <c r="B12" s="36">
        <v>211</v>
      </c>
      <c r="E12" s="36">
        <v>2</v>
      </c>
      <c r="F12" s="36">
        <f t="shared" ref="F12:F60" si="0">(E12-1)^2.5+60</f>
        <v>61</v>
      </c>
      <c r="G12" s="36">
        <f>INT(F12*VLOOKUP(E12,怪物属性!$B12:$C$60,2,FALSE)/$H$2)</f>
        <v>695</v>
      </c>
      <c r="H12" s="36">
        <f t="shared" ref="H12:H60" si="1">500+INT(E12*3.75)+E12^2</f>
        <v>511</v>
      </c>
      <c r="I12" s="36">
        <f t="shared" ref="I12:I60" si="2">299+INT(E12*2.75)+INT(E12^2/10)</f>
        <v>304</v>
      </c>
      <c r="J12" s="36">
        <f t="shared" ref="J12:J60" si="3">50+INT(E12*4.5)</f>
        <v>59</v>
      </c>
      <c r="K12" s="36">
        <f t="shared" ref="K12:K60" si="4">38+INT(E12*3.37)</f>
        <v>44</v>
      </c>
      <c r="L12" s="36">
        <f t="shared" ref="L12:L60" si="5">199+INT(E12*1.5)</f>
        <v>202</v>
      </c>
      <c r="M12" s="36">
        <f t="shared" ref="M12:M60" si="6">99+INT(E12*0.75)</f>
        <v>100</v>
      </c>
      <c r="N12" s="36">
        <f>199+INT(E12*1.75)</f>
        <v>202</v>
      </c>
      <c r="O12" s="36">
        <f t="shared" ref="O12:O60" si="7">99+INT(E12*0.88)</f>
        <v>100</v>
      </c>
      <c r="P12" s="36">
        <v>2000</v>
      </c>
      <c r="Q12" s="59">
        <f>ROUNDUP(G12/怪物属性!C12,0)</f>
        <v>13</v>
      </c>
    </row>
    <row r="13" spans="1:17" x14ac:dyDescent="0.15">
      <c r="A13" s="36">
        <f>怪物属性!E13</f>
        <v>150</v>
      </c>
      <c r="B13" s="36">
        <v>224</v>
      </c>
      <c r="E13" s="36">
        <v>3</v>
      </c>
      <c r="F13" s="36">
        <f t="shared" si="0"/>
        <v>65.656854249492383</v>
      </c>
      <c r="G13" s="36">
        <f>INT(F13*VLOOKUP(E13,怪物属性!$B13:$C$60,2,FALSE)/$H$2)</f>
        <v>774</v>
      </c>
      <c r="H13" s="36">
        <f t="shared" si="1"/>
        <v>520</v>
      </c>
      <c r="I13" s="36">
        <f t="shared" si="2"/>
        <v>307</v>
      </c>
      <c r="J13" s="36">
        <f t="shared" si="3"/>
        <v>63</v>
      </c>
      <c r="K13" s="36">
        <f t="shared" si="4"/>
        <v>48</v>
      </c>
      <c r="L13" s="36">
        <f t="shared" si="5"/>
        <v>203</v>
      </c>
      <c r="M13" s="36">
        <f t="shared" si="6"/>
        <v>101</v>
      </c>
      <c r="N13" s="36">
        <f t="shared" ref="N13:N60" si="8">199+INT(E13*1.75)</f>
        <v>204</v>
      </c>
      <c r="O13" s="36">
        <f t="shared" si="7"/>
        <v>101</v>
      </c>
      <c r="P13" s="36">
        <v>2000</v>
      </c>
      <c r="Q13" s="59">
        <f>ROUNDUP(G13/怪物属性!C13,0)</f>
        <v>14</v>
      </c>
    </row>
    <row r="14" spans="1:17" x14ac:dyDescent="0.15">
      <c r="A14" s="36">
        <f>怪物属性!E14</f>
        <v>159</v>
      </c>
      <c r="B14" s="36">
        <v>237</v>
      </c>
      <c r="E14" s="36">
        <v>4</v>
      </c>
      <c r="F14" s="36">
        <f t="shared" si="0"/>
        <v>75.588457268119896</v>
      </c>
      <c r="G14" s="36">
        <f>INT(F14*VLOOKUP(E14,怪物属性!$B14:$C$60,2,FALSE)/$H$2)</f>
        <v>952</v>
      </c>
      <c r="H14" s="36">
        <f t="shared" si="1"/>
        <v>531</v>
      </c>
      <c r="I14" s="36">
        <f t="shared" si="2"/>
        <v>311</v>
      </c>
      <c r="J14" s="36">
        <f t="shared" si="3"/>
        <v>68</v>
      </c>
      <c r="K14" s="36">
        <f t="shared" si="4"/>
        <v>51</v>
      </c>
      <c r="L14" s="36">
        <f t="shared" si="5"/>
        <v>205</v>
      </c>
      <c r="M14" s="36">
        <f t="shared" si="6"/>
        <v>102</v>
      </c>
      <c r="N14" s="36">
        <f t="shared" si="8"/>
        <v>206</v>
      </c>
      <c r="O14" s="36">
        <f t="shared" si="7"/>
        <v>102</v>
      </c>
      <c r="P14" s="36">
        <v>2000</v>
      </c>
      <c r="Q14" s="59">
        <f>ROUNDUP(G14/怪物属性!C14,0)</f>
        <v>16</v>
      </c>
    </row>
    <row r="15" spans="1:17" x14ac:dyDescent="0.15">
      <c r="A15" s="36">
        <f>怪物属性!E15</f>
        <v>169</v>
      </c>
      <c r="B15" s="39">
        <v>251</v>
      </c>
      <c r="E15" s="36">
        <v>5</v>
      </c>
      <c r="F15" s="36">
        <f t="shared" si="0"/>
        <v>92</v>
      </c>
      <c r="G15" s="36">
        <f>INT(F15*VLOOKUP(E15,怪物属性!$B15:$C$60,2,FALSE)/$H$2)</f>
        <v>1232</v>
      </c>
      <c r="H15" s="36">
        <f t="shared" si="1"/>
        <v>543</v>
      </c>
      <c r="I15" s="36">
        <f t="shared" si="2"/>
        <v>314</v>
      </c>
      <c r="J15" s="36">
        <f t="shared" si="3"/>
        <v>72</v>
      </c>
      <c r="K15" s="36">
        <f t="shared" si="4"/>
        <v>54</v>
      </c>
      <c r="L15" s="36">
        <f t="shared" si="5"/>
        <v>206</v>
      </c>
      <c r="M15" s="36">
        <f t="shared" si="6"/>
        <v>102</v>
      </c>
      <c r="N15" s="36">
        <f t="shared" si="8"/>
        <v>207</v>
      </c>
      <c r="O15" s="36">
        <f t="shared" si="7"/>
        <v>103</v>
      </c>
      <c r="P15" s="36">
        <v>2000</v>
      </c>
      <c r="Q15" s="59">
        <f>ROUNDUP(G15/怪物属性!C15,0)</f>
        <v>19</v>
      </c>
    </row>
    <row r="16" spans="1:17" x14ac:dyDescent="0.15">
      <c r="A16" s="36">
        <f>怪物属性!E16</f>
        <v>179</v>
      </c>
      <c r="B16" s="36">
        <v>264</v>
      </c>
      <c r="E16" s="36">
        <v>6</v>
      </c>
      <c r="F16" s="36">
        <f t="shared" si="0"/>
        <v>115.90169943749473</v>
      </c>
      <c r="G16" s="36">
        <f>INT(F16*VLOOKUP(E16,怪物属性!$B16:$C$60,2,FALSE)/$H$2)</f>
        <v>1692</v>
      </c>
      <c r="H16" s="36">
        <f t="shared" si="1"/>
        <v>558</v>
      </c>
      <c r="I16" s="36">
        <f t="shared" si="2"/>
        <v>318</v>
      </c>
      <c r="J16" s="36">
        <f t="shared" si="3"/>
        <v>77</v>
      </c>
      <c r="K16" s="36">
        <f t="shared" si="4"/>
        <v>58</v>
      </c>
      <c r="L16" s="36">
        <f t="shared" si="5"/>
        <v>208</v>
      </c>
      <c r="M16" s="36">
        <f t="shared" si="6"/>
        <v>103</v>
      </c>
      <c r="N16" s="36">
        <f t="shared" si="8"/>
        <v>209</v>
      </c>
      <c r="O16" s="36">
        <f t="shared" si="7"/>
        <v>104</v>
      </c>
      <c r="P16" s="36">
        <v>2000</v>
      </c>
      <c r="Q16" s="59">
        <f>ROUNDUP(G16/怪物属性!C16,0)</f>
        <v>24</v>
      </c>
    </row>
    <row r="17" spans="1:17" x14ac:dyDescent="0.15">
      <c r="A17" s="36">
        <f>怪物属性!E17</f>
        <v>188</v>
      </c>
      <c r="B17" s="36">
        <v>278</v>
      </c>
      <c r="E17" s="36">
        <v>7</v>
      </c>
      <c r="F17" s="36">
        <f t="shared" si="0"/>
        <v>148.18163074019438</v>
      </c>
      <c r="G17" s="36">
        <f>INT(F17*VLOOKUP(E17,怪物属性!$B17:$C$60,2,FALSE)/$H$2)</f>
        <v>2341</v>
      </c>
      <c r="H17" s="36">
        <f t="shared" si="1"/>
        <v>575</v>
      </c>
      <c r="I17" s="36">
        <f t="shared" si="2"/>
        <v>322</v>
      </c>
      <c r="J17" s="36">
        <f t="shared" si="3"/>
        <v>81</v>
      </c>
      <c r="K17" s="36">
        <f t="shared" si="4"/>
        <v>61</v>
      </c>
      <c r="L17" s="36">
        <f t="shared" si="5"/>
        <v>209</v>
      </c>
      <c r="M17" s="36">
        <f t="shared" si="6"/>
        <v>104</v>
      </c>
      <c r="N17" s="36">
        <f t="shared" si="8"/>
        <v>211</v>
      </c>
      <c r="O17" s="36">
        <f t="shared" si="7"/>
        <v>105</v>
      </c>
      <c r="P17" s="36">
        <v>2000</v>
      </c>
      <c r="Q17" s="59">
        <f>ROUNDUP(G17/怪物属性!C17,0)</f>
        <v>30</v>
      </c>
    </row>
    <row r="18" spans="1:17" x14ac:dyDescent="0.15">
      <c r="A18" s="36">
        <f>怪物属性!E18</f>
        <v>198</v>
      </c>
      <c r="B18" s="36">
        <v>292</v>
      </c>
      <c r="E18" s="36">
        <v>8</v>
      </c>
      <c r="F18" s="36">
        <f t="shared" si="0"/>
        <v>189.64181424216488</v>
      </c>
      <c r="G18" s="36">
        <f>INT(F18*VLOOKUP(E18,怪物属性!$B18:$C$60,2,FALSE)/$H$2)</f>
        <v>3261</v>
      </c>
      <c r="H18" s="36">
        <f t="shared" si="1"/>
        <v>594</v>
      </c>
      <c r="I18" s="36">
        <f t="shared" si="2"/>
        <v>327</v>
      </c>
      <c r="J18" s="36">
        <f t="shared" si="3"/>
        <v>86</v>
      </c>
      <c r="K18" s="36">
        <f t="shared" si="4"/>
        <v>64</v>
      </c>
      <c r="L18" s="36">
        <f t="shared" si="5"/>
        <v>211</v>
      </c>
      <c r="M18" s="36">
        <f t="shared" si="6"/>
        <v>105</v>
      </c>
      <c r="N18" s="36">
        <f t="shared" si="8"/>
        <v>213</v>
      </c>
      <c r="O18" s="36">
        <f t="shared" si="7"/>
        <v>106</v>
      </c>
      <c r="P18" s="36">
        <v>2000</v>
      </c>
      <c r="Q18" s="59">
        <f>ROUNDUP(G18/怪物属性!C18,0)</f>
        <v>38</v>
      </c>
    </row>
    <row r="19" spans="1:17" x14ac:dyDescent="0.15">
      <c r="A19" s="36">
        <f>怪物属性!E19</f>
        <v>208</v>
      </c>
      <c r="B19" s="36">
        <v>306</v>
      </c>
      <c r="E19" s="36">
        <v>9</v>
      </c>
      <c r="F19" s="36">
        <f t="shared" si="0"/>
        <v>241.01933598375612</v>
      </c>
      <c r="G19" s="36">
        <f>INT(F19*VLOOKUP(E19,怪物属性!$B19:$C$60,2,FALSE)/$H$2)</f>
        <v>4531</v>
      </c>
      <c r="H19" s="36">
        <f t="shared" si="1"/>
        <v>614</v>
      </c>
      <c r="I19" s="36">
        <f t="shared" si="2"/>
        <v>331</v>
      </c>
      <c r="J19" s="36">
        <f t="shared" si="3"/>
        <v>90</v>
      </c>
      <c r="K19" s="36">
        <f t="shared" si="4"/>
        <v>68</v>
      </c>
      <c r="L19" s="36">
        <f t="shared" si="5"/>
        <v>212</v>
      </c>
      <c r="M19" s="36">
        <f t="shared" si="6"/>
        <v>105</v>
      </c>
      <c r="N19" s="36">
        <f t="shared" si="8"/>
        <v>214</v>
      </c>
      <c r="O19" s="36">
        <f t="shared" si="7"/>
        <v>106</v>
      </c>
      <c r="P19" s="36">
        <v>2000</v>
      </c>
      <c r="Q19" s="59">
        <f>ROUNDUP(G19/怪物属性!C19,0)</f>
        <v>49</v>
      </c>
    </row>
    <row r="20" spans="1:17" x14ac:dyDescent="0.15">
      <c r="A20" s="36">
        <f>怪物属性!E20</f>
        <v>218</v>
      </c>
      <c r="B20" s="39">
        <v>320</v>
      </c>
      <c r="E20" s="36">
        <v>10</v>
      </c>
      <c r="F20" s="36">
        <f t="shared" si="0"/>
        <v>303.00000000000017</v>
      </c>
      <c r="G20" s="36">
        <f>INT(F20*VLOOKUP(E20,怪物属性!$B20:$C$60,2,FALSE)/$H$2)</f>
        <v>6181</v>
      </c>
      <c r="H20" s="36">
        <f t="shared" si="1"/>
        <v>637</v>
      </c>
      <c r="I20" s="36">
        <f t="shared" si="2"/>
        <v>336</v>
      </c>
      <c r="J20" s="36">
        <f t="shared" si="3"/>
        <v>95</v>
      </c>
      <c r="K20" s="36">
        <f t="shared" si="4"/>
        <v>71</v>
      </c>
      <c r="L20" s="36">
        <f t="shared" si="5"/>
        <v>214</v>
      </c>
      <c r="M20" s="36">
        <f t="shared" si="6"/>
        <v>106</v>
      </c>
      <c r="N20" s="36">
        <f t="shared" si="8"/>
        <v>216</v>
      </c>
      <c r="O20" s="36">
        <f t="shared" si="7"/>
        <v>107</v>
      </c>
      <c r="P20" s="36">
        <v>2000</v>
      </c>
      <c r="Q20" s="59">
        <f>ROUNDUP(G20/怪物属性!C20,0)</f>
        <v>61</v>
      </c>
    </row>
    <row r="21" spans="1:17" x14ac:dyDescent="0.15">
      <c r="A21" s="36">
        <f>怪物属性!E21</f>
        <v>229</v>
      </c>
      <c r="B21" s="36">
        <v>335</v>
      </c>
      <c r="E21" s="36">
        <v>11</v>
      </c>
      <c r="F21" s="36">
        <f t="shared" si="0"/>
        <v>376.22776601683825</v>
      </c>
      <c r="G21" s="36">
        <f>INT(F21*VLOOKUP(E21,怪物属性!$B21:$C$60,2,FALSE)/$H$2)</f>
        <v>8427</v>
      </c>
      <c r="H21" s="36">
        <f t="shared" si="1"/>
        <v>662</v>
      </c>
      <c r="I21" s="36">
        <f t="shared" si="2"/>
        <v>341</v>
      </c>
      <c r="J21" s="36">
        <f t="shared" si="3"/>
        <v>99</v>
      </c>
      <c r="K21" s="36">
        <f t="shared" si="4"/>
        <v>75</v>
      </c>
      <c r="L21" s="36">
        <f t="shared" si="5"/>
        <v>215</v>
      </c>
      <c r="M21" s="36">
        <f t="shared" si="6"/>
        <v>107</v>
      </c>
      <c r="N21" s="36">
        <f t="shared" si="8"/>
        <v>218</v>
      </c>
      <c r="O21" s="36">
        <f t="shared" si="7"/>
        <v>108</v>
      </c>
      <c r="P21" s="36">
        <v>2000</v>
      </c>
      <c r="Q21" s="59">
        <f>ROUNDUP(G21/怪物属性!C21,0)</f>
        <v>76</v>
      </c>
    </row>
    <row r="22" spans="1:17" x14ac:dyDescent="0.15">
      <c r="A22" s="36">
        <f>怪物属性!E22</f>
        <v>239</v>
      </c>
      <c r="B22" s="36">
        <v>350</v>
      </c>
      <c r="E22" s="36">
        <v>12</v>
      </c>
      <c r="F22" s="36">
        <f t="shared" si="0"/>
        <v>461.31159963300348</v>
      </c>
      <c r="G22" s="36">
        <f>INT(F22*VLOOKUP(E22,怪物属性!$B22:$C$60,2,FALSE)/$H$2)</f>
        <v>11256</v>
      </c>
      <c r="H22" s="36">
        <f t="shared" si="1"/>
        <v>689</v>
      </c>
      <c r="I22" s="36">
        <f t="shared" si="2"/>
        <v>346</v>
      </c>
      <c r="J22" s="36">
        <f t="shared" si="3"/>
        <v>104</v>
      </c>
      <c r="K22" s="36">
        <f t="shared" si="4"/>
        <v>78</v>
      </c>
      <c r="L22" s="36">
        <f t="shared" si="5"/>
        <v>217</v>
      </c>
      <c r="M22" s="36">
        <f t="shared" si="6"/>
        <v>108</v>
      </c>
      <c r="N22" s="36">
        <f t="shared" si="8"/>
        <v>220</v>
      </c>
      <c r="O22" s="36">
        <f t="shared" si="7"/>
        <v>109</v>
      </c>
      <c r="P22" s="36">
        <v>2000</v>
      </c>
      <c r="Q22" s="59">
        <f>ROUNDUP(G22/怪物属性!C22,0)</f>
        <v>93</v>
      </c>
    </row>
    <row r="23" spans="1:17" x14ac:dyDescent="0.15">
      <c r="A23" s="36">
        <f>怪物属性!E23</f>
        <v>250</v>
      </c>
      <c r="B23" s="36">
        <v>365</v>
      </c>
      <c r="E23" s="36">
        <v>13</v>
      </c>
      <c r="F23" s="36">
        <f t="shared" si="0"/>
        <v>558.83063257983667</v>
      </c>
      <c r="G23" s="36">
        <f>INT(F23*VLOOKUP(E23,怪物属性!$B23:$C$60,2,FALSE)/$H$2)</f>
        <v>14753</v>
      </c>
      <c r="H23" s="36">
        <f t="shared" si="1"/>
        <v>717</v>
      </c>
      <c r="I23" s="36">
        <f t="shared" si="2"/>
        <v>350</v>
      </c>
      <c r="J23" s="36">
        <f t="shared" si="3"/>
        <v>108</v>
      </c>
      <c r="K23" s="36">
        <f t="shared" si="4"/>
        <v>81</v>
      </c>
      <c r="L23" s="36">
        <f t="shared" si="5"/>
        <v>218</v>
      </c>
      <c r="M23" s="36">
        <f t="shared" si="6"/>
        <v>108</v>
      </c>
      <c r="N23" s="36">
        <f t="shared" si="8"/>
        <v>221</v>
      </c>
      <c r="O23" s="36">
        <f t="shared" si="7"/>
        <v>110</v>
      </c>
      <c r="P23" s="36">
        <v>2000</v>
      </c>
      <c r="Q23" s="59">
        <f>ROUNDUP(G23/怪物属性!C23,0)</f>
        <v>112</v>
      </c>
    </row>
    <row r="24" spans="1:17" x14ac:dyDescent="0.15">
      <c r="A24" s="36">
        <f>怪物属性!E24</f>
        <v>261</v>
      </c>
      <c r="B24" s="36">
        <v>381</v>
      </c>
      <c r="E24" s="36">
        <v>14</v>
      </c>
      <c r="F24" s="36">
        <f t="shared" si="0"/>
        <v>669.33816555341411</v>
      </c>
      <c r="G24" s="36">
        <f>INT(F24*VLOOKUP(E24,怪物属性!$B24:$C$60,2,FALSE)/$H$2)</f>
        <v>19143</v>
      </c>
      <c r="H24" s="36">
        <f t="shared" si="1"/>
        <v>748</v>
      </c>
      <c r="I24" s="36">
        <f t="shared" si="2"/>
        <v>356</v>
      </c>
      <c r="J24" s="36">
        <f t="shared" si="3"/>
        <v>113</v>
      </c>
      <c r="K24" s="36">
        <f t="shared" si="4"/>
        <v>85</v>
      </c>
      <c r="L24" s="36">
        <f t="shared" si="5"/>
        <v>220</v>
      </c>
      <c r="M24" s="36">
        <f t="shared" si="6"/>
        <v>109</v>
      </c>
      <c r="N24" s="36">
        <f t="shared" si="8"/>
        <v>223</v>
      </c>
      <c r="O24" s="36">
        <f t="shared" si="7"/>
        <v>111</v>
      </c>
      <c r="P24" s="36">
        <v>2000</v>
      </c>
      <c r="Q24" s="59">
        <f>ROUNDUP(G24/怪物属性!C24,0)</f>
        <v>134</v>
      </c>
    </row>
    <row r="25" spans="1:17" x14ac:dyDescent="0.15">
      <c r="A25" s="36">
        <f>怪物属性!E25</f>
        <v>273</v>
      </c>
      <c r="B25" s="39">
        <v>397</v>
      </c>
      <c r="E25" s="36">
        <v>15</v>
      </c>
      <c r="F25" s="36">
        <f t="shared" si="0"/>
        <v>793.36484780769229</v>
      </c>
      <c r="G25" s="36">
        <f>INT(F25*VLOOKUP(E25,怪物属性!$B25:$C$60,2,FALSE)/$H$2)</f>
        <v>24594</v>
      </c>
      <c r="H25" s="36">
        <f t="shared" si="1"/>
        <v>781</v>
      </c>
      <c r="I25" s="36">
        <f t="shared" si="2"/>
        <v>362</v>
      </c>
      <c r="J25" s="36">
        <f t="shared" si="3"/>
        <v>117</v>
      </c>
      <c r="K25" s="36">
        <f t="shared" si="4"/>
        <v>88</v>
      </c>
      <c r="L25" s="36">
        <f t="shared" si="5"/>
        <v>221</v>
      </c>
      <c r="M25" s="36">
        <f t="shared" si="6"/>
        <v>110</v>
      </c>
      <c r="N25" s="36">
        <f t="shared" si="8"/>
        <v>225</v>
      </c>
      <c r="O25" s="36">
        <f t="shared" si="7"/>
        <v>112</v>
      </c>
      <c r="P25" s="36">
        <v>2000</v>
      </c>
      <c r="Q25" s="59">
        <f>ROUNDUP(G25/怪物属性!C25,0)</f>
        <v>159</v>
      </c>
    </row>
    <row r="26" spans="1:17" x14ac:dyDescent="0.15">
      <c r="A26" s="36">
        <f>怪物属性!E26</f>
        <v>284</v>
      </c>
      <c r="B26" s="36">
        <v>413</v>
      </c>
      <c r="E26" s="36">
        <v>16</v>
      </c>
      <c r="F26" s="36">
        <f t="shared" si="0"/>
        <v>931.42125289666899</v>
      </c>
      <c r="G26" s="36">
        <f>INT(F26*VLOOKUP(E26,怪物属性!$B26:$C$60,2,FALSE)/$H$2)</f>
        <v>31109</v>
      </c>
      <c r="H26" s="36">
        <f t="shared" si="1"/>
        <v>816</v>
      </c>
      <c r="I26" s="36">
        <f t="shared" si="2"/>
        <v>368</v>
      </c>
      <c r="J26" s="36">
        <f t="shared" si="3"/>
        <v>122</v>
      </c>
      <c r="K26" s="36">
        <f t="shared" si="4"/>
        <v>91</v>
      </c>
      <c r="L26" s="36">
        <f t="shared" si="5"/>
        <v>223</v>
      </c>
      <c r="M26" s="36">
        <f t="shared" si="6"/>
        <v>111</v>
      </c>
      <c r="N26" s="36">
        <f t="shared" si="8"/>
        <v>227</v>
      </c>
      <c r="O26" s="36">
        <f t="shared" si="7"/>
        <v>113</v>
      </c>
      <c r="P26" s="36">
        <v>2000</v>
      </c>
      <c r="Q26" s="59">
        <f>ROUNDUP(G26/怪物属性!C26,0)</f>
        <v>187</v>
      </c>
    </row>
    <row r="27" spans="1:17" x14ac:dyDescent="0.15">
      <c r="A27" s="36">
        <f>怪物属性!E27</f>
        <v>296</v>
      </c>
      <c r="B27" s="36">
        <v>431</v>
      </c>
      <c r="E27" s="36">
        <v>17</v>
      </c>
      <c r="F27" s="36">
        <f t="shared" si="0"/>
        <v>1084</v>
      </c>
      <c r="G27" s="36">
        <f>INT(F27*VLOOKUP(E27,怪物属性!$B27:$C$60,2,FALSE)/$H$2)</f>
        <v>39024</v>
      </c>
      <c r="H27" s="36">
        <f t="shared" si="1"/>
        <v>852</v>
      </c>
      <c r="I27" s="36">
        <f t="shared" si="2"/>
        <v>373</v>
      </c>
      <c r="J27" s="36">
        <f t="shared" si="3"/>
        <v>126</v>
      </c>
      <c r="K27" s="36">
        <f t="shared" si="4"/>
        <v>95</v>
      </c>
      <c r="L27" s="36">
        <f t="shared" si="5"/>
        <v>224</v>
      </c>
      <c r="M27" s="36">
        <f t="shared" si="6"/>
        <v>111</v>
      </c>
      <c r="N27" s="36">
        <f t="shared" si="8"/>
        <v>228</v>
      </c>
      <c r="O27" s="36">
        <f t="shared" si="7"/>
        <v>113</v>
      </c>
      <c r="P27" s="36">
        <v>2000</v>
      </c>
      <c r="Q27" s="59">
        <f>ROUNDUP(G27/怪物属性!C27,0)</f>
        <v>217</v>
      </c>
    </row>
    <row r="28" spans="1:17" x14ac:dyDescent="0.15">
      <c r="A28" s="36">
        <f>怪物属性!E28</f>
        <v>308</v>
      </c>
      <c r="B28" s="36">
        <v>448</v>
      </c>
      <c r="E28" s="36">
        <v>18</v>
      </c>
      <c r="F28" s="36">
        <f t="shared" si="0"/>
        <v>1251.5775258035037</v>
      </c>
      <c r="G28" s="36">
        <f>INT(F28*VLOOKUP(E28,怪物属性!$B28:$C$60,2,FALSE)/$H$2)</f>
        <v>48561</v>
      </c>
      <c r="H28" s="36">
        <f t="shared" si="1"/>
        <v>891</v>
      </c>
      <c r="I28" s="36">
        <f t="shared" si="2"/>
        <v>380</v>
      </c>
      <c r="J28" s="36">
        <f t="shared" si="3"/>
        <v>131</v>
      </c>
      <c r="K28" s="36">
        <f t="shared" si="4"/>
        <v>98</v>
      </c>
      <c r="L28" s="36">
        <f t="shared" si="5"/>
        <v>226</v>
      </c>
      <c r="M28" s="36">
        <f t="shared" si="6"/>
        <v>112</v>
      </c>
      <c r="N28" s="36">
        <f t="shared" si="8"/>
        <v>230</v>
      </c>
      <c r="O28" s="36">
        <f t="shared" si="7"/>
        <v>114</v>
      </c>
      <c r="P28" s="36">
        <v>2000</v>
      </c>
      <c r="Q28" s="59">
        <f>ROUNDUP(G28/怪物属性!C28,0)</f>
        <v>251</v>
      </c>
    </row>
    <row r="29" spans="1:17" x14ac:dyDescent="0.15">
      <c r="A29" s="36">
        <f>怪物属性!E29</f>
        <v>321</v>
      </c>
      <c r="B29" s="36">
        <v>466</v>
      </c>
      <c r="E29" s="36">
        <v>19</v>
      </c>
      <c r="F29" s="36">
        <f t="shared" si="0"/>
        <v>1434.6155826266483</v>
      </c>
      <c r="G29" s="36">
        <f>INT(F29*VLOOKUP(E29,怪物属性!$B29:$C$60,2,FALSE)/$H$2)</f>
        <v>59680</v>
      </c>
      <c r="H29" s="36">
        <f t="shared" si="1"/>
        <v>932</v>
      </c>
      <c r="I29" s="36">
        <f t="shared" si="2"/>
        <v>387</v>
      </c>
      <c r="J29" s="36">
        <f t="shared" si="3"/>
        <v>135</v>
      </c>
      <c r="K29" s="36">
        <f t="shared" si="4"/>
        <v>102</v>
      </c>
      <c r="L29" s="36">
        <f t="shared" si="5"/>
        <v>227</v>
      </c>
      <c r="M29" s="36">
        <f t="shared" si="6"/>
        <v>113</v>
      </c>
      <c r="N29" s="36">
        <f t="shared" si="8"/>
        <v>232</v>
      </c>
      <c r="O29" s="36">
        <f t="shared" si="7"/>
        <v>115</v>
      </c>
      <c r="P29" s="36">
        <v>2000</v>
      </c>
      <c r="Q29" s="59">
        <f>ROUNDUP(G29/怪物属性!C29,0)</f>
        <v>287</v>
      </c>
    </row>
    <row r="30" spans="1:17" x14ac:dyDescent="0.15">
      <c r="A30" s="36">
        <f>怪物属性!E30</f>
        <v>334</v>
      </c>
      <c r="B30" s="39">
        <v>485</v>
      </c>
      <c r="E30" s="36">
        <v>20</v>
      </c>
      <c r="F30" s="36">
        <f t="shared" si="0"/>
        <v>1633.5625186181824</v>
      </c>
      <c r="G30" s="36">
        <f>INT(F30*VLOOKUP(E30,怪物属性!$B30:$C$60,2,FALSE)/$H$2)</f>
        <v>72856</v>
      </c>
      <c r="H30" s="36">
        <f t="shared" si="1"/>
        <v>975</v>
      </c>
      <c r="I30" s="36">
        <f t="shared" si="2"/>
        <v>394</v>
      </c>
      <c r="J30" s="36">
        <f t="shared" si="3"/>
        <v>140</v>
      </c>
      <c r="K30" s="36">
        <f t="shared" si="4"/>
        <v>105</v>
      </c>
      <c r="L30" s="36">
        <f t="shared" si="5"/>
        <v>229</v>
      </c>
      <c r="M30" s="36">
        <f t="shared" si="6"/>
        <v>114</v>
      </c>
      <c r="N30" s="36">
        <f t="shared" si="8"/>
        <v>234</v>
      </c>
      <c r="O30" s="36">
        <f t="shared" si="7"/>
        <v>116</v>
      </c>
      <c r="P30" s="36">
        <v>2000</v>
      </c>
      <c r="Q30" s="59">
        <f>ROUNDUP(G30/怪物属性!C30,0)</f>
        <v>327</v>
      </c>
    </row>
    <row r="31" spans="1:17" x14ac:dyDescent="0.15">
      <c r="A31" s="36">
        <f>怪物属性!E31</f>
        <v>348</v>
      </c>
      <c r="B31" s="36">
        <v>505</v>
      </c>
      <c r="E31" s="36">
        <v>21</v>
      </c>
      <c r="F31" s="36">
        <f t="shared" si="0"/>
        <v>1848.8543819998308</v>
      </c>
      <c r="G31" s="36">
        <f>INT(F31*VLOOKUP(E31,怪物属性!$B31:$C$60,2,FALSE)/$H$2)</f>
        <v>88005</v>
      </c>
      <c r="H31" s="36">
        <f t="shared" si="1"/>
        <v>1019</v>
      </c>
      <c r="I31" s="36">
        <f t="shared" si="2"/>
        <v>400</v>
      </c>
      <c r="J31" s="36">
        <f t="shared" si="3"/>
        <v>144</v>
      </c>
      <c r="K31" s="36">
        <f t="shared" si="4"/>
        <v>108</v>
      </c>
      <c r="L31" s="36">
        <f t="shared" si="5"/>
        <v>230</v>
      </c>
      <c r="M31" s="36">
        <f t="shared" si="6"/>
        <v>114</v>
      </c>
      <c r="N31" s="36">
        <f t="shared" si="8"/>
        <v>235</v>
      </c>
      <c r="O31" s="36">
        <f t="shared" si="7"/>
        <v>117</v>
      </c>
      <c r="P31" s="36">
        <v>2000</v>
      </c>
      <c r="Q31" s="59">
        <f>ROUNDUP(G31/怪物属性!C31,0)</f>
        <v>370</v>
      </c>
    </row>
    <row r="32" spans="1:17" x14ac:dyDescent="0.15">
      <c r="A32" s="36">
        <f>怪物属性!E32</f>
        <v>362</v>
      </c>
      <c r="B32" s="36">
        <v>525</v>
      </c>
      <c r="E32" s="36">
        <v>22</v>
      </c>
      <c r="F32" s="36">
        <f t="shared" si="0"/>
        <v>2080.9158814755251</v>
      </c>
      <c r="G32" s="36">
        <f>INT(F32*VLOOKUP(E32,怪物属性!$B32:$C$60,2,FALSE)/$H$2)</f>
        <v>105710</v>
      </c>
      <c r="H32" s="36">
        <f t="shared" si="1"/>
        <v>1066</v>
      </c>
      <c r="I32" s="36">
        <f t="shared" si="2"/>
        <v>407</v>
      </c>
      <c r="J32" s="36">
        <f t="shared" si="3"/>
        <v>149</v>
      </c>
      <c r="K32" s="36">
        <f t="shared" si="4"/>
        <v>112</v>
      </c>
      <c r="L32" s="36">
        <f t="shared" si="5"/>
        <v>232</v>
      </c>
      <c r="M32" s="36">
        <f t="shared" si="6"/>
        <v>115</v>
      </c>
      <c r="N32" s="36">
        <f t="shared" si="8"/>
        <v>237</v>
      </c>
      <c r="O32" s="36">
        <f t="shared" si="7"/>
        <v>118</v>
      </c>
      <c r="P32" s="36">
        <v>2000</v>
      </c>
      <c r="Q32" s="59">
        <f>ROUNDUP(G32/怪物属性!C32,0)</f>
        <v>417</v>
      </c>
    </row>
    <row r="33" spans="1:17" x14ac:dyDescent="0.15">
      <c r="A33" s="36">
        <f>怪物属性!E33</f>
        <v>377</v>
      </c>
      <c r="B33" s="36">
        <v>547</v>
      </c>
      <c r="E33" s="36">
        <v>23</v>
      </c>
      <c r="F33" s="36">
        <f t="shared" si="0"/>
        <v>2330.161227754541</v>
      </c>
      <c r="G33" s="36">
        <f>INT(F33*VLOOKUP(E33,怪物属性!$B33:$C$60,2,FALSE)/$H$2)</f>
        <v>125828</v>
      </c>
      <c r="H33" s="36">
        <f t="shared" si="1"/>
        <v>1115</v>
      </c>
      <c r="I33" s="36">
        <f t="shared" si="2"/>
        <v>414</v>
      </c>
      <c r="J33" s="36">
        <f t="shared" si="3"/>
        <v>153</v>
      </c>
      <c r="K33" s="36">
        <f t="shared" si="4"/>
        <v>115</v>
      </c>
      <c r="L33" s="36">
        <f t="shared" si="5"/>
        <v>233</v>
      </c>
      <c r="M33" s="36">
        <f t="shared" si="6"/>
        <v>116</v>
      </c>
      <c r="N33" s="36">
        <f t="shared" si="8"/>
        <v>239</v>
      </c>
      <c r="O33" s="36">
        <f t="shared" si="7"/>
        <v>119</v>
      </c>
      <c r="P33" s="36">
        <v>2000</v>
      </c>
      <c r="Q33" s="59">
        <f>ROUNDUP(G33/怪物属性!C33,0)</f>
        <v>467</v>
      </c>
    </row>
    <row r="34" spans="1:17" x14ac:dyDescent="0.15">
      <c r="A34" s="36">
        <f>怪物属性!E34</f>
        <v>393</v>
      </c>
      <c r="B34" s="36">
        <v>569</v>
      </c>
      <c r="E34" s="36">
        <v>24</v>
      </c>
      <c r="F34" s="36">
        <f t="shared" si="0"/>
        <v>2596.9948758324285</v>
      </c>
      <c r="G34" s="36">
        <f>INT(F34*VLOOKUP(E34,怪物属性!$B34:$C$60,2,FALSE)/$H$2)</f>
        <v>149067</v>
      </c>
      <c r="H34" s="36">
        <f t="shared" si="1"/>
        <v>1166</v>
      </c>
      <c r="I34" s="36">
        <f t="shared" si="2"/>
        <v>422</v>
      </c>
      <c r="J34" s="36">
        <f t="shared" si="3"/>
        <v>158</v>
      </c>
      <c r="K34" s="36">
        <f t="shared" si="4"/>
        <v>118</v>
      </c>
      <c r="L34" s="36">
        <f t="shared" si="5"/>
        <v>235</v>
      </c>
      <c r="M34" s="36">
        <f t="shared" si="6"/>
        <v>117</v>
      </c>
      <c r="N34" s="36">
        <f t="shared" si="8"/>
        <v>241</v>
      </c>
      <c r="O34" s="36">
        <f t="shared" si="7"/>
        <v>120</v>
      </c>
      <c r="P34" s="36">
        <v>2000</v>
      </c>
      <c r="Q34" s="59">
        <f>ROUNDUP(G34/怪物属性!C34,0)</f>
        <v>520</v>
      </c>
    </row>
    <row r="35" spans="1:17" x14ac:dyDescent="0.15">
      <c r="A35" s="36">
        <f>怪物属性!E35</f>
        <v>409</v>
      </c>
      <c r="B35" s="39">
        <v>593</v>
      </c>
      <c r="E35" s="36">
        <v>25</v>
      </c>
      <c r="F35" s="36">
        <f t="shared" si="0"/>
        <v>2881.8121836862215</v>
      </c>
      <c r="G35" s="36">
        <f>INT(F35*VLOOKUP(E35,怪物属性!$B35:$C$60,2,FALSE)/$H$2)</f>
        <v>175214</v>
      </c>
      <c r="H35" s="36">
        <f t="shared" si="1"/>
        <v>1218</v>
      </c>
      <c r="I35" s="36">
        <f t="shared" si="2"/>
        <v>429</v>
      </c>
      <c r="J35" s="36">
        <f t="shared" si="3"/>
        <v>162</v>
      </c>
      <c r="K35" s="36">
        <f t="shared" si="4"/>
        <v>122</v>
      </c>
      <c r="L35" s="36">
        <f t="shared" si="5"/>
        <v>236</v>
      </c>
      <c r="M35" s="36">
        <f t="shared" si="6"/>
        <v>117</v>
      </c>
      <c r="N35" s="36">
        <f t="shared" si="8"/>
        <v>242</v>
      </c>
      <c r="O35" s="36">
        <f t="shared" si="7"/>
        <v>121</v>
      </c>
      <c r="P35" s="36">
        <v>2000</v>
      </c>
      <c r="Q35" s="59">
        <f>ROUNDUP(G35/怪物属性!C35,0)</f>
        <v>577</v>
      </c>
    </row>
    <row r="36" spans="1:17" x14ac:dyDescent="0.15">
      <c r="A36" s="36">
        <f>怪物属性!E36</f>
        <v>426</v>
      </c>
      <c r="B36" s="36">
        <v>617</v>
      </c>
      <c r="E36" s="36">
        <v>26</v>
      </c>
      <c r="F36" s="36">
        <f t="shared" si="0"/>
        <v>3184.9999999999991</v>
      </c>
      <c r="G36" s="36">
        <f>INT(F36*VLOOKUP(E36,怪物属性!$B36:$C$60,2,FALSE)/$H$2)</f>
        <v>205114</v>
      </c>
      <c r="H36" s="36">
        <f t="shared" si="1"/>
        <v>1273</v>
      </c>
      <c r="I36" s="36">
        <f t="shared" si="2"/>
        <v>437</v>
      </c>
      <c r="J36" s="36">
        <f t="shared" si="3"/>
        <v>167</v>
      </c>
      <c r="K36" s="36">
        <f t="shared" si="4"/>
        <v>125</v>
      </c>
      <c r="L36" s="36">
        <f t="shared" si="5"/>
        <v>238</v>
      </c>
      <c r="M36" s="36">
        <f t="shared" si="6"/>
        <v>118</v>
      </c>
      <c r="N36" s="36">
        <f t="shared" si="8"/>
        <v>244</v>
      </c>
      <c r="O36" s="36">
        <f t="shared" si="7"/>
        <v>121</v>
      </c>
      <c r="P36" s="36">
        <v>2000</v>
      </c>
      <c r="Q36" s="59">
        <f>ROUNDUP(G36/怪物属性!C36,0)</f>
        <v>637</v>
      </c>
    </row>
    <row r="37" spans="1:17" x14ac:dyDescent="0.15">
      <c r="A37" s="36">
        <f>怪物属性!E37</f>
        <v>444</v>
      </c>
      <c r="B37" s="36">
        <v>643</v>
      </c>
      <c r="E37" s="36">
        <v>27</v>
      </c>
      <c r="F37" s="36">
        <f t="shared" si="0"/>
        <v>3506.9371911887224</v>
      </c>
      <c r="G37" s="36">
        <f>INT(F37*VLOOKUP(E37,怪物属性!$B37:$C$60,2,FALSE)/$H$2)</f>
        <v>238471</v>
      </c>
      <c r="H37" s="36">
        <f t="shared" si="1"/>
        <v>1330</v>
      </c>
      <c r="I37" s="36">
        <f t="shared" si="2"/>
        <v>445</v>
      </c>
      <c r="J37" s="36">
        <f t="shared" si="3"/>
        <v>171</v>
      </c>
      <c r="K37" s="36">
        <f t="shared" si="4"/>
        <v>128</v>
      </c>
      <c r="L37" s="36">
        <f t="shared" si="5"/>
        <v>239</v>
      </c>
      <c r="M37" s="36">
        <f t="shared" si="6"/>
        <v>119</v>
      </c>
      <c r="N37" s="36">
        <f t="shared" si="8"/>
        <v>246</v>
      </c>
      <c r="O37" s="36">
        <f t="shared" si="7"/>
        <v>122</v>
      </c>
      <c r="P37" s="36">
        <v>2000</v>
      </c>
      <c r="Q37" s="59">
        <f>ROUNDUP(G37/怪物属性!C37,0)</f>
        <v>702</v>
      </c>
    </row>
    <row r="38" spans="1:17" x14ac:dyDescent="0.15">
      <c r="A38" s="36">
        <f>怪物属性!E38</f>
        <v>463</v>
      </c>
      <c r="B38" s="36">
        <v>671</v>
      </c>
      <c r="E38" s="36">
        <v>28</v>
      </c>
      <c r="F38" s="36">
        <f t="shared" si="0"/>
        <v>3847.9951161531353</v>
      </c>
      <c r="G38" s="36">
        <f>INT(F38*VLOOKUP(E38,怪物属性!$B38:$C$60,2,FALSE)/$H$2)</f>
        <v>276286</v>
      </c>
      <c r="H38" s="36">
        <f t="shared" si="1"/>
        <v>1389</v>
      </c>
      <c r="I38" s="36">
        <f t="shared" si="2"/>
        <v>454</v>
      </c>
      <c r="J38" s="36">
        <f t="shared" si="3"/>
        <v>176</v>
      </c>
      <c r="K38" s="36">
        <f t="shared" si="4"/>
        <v>132</v>
      </c>
      <c r="L38" s="36">
        <f t="shared" si="5"/>
        <v>241</v>
      </c>
      <c r="M38" s="36">
        <f t="shared" si="6"/>
        <v>120</v>
      </c>
      <c r="N38" s="36">
        <f t="shared" si="8"/>
        <v>248</v>
      </c>
      <c r="O38" s="36">
        <f t="shared" si="7"/>
        <v>123</v>
      </c>
      <c r="P38" s="36">
        <v>2000</v>
      </c>
      <c r="Q38" s="59">
        <f>ROUNDUP(G38/怪物属性!C38,0)</f>
        <v>770</v>
      </c>
    </row>
    <row r="39" spans="1:17" x14ac:dyDescent="0.15">
      <c r="A39" s="36">
        <f>怪物属性!E39</f>
        <v>483</v>
      </c>
      <c r="B39" s="36">
        <v>700</v>
      </c>
      <c r="E39" s="36">
        <v>29</v>
      </c>
      <c r="F39" s="36">
        <f t="shared" si="0"/>
        <v>4208.5380557492781</v>
      </c>
      <c r="G39" s="36">
        <f>INT(F39*VLOOKUP(E39,怪物属性!$B39:$C$60,2,FALSE)/$H$2)</f>
        <v>319007</v>
      </c>
      <c r="H39" s="36">
        <f t="shared" si="1"/>
        <v>1449</v>
      </c>
      <c r="I39" s="36">
        <f t="shared" si="2"/>
        <v>462</v>
      </c>
      <c r="J39" s="36">
        <f t="shared" si="3"/>
        <v>180</v>
      </c>
      <c r="K39" s="36">
        <f t="shared" si="4"/>
        <v>135</v>
      </c>
      <c r="L39" s="36">
        <f t="shared" si="5"/>
        <v>242</v>
      </c>
      <c r="M39" s="36">
        <f t="shared" si="6"/>
        <v>120</v>
      </c>
      <c r="N39" s="36">
        <f t="shared" si="8"/>
        <v>249</v>
      </c>
      <c r="O39" s="36">
        <f t="shared" si="7"/>
        <v>124</v>
      </c>
      <c r="P39" s="36">
        <v>2000</v>
      </c>
      <c r="Q39" s="59">
        <f>ROUNDUP(G39/怪物属性!C39,0)</f>
        <v>842</v>
      </c>
    </row>
    <row r="40" spans="1:17" x14ac:dyDescent="0.15">
      <c r="A40" s="36">
        <f>怪物属性!E40</f>
        <v>504</v>
      </c>
      <c r="B40" s="39">
        <v>731</v>
      </c>
      <c r="E40" s="36">
        <v>30</v>
      </c>
      <c r="F40" s="36">
        <f t="shared" si="0"/>
        <v>4588.923602800116</v>
      </c>
      <c r="G40" s="36">
        <f>INT(F40*VLOOKUP(E40,怪物属性!$B40:$C$60,2,FALSE)/$H$2)</f>
        <v>366196</v>
      </c>
      <c r="H40" s="36">
        <f t="shared" si="1"/>
        <v>1512</v>
      </c>
      <c r="I40" s="36">
        <f t="shared" si="2"/>
        <v>471</v>
      </c>
      <c r="J40" s="36">
        <f t="shared" si="3"/>
        <v>185</v>
      </c>
      <c r="K40" s="36">
        <f t="shared" si="4"/>
        <v>139</v>
      </c>
      <c r="L40" s="36">
        <f t="shared" si="5"/>
        <v>244</v>
      </c>
      <c r="M40" s="36">
        <f t="shared" si="6"/>
        <v>121</v>
      </c>
      <c r="N40" s="36">
        <f t="shared" si="8"/>
        <v>251</v>
      </c>
      <c r="O40" s="36">
        <f t="shared" si="7"/>
        <v>125</v>
      </c>
      <c r="P40" s="36">
        <v>2000</v>
      </c>
      <c r="Q40" s="59">
        <f>ROUNDUP(G40/怪物属性!C40,0)</f>
        <v>918</v>
      </c>
    </row>
    <row r="41" spans="1:17" x14ac:dyDescent="0.15">
      <c r="A41" s="36">
        <f>怪物属性!E41</f>
        <v>527</v>
      </c>
      <c r="B41" s="36">
        <v>764</v>
      </c>
      <c r="E41" s="36">
        <v>31</v>
      </c>
      <c r="F41" s="36">
        <f t="shared" si="0"/>
        <v>4989.5030175464972</v>
      </c>
      <c r="G41" s="36">
        <f>INT(F41*VLOOKUP(E41,怪物属性!$B41:$C$60,2,FALSE)/$H$2)</f>
        <v>418120</v>
      </c>
      <c r="H41" s="36">
        <f t="shared" si="1"/>
        <v>1577</v>
      </c>
      <c r="I41" s="36">
        <f t="shared" si="2"/>
        <v>480</v>
      </c>
      <c r="J41" s="36">
        <f>50+INT(E41*4.5)</f>
        <v>189</v>
      </c>
      <c r="K41" s="36">
        <f t="shared" si="4"/>
        <v>142</v>
      </c>
      <c r="L41" s="36">
        <f t="shared" si="5"/>
        <v>245</v>
      </c>
      <c r="M41" s="36">
        <f t="shared" si="6"/>
        <v>122</v>
      </c>
      <c r="N41" s="36">
        <f t="shared" si="8"/>
        <v>253</v>
      </c>
      <c r="O41" s="36">
        <f t="shared" si="7"/>
        <v>126</v>
      </c>
      <c r="P41" s="36">
        <v>2000</v>
      </c>
      <c r="Q41" s="59">
        <f>ROUNDUP(G41/怪物属性!C41,0)</f>
        <v>998</v>
      </c>
    </row>
    <row r="42" spans="1:17" x14ac:dyDescent="0.15">
      <c r="A42" s="36">
        <f>怪物属性!E42</f>
        <v>551</v>
      </c>
      <c r="B42" s="36">
        <v>799</v>
      </c>
      <c r="E42" s="36">
        <v>32</v>
      </c>
      <c r="F42" s="36">
        <f t="shared" si="0"/>
        <v>5410.6215526796486</v>
      </c>
      <c r="G42" s="36">
        <f>INT(F42*VLOOKUP(E42,怪物属性!$B42:$C$60,2,FALSE)/$H$2)</f>
        <v>476134</v>
      </c>
      <c r="H42" s="36">
        <f t="shared" si="1"/>
        <v>1644</v>
      </c>
      <c r="I42" s="36">
        <f t="shared" si="2"/>
        <v>489</v>
      </c>
      <c r="J42" s="36">
        <f t="shared" si="3"/>
        <v>194</v>
      </c>
      <c r="K42" s="36">
        <f t="shared" si="4"/>
        <v>145</v>
      </c>
      <c r="L42" s="36">
        <f t="shared" si="5"/>
        <v>247</v>
      </c>
      <c r="M42" s="36">
        <f t="shared" si="6"/>
        <v>123</v>
      </c>
      <c r="N42" s="36">
        <f t="shared" si="8"/>
        <v>255</v>
      </c>
      <c r="O42" s="36">
        <f t="shared" si="7"/>
        <v>127</v>
      </c>
      <c r="P42" s="36">
        <v>2000</v>
      </c>
      <c r="Q42" s="59">
        <f>ROUNDUP(G42/怪物属性!C42,0)</f>
        <v>1083</v>
      </c>
    </row>
    <row r="43" spans="1:17" x14ac:dyDescent="0.15">
      <c r="A43" s="36">
        <f>怪物属性!E43</f>
        <v>577</v>
      </c>
      <c r="B43" s="36">
        <v>837</v>
      </c>
      <c r="E43" s="36">
        <v>33</v>
      </c>
      <c r="F43" s="36">
        <f t="shared" si="0"/>
        <v>5852.6187514801986</v>
      </c>
      <c r="G43" s="36">
        <f>INT(F43*VLOOKUP(E43,怪物属性!$B43:$C$60,2,FALSE)/$H$2)</f>
        <v>539611</v>
      </c>
      <c r="H43" s="36">
        <f t="shared" si="1"/>
        <v>1712</v>
      </c>
      <c r="I43" s="36">
        <f t="shared" si="2"/>
        <v>497</v>
      </c>
      <c r="J43" s="36">
        <f t="shared" si="3"/>
        <v>198</v>
      </c>
      <c r="K43" s="36">
        <f t="shared" si="4"/>
        <v>149</v>
      </c>
      <c r="L43" s="36">
        <f t="shared" si="5"/>
        <v>248</v>
      </c>
      <c r="M43" s="36">
        <f t="shared" si="6"/>
        <v>123</v>
      </c>
      <c r="N43" s="36">
        <f t="shared" si="8"/>
        <v>256</v>
      </c>
      <c r="O43" s="36">
        <f t="shared" si="7"/>
        <v>128</v>
      </c>
      <c r="P43" s="36">
        <v>2000</v>
      </c>
      <c r="Q43" s="59">
        <f>ROUNDUP(G43/怪物属性!C43,0)</f>
        <v>1171</v>
      </c>
    </row>
    <row r="44" spans="1:17" x14ac:dyDescent="0.15">
      <c r="A44" s="36">
        <f>怪物属性!E44</f>
        <v>605</v>
      </c>
      <c r="B44" s="36">
        <v>878</v>
      </c>
      <c r="E44" s="36">
        <v>34</v>
      </c>
      <c r="F44" s="36">
        <f t="shared" si="0"/>
        <v>6315.8287220799175</v>
      </c>
      <c r="G44" s="36">
        <f>INT(F44*VLOOKUP(E44,怪物属性!$B44:$C$60,2,FALSE)/$H$2)</f>
        <v>610109</v>
      </c>
      <c r="H44" s="36">
        <f t="shared" si="1"/>
        <v>1783</v>
      </c>
      <c r="I44" s="36">
        <f t="shared" si="2"/>
        <v>507</v>
      </c>
      <c r="J44" s="36">
        <f t="shared" si="3"/>
        <v>203</v>
      </c>
      <c r="K44" s="36">
        <f t="shared" si="4"/>
        <v>152</v>
      </c>
      <c r="L44" s="36">
        <f t="shared" si="5"/>
        <v>250</v>
      </c>
      <c r="M44" s="36">
        <f t="shared" si="6"/>
        <v>124</v>
      </c>
      <c r="N44" s="36">
        <f t="shared" si="8"/>
        <v>258</v>
      </c>
      <c r="O44" s="36">
        <f t="shared" si="7"/>
        <v>128</v>
      </c>
      <c r="P44" s="36">
        <v>2000</v>
      </c>
      <c r="Q44" s="59">
        <f>ROUNDUP(G44/怪物属性!C44,0)</f>
        <v>1264</v>
      </c>
    </row>
    <row r="45" spans="1:17" x14ac:dyDescent="0.15">
      <c r="A45" s="36">
        <f>怪物属性!E45</f>
        <v>633</v>
      </c>
      <c r="B45" s="39">
        <v>920</v>
      </c>
      <c r="E45" s="36">
        <v>35</v>
      </c>
      <c r="F45" s="36">
        <f t="shared" si="0"/>
        <v>6800.5803904411732</v>
      </c>
      <c r="G45" s="36">
        <f>INT(F45*VLOOKUP(E45,怪物属性!$B45:$C$60,2,FALSE)/$H$2)</f>
        <v>686858</v>
      </c>
      <c r="H45" s="36">
        <f t="shared" si="1"/>
        <v>1856</v>
      </c>
      <c r="I45" s="36">
        <f t="shared" si="2"/>
        <v>517</v>
      </c>
      <c r="J45" s="36">
        <f t="shared" si="3"/>
        <v>207</v>
      </c>
      <c r="K45" s="36">
        <f t="shared" si="4"/>
        <v>155</v>
      </c>
      <c r="L45" s="36">
        <f t="shared" si="5"/>
        <v>251</v>
      </c>
      <c r="M45" s="36">
        <f t="shared" si="6"/>
        <v>125</v>
      </c>
      <c r="N45" s="36">
        <f t="shared" si="8"/>
        <v>260</v>
      </c>
      <c r="O45" s="36">
        <f t="shared" si="7"/>
        <v>129</v>
      </c>
      <c r="P45" s="36">
        <v>2000</v>
      </c>
      <c r="Q45" s="59">
        <f>ROUNDUP(G45/怪物属性!C45,0)</f>
        <v>1361</v>
      </c>
    </row>
    <row r="46" spans="1:17" x14ac:dyDescent="0.15">
      <c r="A46" s="36">
        <f>怪物属性!E46</f>
        <v>665</v>
      </c>
      <c r="B46" s="36">
        <v>967</v>
      </c>
      <c r="E46" s="36">
        <v>36</v>
      </c>
      <c r="F46" s="36">
        <f t="shared" si="0"/>
        <v>7307.1977342970249</v>
      </c>
      <c r="G46" s="36">
        <f>INT(F46*VLOOKUP(E46,怪物属性!$B46:$C$60,2,FALSE)/$H$2)</f>
        <v>771640</v>
      </c>
      <c r="H46" s="36">
        <f t="shared" si="1"/>
        <v>1931</v>
      </c>
      <c r="I46" s="36">
        <f t="shared" si="2"/>
        <v>527</v>
      </c>
      <c r="J46" s="36">
        <f t="shared" si="3"/>
        <v>212</v>
      </c>
      <c r="K46" s="36">
        <f t="shared" si="4"/>
        <v>159</v>
      </c>
      <c r="L46" s="36">
        <f t="shared" si="5"/>
        <v>253</v>
      </c>
      <c r="M46" s="36">
        <f t="shared" si="6"/>
        <v>126</v>
      </c>
      <c r="N46" s="36">
        <f t="shared" si="8"/>
        <v>262</v>
      </c>
      <c r="O46" s="36">
        <f t="shared" si="7"/>
        <v>130</v>
      </c>
      <c r="P46" s="36">
        <v>2000</v>
      </c>
      <c r="Q46" s="59">
        <f>ROUNDUP(G46/怪物属性!C46,0)</f>
        <v>1462</v>
      </c>
    </row>
    <row r="47" spans="1:17" x14ac:dyDescent="0.15">
      <c r="A47" s="36">
        <f>怪物属性!E47</f>
        <v>699</v>
      </c>
      <c r="B47" s="36">
        <v>1017</v>
      </c>
      <c r="E47" s="36">
        <v>37</v>
      </c>
      <c r="F47" s="36">
        <f t="shared" si="0"/>
        <v>7835.9999999999945</v>
      </c>
      <c r="G47" s="36">
        <f>INT(F47*VLOOKUP(E47,怪物属性!$B47:$C$60,2,FALSE)/$H$2)</f>
        <v>863527</v>
      </c>
      <c r="H47" s="36">
        <f t="shared" si="1"/>
        <v>2007</v>
      </c>
      <c r="I47" s="36">
        <f t="shared" si="2"/>
        <v>536</v>
      </c>
      <c r="J47" s="36">
        <f t="shared" si="3"/>
        <v>216</v>
      </c>
      <c r="K47" s="36">
        <f t="shared" si="4"/>
        <v>162</v>
      </c>
      <c r="L47" s="36">
        <f t="shared" si="5"/>
        <v>254</v>
      </c>
      <c r="M47" s="36">
        <f t="shared" si="6"/>
        <v>126</v>
      </c>
      <c r="N47" s="36">
        <f t="shared" si="8"/>
        <v>263</v>
      </c>
      <c r="O47" s="36">
        <f t="shared" si="7"/>
        <v>131</v>
      </c>
      <c r="P47" s="36">
        <v>2000</v>
      </c>
      <c r="Q47" s="59">
        <f>ROUNDUP(G47/怪物属性!C47,0)</f>
        <v>1568</v>
      </c>
    </row>
    <row r="48" spans="1:17" x14ac:dyDescent="0.15">
      <c r="A48" s="36">
        <f>怪物属性!E48</f>
        <v>736</v>
      </c>
      <c r="B48" s="36">
        <v>1071</v>
      </c>
      <c r="E48" s="36">
        <v>38</v>
      </c>
      <c r="F48" s="36">
        <f t="shared" si="0"/>
        <v>8387.3019039782594</v>
      </c>
      <c r="G48" s="36">
        <f>INT(F48*VLOOKUP(E48,怪物属性!$B48:$C$60,2,FALSE)/$H$2)</f>
        <v>962862</v>
      </c>
      <c r="H48" s="36">
        <f t="shared" si="1"/>
        <v>2086</v>
      </c>
      <c r="I48" s="36">
        <f t="shared" si="2"/>
        <v>547</v>
      </c>
      <c r="J48" s="36">
        <f t="shared" si="3"/>
        <v>221</v>
      </c>
      <c r="K48" s="36">
        <f t="shared" si="4"/>
        <v>166</v>
      </c>
      <c r="L48" s="36">
        <f t="shared" si="5"/>
        <v>256</v>
      </c>
      <c r="M48" s="36">
        <f t="shared" si="6"/>
        <v>127</v>
      </c>
      <c r="N48" s="36">
        <f t="shared" si="8"/>
        <v>265</v>
      </c>
      <c r="O48" s="36">
        <f t="shared" si="7"/>
        <v>132</v>
      </c>
      <c r="P48" s="36">
        <v>2000</v>
      </c>
      <c r="Q48" s="59">
        <f>ROUNDUP(G48/怪物属性!C48,0)</f>
        <v>1678</v>
      </c>
    </row>
    <row r="49" spans="1:17" x14ac:dyDescent="0.15">
      <c r="A49" s="36">
        <f>怪物属性!E49</f>
        <v>775</v>
      </c>
      <c r="B49" s="36">
        <v>1129</v>
      </c>
      <c r="E49" s="36">
        <v>39</v>
      </c>
      <c r="F49" s="36">
        <f t="shared" si="0"/>
        <v>8961.4138202872</v>
      </c>
      <c r="G49" s="36">
        <f>INT(F49*VLOOKUP(E49,怪物属性!$B49:$C$60,2,FALSE)/$H$2)</f>
        <v>1073577</v>
      </c>
      <c r="H49" s="36">
        <f t="shared" si="1"/>
        <v>2167</v>
      </c>
      <c r="I49" s="36">
        <f t="shared" si="2"/>
        <v>558</v>
      </c>
      <c r="J49" s="36">
        <f t="shared" si="3"/>
        <v>225</v>
      </c>
      <c r="K49" s="36">
        <f t="shared" si="4"/>
        <v>169</v>
      </c>
      <c r="L49" s="36">
        <f t="shared" si="5"/>
        <v>257</v>
      </c>
      <c r="M49" s="36">
        <f t="shared" si="6"/>
        <v>128</v>
      </c>
      <c r="N49" s="36">
        <f t="shared" si="8"/>
        <v>267</v>
      </c>
      <c r="O49" s="36">
        <f t="shared" si="7"/>
        <v>133</v>
      </c>
      <c r="P49" s="36">
        <v>2000</v>
      </c>
      <c r="Q49" s="59">
        <f>ROUNDUP(G49/怪物属性!C49,0)</f>
        <v>1793</v>
      </c>
    </row>
    <row r="50" spans="1:17" x14ac:dyDescent="0.15">
      <c r="A50" s="36">
        <f>怪物属性!E50</f>
        <v>818</v>
      </c>
      <c r="B50" s="39">
        <v>1192</v>
      </c>
      <c r="E50" s="36">
        <v>40</v>
      </c>
      <c r="F50" s="36">
        <f t="shared" si="0"/>
        <v>9558.6419555639641</v>
      </c>
      <c r="G50" s="36">
        <f>INT(F50*VLOOKUP(E50,怪物属性!$B50:$C$60,2,FALSE)/$H$2)</f>
        <v>1191006</v>
      </c>
      <c r="H50" s="36">
        <f t="shared" si="1"/>
        <v>2250</v>
      </c>
      <c r="I50" s="36">
        <f t="shared" si="2"/>
        <v>569</v>
      </c>
      <c r="J50" s="36">
        <f t="shared" si="3"/>
        <v>230</v>
      </c>
      <c r="K50" s="36">
        <f t="shared" si="4"/>
        <v>172</v>
      </c>
      <c r="L50" s="36">
        <f t="shared" si="5"/>
        <v>259</v>
      </c>
      <c r="M50" s="36">
        <f t="shared" si="6"/>
        <v>129</v>
      </c>
      <c r="N50" s="36">
        <f t="shared" si="8"/>
        <v>269</v>
      </c>
      <c r="O50" s="36">
        <f t="shared" si="7"/>
        <v>134</v>
      </c>
      <c r="P50" s="36">
        <v>2000</v>
      </c>
      <c r="Q50" s="59">
        <f>ROUNDUP(G50/怪物属性!C50,0)</f>
        <v>1912</v>
      </c>
    </row>
    <row r="51" spans="1:17" x14ac:dyDescent="0.15">
      <c r="A51" s="36">
        <f>怪物属性!E51</f>
        <v>864</v>
      </c>
      <c r="B51" s="36">
        <v>1261</v>
      </c>
      <c r="E51" s="36">
        <v>41</v>
      </c>
      <c r="F51" s="36">
        <f t="shared" si="0"/>
        <v>10179.288512538811</v>
      </c>
      <c r="G51" s="36">
        <f>INT(F51*VLOOKUP(E51,怪物属性!$B51:$C$60,2,FALSE)/$H$2)</f>
        <v>1319235</v>
      </c>
      <c r="H51" s="36">
        <f t="shared" si="1"/>
        <v>2334</v>
      </c>
      <c r="I51" s="36">
        <f t="shared" si="2"/>
        <v>579</v>
      </c>
      <c r="J51" s="36">
        <f t="shared" si="3"/>
        <v>234</v>
      </c>
      <c r="K51" s="36">
        <f t="shared" si="4"/>
        <v>176</v>
      </c>
      <c r="L51" s="36">
        <f t="shared" si="5"/>
        <v>260</v>
      </c>
      <c r="M51" s="36">
        <f t="shared" si="6"/>
        <v>129</v>
      </c>
      <c r="N51" s="36">
        <f t="shared" si="8"/>
        <v>270</v>
      </c>
      <c r="O51" s="36">
        <f t="shared" si="7"/>
        <v>135</v>
      </c>
      <c r="P51" s="36">
        <v>2000</v>
      </c>
      <c r="Q51" s="59">
        <f>ROUNDUP(G51/怪物属性!C51,0)</f>
        <v>2036</v>
      </c>
    </row>
    <row r="52" spans="1:17" x14ac:dyDescent="0.15">
      <c r="A52" s="36">
        <f>怪物属性!E52</f>
        <v>913</v>
      </c>
      <c r="B52" s="36">
        <v>1334</v>
      </c>
      <c r="E52" s="36">
        <v>42</v>
      </c>
      <c r="F52" s="36">
        <f t="shared" si="0"/>
        <v>10823.651843124628</v>
      </c>
      <c r="G52" s="36">
        <f>INT(F52*VLOOKUP(E52,怪物属性!$B52:$C$60,2,FALSE)/$H$2)</f>
        <v>1456863</v>
      </c>
      <c r="H52" s="36">
        <f t="shared" si="1"/>
        <v>2421</v>
      </c>
      <c r="I52" s="36">
        <f t="shared" si="2"/>
        <v>590</v>
      </c>
      <c r="J52" s="36">
        <f t="shared" si="3"/>
        <v>239</v>
      </c>
      <c r="K52" s="36">
        <f t="shared" si="4"/>
        <v>179</v>
      </c>
      <c r="L52" s="36">
        <f t="shared" si="5"/>
        <v>262</v>
      </c>
      <c r="M52" s="36">
        <f t="shared" si="6"/>
        <v>130</v>
      </c>
      <c r="N52" s="36">
        <f t="shared" si="8"/>
        <v>272</v>
      </c>
      <c r="O52" s="36">
        <f t="shared" si="7"/>
        <v>135</v>
      </c>
      <c r="P52" s="36">
        <v>2000</v>
      </c>
      <c r="Q52" s="59">
        <f>ROUNDUP(G52/怪物属性!C52,0)</f>
        <v>2165</v>
      </c>
    </row>
    <row r="53" spans="1:17" x14ac:dyDescent="0.15">
      <c r="A53" s="36">
        <f>怪物属性!E53</f>
        <v>967</v>
      </c>
      <c r="B53" s="36">
        <v>1414</v>
      </c>
      <c r="E53" s="36">
        <v>43</v>
      </c>
      <c r="F53" s="36">
        <f t="shared" si="0"/>
        <v>11492.026591991465</v>
      </c>
      <c r="G53" s="36">
        <f>INT(F53*VLOOKUP(E53,怪物属性!$B53:$C$60,2,FALSE)/$H$2)</f>
        <v>1606585</v>
      </c>
      <c r="H53" s="36">
        <f t="shared" si="1"/>
        <v>2510</v>
      </c>
      <c r="I53" s="36">
        <f t="shared" si="2"/>
        <v>601</v>
      </c>
      <c r="J53" s="36">
        <f t="shared" si="3"/>
        <v>243</v>
      </c>
      <c r="K53" s="36">
        <f t="shared" si="4"/>
        <v>182</v>
      </c>
      <c r="L53" s="36">
        <f t="shared" si="5"/>
        <v>263</v>
      </c>
      <c r="M53" s="36">
        <f t="shared" si="6"/>
        <v>131</v>
      </c>
      <c r="N53" s="36">
        <f t="shared" si="8"/>
        <v>274</v>
      </c>
      <c r="O53" s="36">
        <f t="shared" si="7"/>
        <v>136</v>
      </c>
      <c r="P53" s="36">
        <v>2000</v>
      </c>
      <c r="Q53" s="59">
        <f>ROUNDUP(G53/怪物属性!C53,0)</f>
        <v>2299</v>
      </c>
    </row>
    <row r="54" spans="1:17" x14ac:dyDescent="0.15">
      <c r="A54" s="36">
        <f>怪物属性!E54</f>
        <v>1027</v>
      </c>
      <c r="B54" s="36">
        <v>1502</v>
      </c>
      <c r="E54" s="36">
        <v>44</v>
      </c>
      <c r="F54" s="36">
        <f t="shared" si="0"/>
        <v>12184.703831434406</v>
      </c>
      <c r="G54" s="36">
        <f>INT(F54*VLOOKUP(E54,怪物属性!$B54:$C$60,2,FALSE)/$H$2)</f>
        <v>1769218</v>
      </c>
      <c r="H54" s="36">
        <f t="shared" si="1"/>
        <v>2601</v>
      </c>
      <c r="I54" s="36">
        <f t="shared" si="2"/>
        <v>613</v>
      </c>
      <c r="J54" s="36">
        <f t="shared" si="3"/>
        <v>248</v>
      </c>
      <c r="K54" s="36">
        <f t="shared" si="4"/>
        <v>186</v>
      </c>
      <c r="L54" s="36">
        <f t="shared" si="5"/>
        <v>265</v>
      </c>
      <c r="M54" s="36">
        <f t="shared" si="6"/>
        <v>132</v>
      </c>
      <c r="N54" s="36">
        <f t="shared" si="8"/>
        <v>276</v>
      </c>
      <c r="O54" s="36">
        <f t="shared" si="7"/>
        <v>137</v>
      </c>
      <c r="P54" s="36">
        <v>2000</v>
      </c>
      <c r="Q54" s="59">
        <f>ROUNDUP(G54/怪物属性!C54,0)</f>
        <v>2437</v>
      </c>
    </row>
    <row r="55" spans="1:17" x14ac:dyDescent="0.15">
      <c r="A55" s="36">
        <f>怪物属性!E55</f>
        <v>1091</v>
      </c>
      <c r="B55" s="39">
        <v>1597</v>
      </c>
      <c r="E55" s="36">
        <v>45</v>
      </c>
      <c r="F55" s="36">
        <f t="shared" si="0"/>
        <v>12901.971188256106</v>
      </c>
      <c r="G55" s="36">
        <f>INT(F55*VLOOKUP(E55,怪物属性!$B55:$C$60,2,FALSE)/$H$2)</f>
        <v>1940456</v>
      </c>
      <c r="H55" s="36">
        <f t="shared" si="1"/>
        <v>2693</v>
      </c>
      <c r="I55" s="36">
        <f t="shared" si="2"/>
        <v>624</v>
      </c>
      <c r="J55" s="36">
        <f t="shared" si="3"/>
        <v>252</v>
      </c>
      <c r="K55" s="36">
        <f t="shared" si="4"/>
        <v>189</v>
      </c>
      <c r="L55" s="36">
        <f t="shared" si="5"/>
        <v>266</v>
      </c>
      <c r="M55" s="36">
        <f t="shared" si="6"/>
        <v>132</v>
      </c>
      <c r="N55" s="36">
        <f t="shared" si="8"/>
        <v>277</v>
      </c>
      <c r="O55" s="36">
        <f t="shared" si="7"/>
        <v>138</v>
      </c>
      <c r="P55" s="36">
        <v>2000</v>
      </c>
      <c r="Q55" s="59">
        <f>ROUNDUP(G55/怪物属性!C55,0)</f>
        <v>2581</v>
      </c>
    </row>
    <row r="56" spans="1:17" x14ac:dyDescent="0.15">
      <c r="A56" s="36">
        <f>怪物属性!E56</f>
        <v>1161</v>
      </c>
      <c r="B56" s="36">
        <v>1701</v>
      </c>
      <c r="E56" s="36">
        <v>46</v>
      </c>
      <c r="F56" s="36">
        <f t="shared" si="0"/>
        <v>13644.112963311205</v>
      </c>
      <c r="G56" s="36">
        <f>INT(F56*VLOOKUP(E56,怪物属性!$B56:$C$60,2,FALSE)/$H$2)</f>
        <v>2125752</v>
      </c>
      <c r="H56" s="36">
        <f t="shared" si="1"/>
        <v>2788</v>
      </c>
      <c r="I56" s="36">
        <f t="shared" si="2"/>
        <v>636</v>
      </c>
      <c r="J56" s="36">
        <f t="shared" si="3"/>
        <v>257</v>
      </c>
      <c r="K56" s="36">
        <f t="shared" si="4"/>
        <v>193</v>
      </c>
      <c r="L56" s="36">
        <f t="shared" si="5"/>
        <v>268</v>
      </c>
      <c r="M56" s="36">
        <f t="shared" si="6"/>
        <v>133</v>
      </c>
      <c r="N56" s="36">
        <f t="shared" si="8"/>
        <v>279</v>
      </c>
      <c r="O56" s="36">
        <f t="shared" si="7"/>
        <v>139</v>
      </c>
      <c r="P56" s="36">
        <v>2000</v>
      </c>
      <c r="Q56" s="59">
        <f>ROUNDUP(G56/怪物属性!C56,0)</f>
        <v>2729</v>
      </c>
    </row>
    <row r="57" spans="1:17" x14ac:dyDescent="0.15">
      <c r="A57" s="36">
        <f>怪物属性!E57</f>
        <v>1235</v>
      </c>
      <c r="B57" s="36">
        <v>1812</v>
      </c>
      <c r="E57" s="36">
        <v>47</v>
      </c>
      <c r="F57" s="36">
        <f t="shared" si="0"/>
        <v>14411.410244293083</v>
      </c>
      <c r="G57" s="36">
        <f>INT(F57*VLOOKUP(E57,怪物属性!$B57:$C$60,2,FALSE)/$H$2)</f>
        <v>2326001</v>
      </c>
      <c r="H57" s="36">
        <f t="shared" si="1"/>
        <v>2885</v>
      </c>
      <c r="I57" s="36">
        <f t="shared" si="2"/>
        <v>648</v>
      </c>
      <c r="J57" s="36">
        <f t="shared" si="3"/>
        <v>261</v>
      </c>
      <c r="K57" s="36">
        <f t="shared" si="4"/>
        <v>196</v>
      </c>
      <c r="L57" s="36">
        <f t="shared" si="5"/>
        <v>269</v>
      </c>
      <c r="M57" s="36">
        <f t="shared" si="6"/>
        <v>134</v>
      </c>
      <c r="N57" s="36">
        <f t="shared" si="8"/>
        <v>281</v>
      </c>
      <c r="O57" s="36">
        <f t="shared" si="7"/>
        <v>140</v>
      </c>
      <c r="P57" s="36">
        <v>2000</v>
      </c>
      <c r="Q57" s="59">
        <f>ROUNDUP(G57/怪物属性!C57,0)</f>
        <v>2883</v>
      </c>
    </row>
    <row r="58" spans="1:17" x14ac:dyDescent="0.15">
      <c r="A58" s="36">
        <f>怪物属性!E58</f>
        <v>1317</v>
      </c>
      <c r="B58" s="36">
        <v>1934</v>
      </c>
      <c r="E58" s="36">
        <v>48</v>
      </c>
      <c r="F58" s="36">
        <f t="shared" si="0"/>
        <v>15204.141012285907</v>
      </c>
      <c r="G58" s="36">
        <f>INT(F58*VLOOKUP(E58,怪物属性!$B58:$C$60,2,FALSE)/$H$2)</f>
        <v>2539091</v>
      </c>
      <c r="H58" s="36">
        <f t="shared" si="1"/>
        <v>2984</v>
      </c>
      <c r="I58" s="36">
        <f t="shared" si="2"/>
        <v>661</v>
      </c>
      <c r="J58" s="36">
        <f t="shared" si="3"/>
        <v>266</v>
      </c>
      <c r="K58" s="36">
        <f t="shared" si="4"/>
        <v>199</v>
      </c>
      <c r="L58" s="36">
        <f t="shared" si="5"/>
        <v>271</v>
      </c>
      <c r="M58" s="36">
        <f t="shared" si="6"/>
        <v>135</v>
      </c>
      <c r="N58" s="36">
        <f t="shared" si="8"/>
        <v>283</v>
      </c>
      <c r="O58" s="36">
        <f t="shared" si="7"/>
        <v>141</v>
      </c>
      <c r="P58" s="36">
        <v>2000</v>
      </c>
      <c r="Q58" s="59">
        <f>ROUNDUP(G58/怪物属性!C58,0)</f>
        <v>3041</v>
      </c>
    </row>
    <row r="59" spans="1:17" x14ac:dyDescent="0.15">
      <c r="A59" s="36">
        <f>怪物属性!E59</f>
        <v>1408</v>
      </c>
      <c r="B59" s="36">
        <v>2069</v>
      </c>
      <c r="E59" s="36">
        <v>49</v>
      </c>
      <c r="F59" s="36">
        <f t="shared" si="0"/>
        <v>16022.580242554779</v>
      </c>
      <c r="G59" s="36">
        <f>INT(F59*VLOOKUP(E59,怪物属性!$B59:$C$60,2,FALSE)/$H$2)</f>
        <v>2765497</v>
      </c>
      <c r="H59" s="36">
        <f t="shared" si="1"/>
        <v>3084</v>
      </c>
      <c r="I59" s="36">
        <f t="shared" si="2"/>
        <v>673</v>
      </c>
      <c r="J59" s="36">
        <f t="shared" si="3"/>
        <v>270</v>
      </c>
      <c r="K59" s="36">
        <f t="shared" si="4"/>
        <v>203</v>
      </c>
      <c r="L59" s="36">
        <f t="shared" si="5"/>
        <v>272</v>
      </c>
      <c r="M59" s="36">
        <f t="shared" si="6"/>
        <v>135</v>
      </c>
      <c r="N59" s="36">
        <f t="shared" si="8"/>
        <v>284</v>
      </c>
      <c r="O59" s="36">
        <f t="shared" si="7"/>
        <v>142</v>
      </c>
      <c r="P59" s="36">
        <v>2000</v>
      </c>
      <c r="Q59" s="59">
        <f>ROUNDUP(G59/怪物属性!C59,0)</f>
        <v>3205</v>
      </c>
    </row>
    <row r="60" spans="1:17" x14ac:dyDescent="0.15">
      <c r="A60" s="36">
        <f>怪物属性!E60</f>
        <v>1504</v>
      </c>
      <c r="B60" s="39">
        <v>2213</v>
      </c>
      <c r="E60" s="36">
        <v>50</v>
      </c>
      <c r="F60" s="36">
        <f t="shared" si="0"/>
        <v>16866.999999999982</v>
      </c>
      <c r="G60" s="36">
        <f>INT(F60*VLOOKUP(E60,怪物属性!$B60:$C$60,2,FALSE)/$H$2)</f>
        <v>3009072</v>
      </c>
      <c r="H60" s="36">
        <f t="shared" si="1"/>
        <v>3187</v>
      </c>
      <c r="I60" s="36">
        <f t="shared" si="2"/>
        <v>686</v>
      </c>
      <c r="J60" s="36">
        <f t="shared" si="3"/>
        <v>275</v>
      </c>
      <c r="K60" s="36">
        <f t="shared" si="4"/>
        <v>206</v>
      </c>
      <c r="L60" s="36">
        <f t="shared" si="5"/>
        <v>274</v>
      </c>
      <c r="M60" s="36">
        <f t="shared" si="6"/>
        <v>136</v>
      </c>
      <c r="N60" s="36">
        <f t="shared" si="8"/>
        <v>286</v>
      </c>
      <c r="O60" s="36">
        <f t="shared" si="7"/>
        <v>143</v>
      </c>
      <c r="P60" s="36">
        <v>2000</v>
      </c>
      <c r="Q60" s="59">
        <f>ROUNDUP(G60/怪物属性!C60,0)</f>
        <v>3374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Y52"/>
  <sheetViews>
    <sheetView workbookViewId="0">
      <pane xSplit="4" ySplit="2" topLeftCell="E15" activePane="bottomRight" state="frozen"/>
      <selection pane="topRight" activeCell="D1" sqref="D1"/>
      <selection pane="bottomLeft" activeCell="A11" sqref="A11"/>
      <selection pane="bottomRight" activeCell="H11" sqref="H11"/>
    </sheetView>
  </sheetViews>
  <sheetFormatPr defaultRowHeight="12" x14ac:dyDescent="0.15"/>
  <cols>
    <col min="1" max="4" width="9" style="36"/>
    <col min="5" max="7" width="11.5" style="36" bestFit="1" customWidth="1"/>
    <col min="8" max="8" width="11.625" style="36" bestFit="1" customWidth="1"/>
    <col min="9" max="10" width="10.625" style="36" bestFit="1" customWidth="1"/>
    <col min="11" max="25" width="9.75" style="36" bestFit="1" customWidth="1"/>
    <col min="26" max="16384" width="9" style="36"/>
  </cols>
  <sheetData>
    <row r="2" spans="1:25" x14ac:dyDescent="0.15">
      <c r="A2" s="36" t="s">
        <v>212</v>
      </c>
      <c r="B2" s="36" t="s">
        <v>213</v>
      </c>
      <c r="D2" s="18" t="s">
        <v>203</v>
      </c>
      <c r="E2" s="18" t="s">
        <v>663</v>
      </c>
      <c r="F2" s="18" t="s">
        <v>662</v>
      </c>
      <c r="G2" s="18" t="s">
        <v>661</v>
      </c>
      <c r="H2" s="18" t="s">
        <v>658</v>
      </c>
      <c r="I2" s="18" t="s">
        <v>660</v>
      </c>
      <c r="J2" s="18" t="s">
        <v>659</v>
      </c>
      <c r="K2" s="18" t="s">
        <v>22</v>
      </c>
      <c r="L2" s="18" t="s">
        <v>23</v>
      </c>
      <c r="M2" s="18" t="s">
        <v>44</v>
      </c>
      <c r="N2" s="18" t="s">
        <v>179</v>
      </c>
      <c r="O2" s="18" t="s">
        <v>21</v>
      </c>
      <c r="P2" s="18" t="s">
        <v>207</v>
      </c>
      <c r="Q2" s="18" t="s">
        <v>193</v>
      </c>
      <c r="R2" s="18" t="s">
        <v>195</v>
      </c>
      <c r="S2" s="18" t="s">
        <v>197</v>
      </c>
      <c r="T2" s="18" t="s">
        <v>199</v>
      </c>
      <c r="U2" s="21" t="s">
        <v>24</v>
      </c>
      <c r="V2" s="18" t="s">
        <v>25</v>
      </c>
      <c r="W2" s="18" t="s">
        <v>26</v>
      </c>
      <c r="X2" s="18" t="s">
        <v>20</v>
      </c>
      <c r="Y2" s="18" t="s">
        <v>209</v>
      </c>
    </row>
    <row r="3" spans="1:25" x14ac:dyDescent="0.15">
      <c r="A3" s="36">
        <f>INT(怪物属性!R11^2/(怪物属性!R11+怪物属性!F11))</f>
        <v>171</v>
      </c>
      <c r="B3" s="36">
        <f>INT(怪物属性!F11^2/(怪物属性!F11+怪物属性!T11))</f>
        <v>119</v>
      </c>
      <c r="D3" s="36">
        <v>1</v>
      </c>
      <c r="E3" s="40" t="str">
        <f>10+(D3-1)*5&amp;","&amp;20+(D3-1)*5</f>
        <v>10,20</v>
      </c>
      <c r="F3" s="40" t="str">
        <f>10+(D3-1)*5&amp;","&amp;20+(D3-1)*5</f>
        <v>10,20</v>
      </c>
      <c r="G3" s="36" t="str">
        <f>10+(D3-1)*5&amp;","&amp;20+(D3-1)*5</f>
        <v>10,20</v>
      </c>
      <c r="H3" s="36" t="str">
        <f>10+(D3-1)*5&amp;","&amp;20+(D3-1)*5</f>
        <v>10,20</v>
      </c>
      <c r="I3" s="36" t="str">
        <f>10+(D3-1)*5&amp;","&amp;20+(D3-1)*5</f>
        <v>10,20</v>
      </c>
      <c r="J3" s="36" t="str">
        <f>10+(D3-1)*5&amp;","&amp;20+(D3-1)*5</f>
        <v>10,20</v>
      </c>
      <c r="K3" s="36" t="str">
        <f t="shared" ref="K3:K34" si="0">INT(B3*0.165*1.11)&amp;","&amp;INT(B3*0.2*1.11)</f>
        <v>21,26</v>
      </c>
      <c r="L3" s="36" t="str">
        <f t="shared" ref="L3:L34" si="1">INT(A3*0.165*1.11)&amp;","&amp;INT(A3*0.2*1.11)</f>
        <v>31,37</v>
      </c>
      <c r="M3" s="36" t="str">
        <f>INT(怪物属性!R11*0.055*0.91)&amp;","&amp;INT(怪物属性!R11*0.075*0.91)</f>
        <v>15,20</v>
      </c>
      <c r="N3" s="36" t="str">
        <f>INT(怪物属性!T11*0.055*0.91)&amp;","&amp;INT(怪物属性!T11*0.075*0.91)</f>
        <v>9,13</v>
      </c>
      <c r="O3" s="36" t="str">
        <f>INT(怪物属性!V11*0.025*0.91)&amp;","&amp;INT(怪物属性!V11*0.075*0.91)</f>
        <v>68,204</v>
      </c>
      <c r="P3" s="36" t="str">
        <f>INT(怪物属性!AD11*0.05*0.91)&amp;","&amp;INT(怪物属性!AD11*0.1*0.91)</f>
        <v>5,10</v>
      </c>
      <c r="Q3" s="36" t="str">
        <f>INT(怪物属性!X11*0.025*0.91)&amp;","&amp;INT(怪物属性!X11*0.075*0.91)</f>
        <v>2,8</v>
      </c>
      <c r="R3" s="36" t="str">
        <f>INT(怪物属性!Z11*0.025*0.91)&amp;","&amp;INT(怪物属性!Z11*0.075*0.91)</f>
        <v>1,4</v>
      </c>
      <c r="S3" s="36" t="str">
        <f>INT(怪物属性!AB11*0.025*0.91)&amp;","&amp;INT(怪物属性!AB11*0.075*0.91)</f>
        <v>5,15</v>
      </c>
      <c r="T3" s="36" t="str">
        <f>INT(怪物属性!AD11*0.025*0.91)&amp;","&amp;INT(怪物属性!AD11*0.075*0.91)</f>
        <v>2,7</v>
      </c>
      <c r="U3" s="59" t="str">
        <f>100+(D3-1)*10&amp;","&amp;200+(D3-1)*15</f>
        <v>100,200</v>
      </c>
      <c r="V3" s="36" t="str">
        <f>INT(怪物属性!K11*0.05)+2&amp;","&amp;INT(怪物属性!K11*0.075)+4</f>
        <v>4,7</v>
      </c>
      <c r="W3" s="36" t="str">
        <f>INT(怪物属性!C11*0.025)&amp;","&amp;INT(怪物属性!C11*0.075)</f>
        <v>1,4</v>
      </c>
      <c r="X3" s="36" t="str">
        <f>INT(怪物属性!V11*0.0025)&amp;","&amp;INT(怪物属性!V11*0.0075)</f>
        <v>7,22</v>
      </c>
      <c r="Y3" s="36" t="str">
        <f>INT(怪物属性!AF11*0.005)&amp;","&amp;INT(怪物属性!AF11*0.01)</f>
        <v>1,3</v>
      </c>
    </row>
    <row r="4" spans="1:25" x14ac:dyDescent="0.15">
      <c r="A4" s="36">
        <f>INT(怪物属性!R12^2/(怪物属性!R12+怪物属性!F12))</f>
        <v>179</v>
      </c>
      <c r="B4" s="36">
        <f>INT(怪物属性!F12^2/(怪物属性!F12+怪物属性!T12))</f>
        <v>123</v>
      </c>
      <c r="D4" s="36">
        <v>2</v>
      </c>
      <c r="E4" s="40" t="str">
        <f t="shared" ref="E4:E52" si="2">10+(D4-1)*5&amp;","&amp;20+(D4-1)*5</f>
        <v>15,25</v>
      </c>
      <c r="F4" s="40" t="str">
        <f t="shared" ref="F4:F52" si="3">10+(D4-1)*5&amp;","&amp;20+(D4-1)*5</f>
        <v>15,25</v>
      </c>
      <c r="G4" s="36" t="str">
        <f t="shared" ref="G4:G52" si="4">10+(D4-1)*5&amp;","&amp;20+(D4-1)*5</f>
        <v>15,25</v>
      </c>
      <c r="H4" s="36" t="str">
        <f t="shared" ref="H4:H52" si="5">10+(D4-1)*5&amp;","&amp;20+(D4-1)*5</f>
        <v>15,25</v>
      </c>
      <c r="I4" s="36" t="str">
        <f t="shared" ref="I4:I52" si="6">10+(D4-1)*5&amp;","&amp;20+(D4-1)*5</f>
        <v>15,25</v>
      </c>
      <c r="J4" s="36" t="str">
        <f t="shared" ref="J4:J52" si="7">10+(D4-1)*5&amp;","&amp;20+(D4-1)*5</f>
        <v>15,25</v>
      </c>
      <c r="K4" s="36" t="str">
        <f t="shared" si="0"/>
        <v>22,27</v>
      </c>
      <c r="L4" s="36" t="str">
        <f t="shared" si="1"/>
        <v>32,39</v>
      </c>
      <c r="M4" s="36" t="str">
        <f>INT(怪物属性!R12*0.055*0.91)&amp;","&amp;INT(怪物属性!R12*0.075*0.91)</f>
        <v>15,21</v>
      </c>
      <c r="N4" s="36" t="str">
        <f>INT(怪物属性!T12*0.055*0.91)&amp;","&amp;INT(怪物属性!T12*0.075*0.91)</f>
        <v>10,14</v>
      </c>
      <c r="O4" s="36" t="str">
        <f>INT(怪物属性!V12*0.025*0.91)&amp;","&amp;INT(怪物属性!V12*0.075*0.91)</f>
        <v>68,206</v>
      </c>
      <c r="P4" s="36" t="str">
        <f>INT(怪物属性!AD12*0.05*0.91)&amp;","&amp;INT(怪物属性!AD12*0.1*0.91)</f>
        <v>5,11</v>
      </c>
      <c r="Q4" s="36" t="str">
        <f>INT(怪物属性!X12*0.025*0.91)&amp;","&amp;INT(怪物属性!X12*0.075*0.91)</f>
        <v>3,9</v>
      </c>
      <c r="R4" s="36" t="str">
        <f>INT(怪物属性!Z12*0.025*0.91)&amp;","&amp;INT(怪物属性!Z12*0.075*0.91)</f>
        <v>1,5</v>
      </c>
      <c r="S4" s="36" t="str">
        <f>INT(怪物属性!AB12*0.025*0.91)&amp;","&amp;INT(怪物属性!AB12*0.075*0.91)</f>
        <v>5,15</v>
      </c>
      <c r="T4" s="36" t="str">
        <f>INT(怪物属性!AD12*0.025*0.91)&amp;","&amp;INT(怪物属性!AD12*0.075*0.91)</f>
        <v>2,8</v>
      </c>
      <c r="U4" s="59" t="str">
        <f t="shared" ref="U4:U52" si="8">100+(D4-1)*10&amp;","&amp;200+(D4-1)*15</f>
        <v>110,215</v>
      </c>
      <c r="V4" s="36" t="str">
        <f>INT(怪物属性!K12*0.05)+2&amp;","&amp;INT(怪物属性!K12*0.075)+4</f>
        <v>5,9</v>
      </c>
      <c r="W4" s="36" t="str">
        <f>INT(怪物属性!C12*0.025)&amp;","&amp;INT(怪物属性!C12*0.075)</f>
        <v>1,4</v>
      </c>
      <c r="X4" s="36" t="str">
        <f>INT(怪物属性!V12*0.0025)&amp;","&amp;INT(怪物属性!V12*0.0075)</f>
        <v>7,22</v>
      </c>
      <c r="Y4" s="36" t="str">
        <f>INT(怪物属性!AF12*0.005)&amp;","&amp;INT(怪物属性!AF12*0.01)</f>
        <v>1,3</v>
      </c>
    </row>
    <row r="5" spans="1:25" x14ac:dyDescent="0.15">
      <c r="A5" s="36">
        <f>INT(怪物属性!R13^2/(怪物属性!R13+怪物属性!F13))</f>
        <v>186</v>
      </c>
      <c r="B5" s="36">
        <f>INT(怪物属性!F13^2/(怪物属性!F13+怪物属性!T13))</f>
        <v>127</v>
      </c>
      <c r="D5" s="36">
        <v>3</v>
      </c>
      <c r="E5" s="40" t="str">
        <f t="shared" si="2"/>
        <v>20,30</v>
      </c>
      <c r="F5" s="40" t="str">
        <f t="shared" si="3"/>
        <v>20,30</v>
      </c>
      <c r="G5" s="36" t="str">
        <f t="shared" si="4"/>
        <v>20,30</v>
      </c>
      <c r="H5" s="36" t="str">
        <f t="shared" si="5"/>
        <v>20,30</v>
      </c>
      <c r="I5" s="36" t="str">
        <f t="shared" si="6"/>
        <v>20,30</v>
      </c>
      <c r="J5" s="36" t="str">
        <f t="shared" si="7"/>
        <v>20,30</v>
      </c>
      <c r="K5" s="36" t="str">
        <f t="shared" si="0"/>
        <v>23,28</v>
      </c>
      <c r="L5" s="36" t="str">
        <f t="shared" si="1"/>
        <v>34,41</v>
      </c>
      <c r="M5" s="36" t="str">
        <f>INT(怪物属性!R13*0.055*0.91)&amp;","&amp;INT(怪物属性!R13*0.075*0.91)</f>
        <v>16,22</v>
      </c>
      <c r="N5" s="36" t="str">
        <f>INT(怪物属性!T13*0.055*0.91)&amp;","&amp;INT(怪物属性!T13*0.075*0.91)</f>
        <v>11,15</v>
      </c>
      <c r="O5" s="36" t="str">
        <f>INT(怪物属性!V13*0.025*0.91)&amp;","&amp;INT(怪物属性!V13*0.075*0.91)</f>
        <v>69,208</v>
      </c>
      <c r="P5" s="36" t="str">
        <f>INT(怪物属性!AD13*0.05*0.91)&amp;","&amp;INT(怪物属性!AD13*0.1*0.91)</f>
        <v>6,12</v>
      </c>
      <c r="Q5" s="36" t="str">
        <f>INT(怪物属性!X13*0.025*0.91)&amp;","&amp;INT(怪物属性!X13*0.075*0.91)</f>
        <v>3,9</v>
      </c>
      <c r="R5" s="36" t="str">
        <f>INT(怪物属性!Z13*0.025*0.91)&amp;","&amp;INT(怪物属性!Z13*0.075*0.91)</f>
        <v>2,6</v>
      </c>
      <c r="S5" s="36" t="str">
        <f>INT(怪物属性!AB13*0.025*0.91)&amp;","&amp;INT(怪物属性!AB13*0.075*0.91)</f>
        <v>5,16</v>
      </c>
      <c r="T5" s="36" t="str">
        <f>INT(怪物属性!AD13*0.025*0.91)&amp;","&amp;INT(怪物属性!AD13*0.075*0.91)</f>
        <v>3,9</v>
      </c>
      <c r="U5" s="59" t="str">
        <f t="shared" si="8"/>
        <v>120,230</v>
      </c>
      <c r="V5" s="36" t="str">
        <f>INT(怪物属性!K13*0.05)+2&amp;","&amp;INT(怪物属性!K13*0.075)+4</f>
        <v>7,12</v>
      </c>
      <c r="W5" s="36" t="str">
        <f>INT(怪物属性!C13*0.025)&amp;","&amp;INT(怪物属性!C13*0.075)</f>
        <v>1,4</v>
      </c>
      <c r="X5" s="36" t="str">
        <f>INT(怪物属性!V13*0.0025)&amp;","&amp;INT(怪物属性!V13*0.0075)</f>
        <v>7,22</v>
      </c>
      <c r="Y5" s="36" t="str">
        <f>INT(怪物属性!AF13*0.005)&amp;","&amp;INT(怪物属性!AF13*0.01)</f>
        <v>1,3</v>
      </c>
    </row>
    <row r="6" spans="1:25" x14ac:dyDescent="0.15">
      <c r="A6" s="36">
        <f>INT(怪物属性!R14^2/(怪物属性!R14+怪物属性!F14))</f>
        <v>195</v>
      </c>
      <c r="B6" s="36">
        <f>INT(怪物属性!F14^2/(怪物属性!F14+怪物属性!T14))</f>
        <v>132</v>
      </c>
      <c r="D6" s="36">
        <v>4</v>
      </c>
      <c r="E6" s="40" t="str">
        <f t="shared" si="2"/>
        <v>25,35</v>
      </c>
      <c r="F6" s="40" t="str">
        <f t="shared" si="3"/>
        <v>25,35</v>
      </c>
      <c r="G6" s="36" t="str">
        <f t="shared" si="4"/>
        <v>25,35</v>
      </c>
      <c r="H6" s="36" t="str">
        <f t="shared" si="5"/>
        <v>25,35</v>
      </c>
      <c r="I6" s="36" t="str">
        <f t="shared" si="6"/>
        <v>25,35</v>
      </c>
      <c r="J6" s="36" t="str">
        <f t="shared" si="7"/>
        <v>25,35</v>
      </c>
      <c r="K6" s="36" t="str">
        <f t="shared" si="0"/>
        <v>24,29</v>
      </c>
      <c r="L6" s="36" t="str">
        <f t="shared" si="1"/>
        <v>35,43</v>
      </c>
      <c r="M6" s="36" t="str">
        <f>INT(怪物属性!R14*0.055*0.91)&amp;","&amp;INT(怪物属性!R14*0.075*0.91)</f>
        <v>17,23</v>
      </c>
      <c r="N6" s="36" t="str">
        <f>INT(怪物属性!T14*0.055*0.91)&amp;","&amp;INT(怪物属性!T14*0.075*0.91)</f>
        <v>11,16</v>
      </c>
      <c r="O6" s="36" t="str">
        <f>INT(怪物属性!V14*0.025*0.91)&amp;","&amp;INT(怪物属性!V14*0.075*0.91)</f>
        <v>69,209</v>
      </c>
      <c r="P6" s="36" t="str">
        <f>INT(怪物属性!AD14*0.05*0.91)&amp;","&amp;INT(怪物属性!AD14*0.1*0.91)</f>
        <v>6,13</v>
      </c>
      <c r="Q6" s="36" t="str">
        <f>INT(怪物属性!X14*0.025*0.91)&amp;","&amp;INT(怪物属性!X14*0.075*0.91)</f>
        <v>3,10</v>
      </c>
      <c r="R6" s="36" t="str">
        <f>INT(怪物属性!Z14*0.025*0.91)&amp;","&amp;INT(怪物属性!Z14*0.075*0.91)</f>
        <v>2,7</v>
      </c>
      <c r="S6" s="36" t="str">
        <f>INT(怪物属性!AB14*0.025*0.91)&amp;","&amp;INT(怪物属性!AB14*0.075*0.91)</f>
        <v>5,17</v>
      </c>
      <c r="T6" s="36" t="str">
        <f>INT(怪物属性!AD14*0.025*0.91)&amp;","&amp;INT(怪物属性!AD14*0.075*0.91)</f>
        <v>3,10</v>
      </c>
      <c r="U6" s="59" t="str">
        <f t="shared" si="8"/>
        <v>130,245</v>
      </c>
      <c r="V6" s="36" t="str">
        <f>INT(怪物属性!K14*0.05)+2&amp;","&amp;INT(怪物属性!K14*0.075)+4</f>
        <v>8,14</v>
      </c>
      <c r="W6" s="36" t="str">
        <f>INT(怪物属性!C14*0.025)&amp;","&amp;INT(怪物属性!C14*0.075)</f>
        <v>1,4</v>
      </c>
      <c r="X6" s="36" t="str">
        <f>INT(怪物属性!V14*0.0025)&amp;","&amp;INT(怪物属性!V14*0.0075)</f>
        <v>7,23</v>
      </c>
      <c r="Y6" s="36" t="str">
        <f>INT(怪物属性!AF14*0.005)&amp;","&amp;INT(怪物属性!AF14*0.01)</f>
        <v>1,3</v>
      </c>
    </row>
    <row r="7" spans="1:25" x14ac:dyDescent="0.15">
      <c r="A7" s="36">
        <f>INT(怪物属性!R15^2/(怪物属性!R15+怪物属性!F15))</f>
        <v>202</v>
      </c>
      <c r="B7" s="36">
        <f>INT(怪物属性!F15^2/(怪物属性!F15+怪物属性!T15))</f>
        <v>136</v>
      </c>
      <c r="D7" s="36">
        <v>5</v>
      </c>
      <c r="E7" s="40" t="str">
        <f t="shared" si="2"/>
        <v>30,40</v>
      </c>
      <c r="F7" s="40" t="str">
        <f t="shared" si="3"/>
        <v>30,40</v>
      </c>
      <c r="G7" s="36" t="str">
        <f t="shared" si="4"/>
        <v>30,40</v>
      </c>
      <c r="H7" s="36" t="str">
        <f t="shared" si="5"/>
        <v>30,40</v>
      </c>
      <c r="I7" s="36" t="str">
        <f t="shared" si="6"/>
        <v>30,40</v>
      </c>
      <c r="J7" s="36" t="str">
        <f t="shared" si="7"/>
        <v>30,40</v>
      </c>
      <c r="K7" s="36" t="str">
        <f t="shared" si="0"/>
        <v>24,30</v>
      </c>
      <c r="L7" s="36" t="str">
        <f t="shared" si="1"/>
        <v>36,44</v>
      </c>
      <c r="M7" s="36" t="str">
        <f>INT(怪物属性!R15*0.055*0.91)&amp;","&amp;INT(怪物属性!R15*0.075*0.91)</f>
        <v>17,24</v>
      </c>
      <c r="N7" s="36" t="str">
        <f>INT(怪物属性!T15*0.055*0.91)&amp;","&amp;INT(怪物属性!T15*0.075*0.91)</f>
        <v>12,17</v>
      </c>
      <c r="O7" s="36" t="str">
        <f>INT(怪物属性!V15*0.025*0.91)&amp;","&amp;INT(怪物属性!V15*0.075*0.91)</f>
        <v>70,211</v>
      </c>
      <c r="P7" s="36" t="str">
        <f>INT(怪物属性!AD15*0.05*0.91)&amp;","&amp;INT(怪物属性!AD15*0.1*0.91)</f>
        <v>7,15</v>
      </c>
      <c r="Q7" s="36" t="str">
        <f>INT(怪物属性!X15*0.025*0.91)&amp;","&amp;INT(怪物属性!X15*0.075*0.91)</f>
        <v>3,11</v>
      </c>
      <c r="R7" s="36" t="str">
        <f>INT(怪物属性!Z15*0.025*0.91)&amp;","&amp;INT(怪物属性!Z15*0.075*0.91)</f>
        <v>2,7</v>
      </c>
      <c r="S7" s="36" t="str">
        <f>INT(怪物属性!AB15*0.025*0.91)&amp;","&amp;INT(怪物属性!AB15*0.075*0.91)</f>
        <v>6,18</v>
      </c>
      <c r="T7" s="36" t="str">
        <f>INT(怪物属性!AD15*0.025*0.91)&amp;","&amp;INT(怪物属性!AD15*0.075*0.91)</f>
        <v>3,11</v>
      </c>
      <c r="U7" s="59" t="str">
        <f t="shared" si="8"/>
        <v>140,260</v>
      </c>
      <c r="V7" s="36" t="str">
        <f>INT(怪物属性!K15*0.05)+2&amp;","&amp;INT(怪物属性!K15*0.075)+4</f>
        <v>10,16</v>
      </c>
      <c r="W7" s="36" t="str">
        <f>INT(怪物属性!C15*0.025)&amp;","&amp;INT(怪物属性!C15*0.075)</f>
        <v>1,5</v>
      </c>
      <c r="X7" s="36" t="str">
        <f>INT(怪物属性!V15*0.0025)&amp;","&amp;INT(怪物属性!V15*0.0075)</f>
        <v>7,23</v>
      </c>
      <c r="Y7" s="36" t="str">
        <f>INT(怪物属性!AF15*0.005)&amp;","&amp;INT(怪物属性!AF15*0.01)</f>
        <v>1,3</v>
      </c>
    </row>
    <row r="8" spans="1:25" x14ac:dyDescent="0.15">
      <c r="A8" s="36">
        <f>INT(怪物属性!R16^2/(怪物属性!R16+怪物属性!F16))</f>
        <v>210</v>
      </c>
      <c r="B8" s="36">
        <f>INT(怪物属性!F16^2/(怪物属性!F16+怪物属性!T16))</f>
        <v>141</v>
      </c>
      <c r="D8" s="36">
        <v>6</v>
      </c>
      <c r="E8" s="40" t="str">
        <f t="shared" si="2"/>
        <v>35,45</v>
      </c>
      <c r="F8" s="40" t="str">
        <f t="shared" si="3"/>
        <v>35,45</v>
      </c>
      <c r="G8" s="36" t="str">
        <f t="shared" si="4"/>
        <v>35,45</v>
      </c>
      <c r="H8" s="36" t="str">
        <f t="shared" si="5"/>
        <v>35,45</v>
      </c>
      <c r="I8" s="36" t="str">
        <f t="shared" si="6"/>
        <v>35,45</v>
      </c>
      <c r="J8" s="36" t="str">
        <f t="shared" si="7"/>
        <v>35,45</v>
      </c>
      <c r="K8" s="36" t="str">
        <f t="shared" si="0"/>
        <v>25,31</v>
      </c>
      <c r="L8" s="36" t="str">
        <f t="shared" si="1"/>
        <v>38,46</v>
      </c>
      <c r="M8" s="36" t="str">
        <f>INT(怪物属性!R16*0.055*0.91)&amp;","&amp;INT(怪物属性!R16*0.075*0.91)</f>
        <v>18,25</v>
      </c>
      <c r="N8" s="36" t="str">
        <f>INT(怪物属性!T16*0.055*0.91)&amp;","&amp;INT(怪物属性!T16*0.075*0.91)</f>
        <v>13,18</v>
      </c>
      <c r="O8" s="36" t="str">
        <f>INT(怪物属性!V16*0.025*0.91)&amp;","&amp;INT(怪物属性!V16*0.075*0.91)</f>
        <v>71,214</v>
      </c>
      <c r="P8" s="36" t="str">
        <f>INT(怪物属性!AD16*0.05*0.91)&amp;","&amp;INT(怪物属性!AD16*0.1*0.91)</f>
        <v>8,16</v>
      </c>
      <c r="Q8" s="36" t="str">
        <f>INT(怪物属性!X16*0.025*0.91)&amp;","&amp;INT(怪物属性!X16*0.075*0.91)</f>
        <v>4,12</v>
      </c>
      <c r="R8" s="36" t="str">
        <f>INT(怪物属性!Z16*0.025*0.91)&amp;","&amp;INT(怪物属性!Z16*0.075*0.91)</f>
        <v>2,8</v>
      </c>
      <c r="S8" s="36" t="str">
        <f>INT(怪物属性!AB16*0.025*0.91)&amp;","&amp;INT(怪物属性!AB16*0.075*0.91)</f>
        <v>6,19</v>
      </c>
      <c r="T8" s="36" t="str">
        <f>INT(怪物属性!AD16*0.025*0.91)&amp;","&amp;INT(怪物属性!AD16*0.075*0.91)</f>
        <v>4,12</v>
      </c>
      <c r="U8" s="59" t="str">
        <f t="shared" si="8"/>
        <v>150,275</v>
      </c>
      <c r="V8" s="36" t="str">
        <f>INT(怪物属性!K16*0.05)+2&amp;","&amp;INT(怪物属性!K16*0.075)+4</f>
        <v>12,19</v>
      </c>
      <c r="W8" s="36" t="str">
        <f>INT(怪物属性!C16*0.025)&amp;","&amp;INT(怪物属性!C16*0.075)</f>
        <v>1,5</v>
      </c>
      <c r="X8" s="36" t="str">
        <f>INT(怪物属性!V16*0.0025)&amp;","&amp;INT(怪物属性!V16*0.0075)</f>
        <v>7,23</v>
      </c>
      <c r="Y8" s="36" t="str">
        <f>INT(怪物属性!AF16*0.005)&amp;","&amp;INT(怪物属性!AF16*0.01)</f>
        <v>1,3</v>
      </c>
    </row>
    <row r="9" spans="1:25" x14ac:dyDescent="0.15">
      <c r="A9" s="36">
        <f>INT(怪物属性!R17^2/(怪物属性!R17+怪物属性!F17))</f>
        <v>218</v>
      </c>
      <c r="B9" s="36">
        <f>INT(怪物属性!F17^2/(怪物属性!F17+怪物属性!T17))</f>
        <v>145</v>
      </c>
      <c r="D9" s="36">
        <v>7</v>
      </c>
      <c r="E9" s="40" t="str">
        <f t="shared" si="2"/>
        <v>40,50</v>
      </c>
      <c r="F9" s="40" t="str">
        <f t="shared" si="3"/>
        <v>40,50</v>
      </c>
      <c r="G9" s="36" t="str">
        <f t="shared" si="4"/>
        <v>40,50</v>
      </c>
      <c r="H9" s="36" t="str">
        <f t="shared" si="5"/>
        <v>40,50</v>
      </c>
      <c r="I9" s="36" t="str">
        <f t="shared" si="6"/>
        <v>40,50</v>
      </c>
      <c r="J9" s="36" t="str">
        <f t="shared" si="7"/>
        <v>40,50</v>
      </c>
      <c r="K9" s="36" t="str">
        <f t="shared" si="0"/>
        <v>26,32</v>
      </c>
      <c r="L9" s="36" t="str">
        <f t="shared" si="1"/>
        <v>39,48</v>
      </c>
      <c r="M9" s="36" t="str">
        <f>INT(怪物属性!R17*0.055*0.91)&amp;","&amp;INT(怪物属性!R17*0.075*0.91)</f>
        <v>19,26</v>
      </c>
      <c r="N9" s="36" t="str">
        <f>INT(怪物属性!T17*0.055*0.91)&amp;","&amp;INT(怪物属性!T17*0.075*0.91)</f>
        <v>13,18</v>
      </c>
      <c r="O9" s="36" t="str">
        <f>INT(怪物属性!V17*0.025*0.91)&amp;","&amp;INT(怪物属性!V17*0.075*0.91)</f>
        <v>72,216</v>
      </c>
      <c r="P9" s="36" t="str">
        <f>INT(怪物属性!AD17*0.05*0.91)&amp;","&amp;INT(怪物属性!AD17*0.1*0.91)</f>
        <v>8,17</v>
      </c>
      <c r="Q9" s="36" t="str">
        <f>INT(怪物属性!X17*0.025*0.91)&amp;","&amp;INT(怪物属性!X17*0.075*0.91)</f>
        <v>4,13</v>
      </c>
      <c r="R9" s="36" t="str">
        <f>INT(怪物属性!Z17*0.025*0.91)&amp;","&amp;INT(怪物属性!Z17*0.075*0.91)</f>
        <v>3,9</v>
      </c>
      <c r="S9" s="36" t="str">
        <f>INT(怪物属性!AB17*0.025*0.91)&amp;","&amp;INT(怪物属性!AB17*0.075*0.91)</f>
        <v>6,20</v>
      </c>
      <c r="T9" s="36" t="str">
        <f>INT(怪物属性!AD17*0.025*0.91)&amp;","&amp;INT(怪物属性!AD17*0.075*0.91)</f>
        <v>4,13</v>
      </c>
      <c r="U9" s="59" t="str">
        <f t="shared" si="8"/>
        <v>160,290</v>
      </c>
      <c r="V9" s="36" t="str">
        <f>INT(怪物属性!K17*0.05)+2&amp;","&amp;INT(怪物属性!K17*0.075)+4</f>
        <v>13,21</v>
      </c>
      <c r="W9" s="36" t="str">
        <f>INT(怪物属性!C17*0.025)&amp;","&amp;INT(怪物属性!C17*0.075)</f>
        <v>1,5</v>
      </c>
      <c r="X9" s="36" t="str">
        <f>INT(怪物属性!V17*0.0025)&amp;","&amp;INT(怪物属性!V17*0.0075)</f>
        <v>7,23</v>
      </c>
      <c r="Y9" s="36" t="str">
        <f>INT(怪物属性!AF17*0.005)&amp;","&amp;INT(怪物属性!AF17*0.01)</f>
        <v>2,4</v>
      </c>
    </row>
    <row r="10" spans="1:25" x14ac:dyDescent="0.15">
      <c r="A10" s="36">
        <f>INT(怪物属性!R18^2/(怪物属性!R18+怪物属性!F18))</f>
        <v>227</v>
      </c>
      <c r="B10" s="36">
        <f>INT(怪物属性!F18^2/(怪物属性!F18+怪物属性!T18))</f>
        <v>149</v>
      </c>
      <c r="D10" s="36">
        <v>8</v>
      </c>
      <c r="E10" s="40" t="str">
        <f t="shared" si="2"/>
        <v>45,55</v>
      </c>
      <c r="F10" s="40" t="str">
        <f t="shared" si="3"/>
        <v>45,55</v>
      </c>
      <c r="G10" s="36" t="str">
        <f t="shared" si="4"/>
        <v>45,55</v>
      </c>
      <c r="H10" s="36" t="str">
        <f t="shared" si="5"/>
        <v>45,55</v>
      </c>
      <c r="I10" s="36" t="str">
        <f t="shared" si="6"/>
        <v>45,55</v>
      </c>
      <c r="J10" s="36" t="str">
        <f t="shared" si="7"/>
        <v>45,55</v>
      </c>
      <c r="K10" s="36" t="str">
        <f t="shared" si="0"/>
        <v>27,33</v>
      </c>
      <c r="L10" s="36" t="str">
        <f t="shared" si="1"/>
        <v>41,50</v>
      </c>
      <c r="M10" s="36" t="str">
        <f>INT(怪物属性!R18*0.055*0.91)&amp;","&amp;INT(怪物属性!R18*0.075*0.91)</f>
        <v>19,27</v>
      </c>
      <c r="N10" s="36" t="str">
        <f>INT(怪物属性!T18*0.055*0.91)&amp;","&amp;INT(怪物属性!T18*0.075*0.91)</f>
        <v>14,19</v>
      </c>
      <c r="O10" s="36" t="str">
        <f>INT(怪物属性!V18*0.025*0.91)&amp;","&amp;INT(怪物属性!V18*0.075*0.91)</f>
        <v>72,218</v>
      </c>
      <c r="P10" s="36" t="str">
        <f>INT(怪物属性!AD18*0.05*0.91)&amp;","&amp;INT(怪物属性!AD18*0.1*0.91)</f>
        <v>9,18</v>
      </c>
      <c r="Q10" s="36" t="str">
        <f>INT(怪物属性!X18*0.025*0.91)&amp;","&amp;INT(怪物属性!X18*0.075*0.91)</f>
        <v>4,14</v>
      </c>
      <c r="R10" s="36" t="str">
        <f>INT(怪物属性!Z18*0.025*0.91)&amp;","&amp;INT(怪物属性!Z18*0.075*0.91)</f>
        <v>3,10</v>
      </c>
      <c r="S10" s="36" t="str">
        <f>INT(怪物属性!AB18*0.025*0.91)&amp;","&amp;INT(怪物属性!AB18*0.075*0.91)</f>
        <v>7,21</v>
      </c>
      <c r="T10" s="36" t="str">
        <f>INT(怪物属性!AD18*0.025*0.91)&amp;","&amp;INT(怪物属性!AD18*0.075*0.91)</f>
        <v>4,13</v>
      </c>
      <c r="U10" s="59" t="str">
        <f t="shared" si="8"/>
        <v>170,305</v>
      </c>
      <c r="V10" s="36" t="str">
        <f>INT(怪物属性!K18*0.05)+2&amp;","&amp;INT(怪物属性!K18*0.075)+4</f>
        <v>14,23</v>
      </c>
      <c r="W10" s="36" t="str">
        <f>INT(怪物属性!C18*0.025)&amp;","&amp;INT(怪物属性!C18*0.075)</f>
        <v>2,6</v>
      </c>
      <c r="X10" s="36" t="str">
        <f>INT(怪物属性!V18*0.0025)&amp;","&amp;INT(怪物属性!V18*0.0075)</f>
        <v>8,24</v>
      </c>
      <c r="Y10" s="36" t="str">
        <f>INT(怪物属性!AF18*0.005)&amp;","&amp;INT(怪物属性!AF18*0.01)</f>
        <v>2,4</v>
      </c>
    </row>
    <row r="11" spans="1:25" x14ac:dyDescent="0.15">
      <c r="A11" s="36">
        <f>INT(怪物属性!R19^2/(怪物属性!R19+怪物属性!F19))</f>
        <v>235</v>
      </c>
      <c r="B11" s="36">
        <f>INT(怪物属性!F19^2/(怪物属性!F19+怪物属性!T19))</f>
        <v>155</v>
      </c>
      <c r="D11" s="36">
        <v>9</v>
      </c>
      <c r="E11" s="40" t="str">
        <f t="shared" si="2"/>
        <v>50,60</v>
      </c>
      <c r="F11" s="40" t="str">
        <f t="shared" si="3"/>
        <v>50,60</v>
      </c>
      <c r="G11" s="36" t="str">
        <f t="shared" si="4"/>
        <v>50,60</v>
      </c>
      <c r="H11" s="36" t="str">
        <f t="shared" si="5"/>
        <v>50,60</v>
      </c>
      <c r="I11" s="36" t="str">
        <f t="shared" si="6"/>
        <v>50,60</v>
      </c>
      <c r="J11" s="36" t="str">
        <f t="shared" si="7"/>
        <v>50,60</v>
      </c>
      <c r="K11" s="36" t="str">
        <f t="shared" si="0"/>
        <v>28,34</v>
      </c>
      <c r="L11" s="36" t="str">
        <f t="shared" si="1"/>
        <v>43,52</v>
      </c>
      <c r="M11" s="36" t="str">
        <f>INT(怪物属性!R19*0.055*0.91)&amp;","&amp;INT(怪物属性!R19*0.075*0.91)</f>
        <v>20,28</v>
      </c>
      <c r="N11" s="36" t="str">
        <f>INT(怪物属性!T19*0.055*0.91)&amp;","&amp;INT(怪物属性!T19*0.075*0.91)</f>
        <v>15,20</v>
      </c>
      <c r="O11" s="36" t="str">
        <f>INT(怪物属性!V19*0.025*0.91)&amp;","&amp;INT(怪物属性!V19*0.075*0.91)</f>
        <v>73,221</v>
      </c>
      <c r="P11" s="36" t="str">
        <f>INT(怪物属性!AD19*0.05*0.91)&amp;","&amp;INT(怪物属性!AD19*0.1*0.91)</f>
        <v>9,19</v>
      </c>
      <c r="Q11" s="36" t="str">
        <f>INT(怪物属性!X19*0.025*0.91)&amp;","&amp;INT(怪物属性!X19*0.075*0.91)</f>
        <v>5,15</v>
      </c>
      <c r="R11" s="36" t="str">
        <f>INT(怪物属性!Z19*0.025*0.91)&amp;","&amp;INT(怪物属性!Z19*0.075*0.91)</f>
        <v>3,11</v>
      </c>
      <c r="S11" s="36" t="str">
        <f>INT(怪物属性!AB19*0.025*0.91)&amp;","&amp;INT(怪物属性!AB19*0.075*0.91)</f>
        <v>7,22</v>
      </c>
      <c r="T11" s="36" t="str">
        <f>INT(怪物属性!AD19*0.025*0.91)&amp;","&amp;INT(怪物属性!AD19*0.075*0.91)</f>
        <v>4,14</v>
      </c>
      <c r="U11" s="59" t="str">
        <f t="shared" si="8"/>
        <v>180,320</v>
      </c>
      <c r="V11" s="36" t="str">
        <f>INT(怪物属性!K19*0.05)+2&amp;","&amp;INT(怪物属性!K19*0.075)+4</f>
        <v>16,25</v>
      </c>
      <c r="W11" s="36" t="str">
        <f>INT(怪物属性!C19*0.025)&amp;","&amp;INT(怪物属性!C19*0.075)</f>
        <v>2,7</v>
      </c>
      <c r="X11" s="36" t="str">
        <f>INT(怪物属性!V19*0.0025)&amp;","&amp;INT(怪物属性!V19*0.0075)</f>
        <v>8,24</v>
      </c>
      <c r="Y11" s="36" t="str">
        <f>INT(怪物属性!AF19*0.005)&amp;","&amp;INT(怪物属性!AF19*0.01)</f>
        <v>2,4</v>
      </c>
    </row>
    <row r="12" spans="1:25" x14ac:dyDescent="0.15">
      <c r="A12" s="36">
        <f>INT(怪物属性!R20^2/(怪物属性!R20+怪物属性!F20))</f>
        <v>244</v>
      </c>
      <c r="B12" s="36">
        <f>INT(怪物属性!F20^2/(怪物属性!F20+怪物属性!T20))</f>
        <v>160</v>
      </c>
      <c r="D12" s="36">
        <v>10</v>
      </c>
      <c r="E12" s="40" t="str">
        <f t="shared" si="2"/>
        <v>55,65</v>
      </c>
      <c r="F12" s="40" t="str">
        <f t="shared" si="3"/>
        <v>55,65</v>
      </c>
      <c r="G12" s="36" t="str">
        <f t="shared" si="4"/>
        <v>55,65</v>
      </c>
      <c r="H12" s="36" t="str">
        <f t="shared" si="5"/>
        <v>55,65</v>
      </c>
      <c r="I12" s="36" t="str">
        <f t="shared" si="6"/>
        <v>55,65</v>
      </c>
      <c r="J12" s="36" t="str">
        <f t="shared" si="7"/>
        <v>55,65</v>
      </c>
      <c r="K12" s="36" t="str">
        <f t="shared" si="0"/>
        <v>29,35</v>
      </c>
      <c r="L12" s="36" t="str">
        <f t="shared" si="1"/>
        <v>44,54</v>
      </c>
      <c r="M12" s="36" t="str">
        <f>INT(怪物属性!R20*0.055*0.91)&amp;","&amp;INT(怪物属性!R20*0.075*0.91)</f>
        <v>21,29</v>
      </c>
      <c r="N12" s="36" t="str">
        <f>INT(怪物属性!T20*0.055*0.91)&amp;","&amp;INT(怪物属性!T20*0.075*0.91)</f>
        <v>16,21</v>
      </c>
      <c r="O12" s="36" t="str">
        <f>INT(怪物属性!V20*0.025*0.91)&amp;","&amp;INT(怪物属性!V20*0.075*0.91)</f>
        <v>74,224</v>
      </c>
      <c r="P12" s="36" t="str">
        <f>INT(怪物属性!AD20*0.05*0.91)&amp;","&amp;INT(怪物属性!AD20*0.1*0.91)</f>
        <v>10,20</v>
      </c>
      <c r="Q12" s="36" t="str">
        <f>INT(怪物属性!X20*0.025*0.91)&amp;","&amp;INT(怪物属性!X20*0.075*0.91)</f>
        <v>5,16</v>
      </c>
      <c r="R12" s="36" t="str">
        <f>INT(怪物属性!Z20*0.025*0.91)&amp;","&amp;INT(怪物属性!Z20*0.075*0.91)</f>
        <v>4,12</v>
      </c>
      <c r="S12" s="36" t="str">
        <f>INT(怪物属性!AB20*0.025*0.91)&amp;","&amp;INT(怪物属性!AB20*0.075*0.91)</f>
        <v>7,23</v>
      </c>
      <c r="T12" s="36" t="str">
        <f>INT(怪物属性!AD20*0.025*0.91)&amp;","&amp;INT(怪物属性!AD20*0.075*0.91)</f>
        <v>5,15</v>
      </c>
      <c r="U12" s="59" t="str">
        <f t="shared" si="8"/>
        <v>190,335</v>
      </c>
      <c r="V12" s="36" t="str">
        <f>INT(怪物属性!K20*0.05)+2&amp;","&amp;INT(怪物属性!K20*0.075)+4</f>
        <v>17,27</v>
      </c>
      <c r="W12" s="36" t="str">
        <f>INT(怪物属性!C20*0.025)&amp;","&amp;INT(怪物属性!C20*0.075)</f>
        <v>2,7</v>
      </c>
      <c r="X12" s="36" t="str">
        <f>INT(怪物属性!V20*0.0025)&amp;","&amp;INT(怪物属性!V20*0.0075)</f>
        <v>8,24</v>
      </c>
      <c r="Y12" s="36" t="str">
        <f>INT(怪物属性!AF20*0.005)&amp;","&amp;INT(怪物属性!AF20*0.01)</f>
        <v>2,4</v>
      </c>
    </row>
    <row r="13" spans="1:25" x14ac:dyDescent="0.15">
      <c r="A13" s="36">
        <f>INT(怪物属性!R21^2/(怪物属性!R21+怪物属性!F21))</f>
        <v>253</v>
      </c>
      <c r="B13" s="36">
        <f>INT(怪物属性!F21^2/(怪物属性!F21+怪物属性!T21))</f>
        <v>165</v>
      </c>
      <c r="D13" s="36">
        <v>11</v>
      </c>
      <c r="E13" s="40" t="str">
        <f t="shared" si="2"/>
        <v>60,70</v>
      </c>
      <c r="F13" s="40" t="str">
        <f t="shared" si="3"/>
        <v>60,70</v>
      </c>
      <c r="G13" s="36" t="str">
        <f t="shared" si="4"/>
        <v>60,70</v>
      </c>
      <c r="H13" s="36" t="str">
        <f t="shared" si="5"/>
        <v>60,70</v>
      </c>
      <c r="I13" s="36" t="str">
        <f t="shared" si="6"/>
        <v>60,70</v>
      </c>
      <c r="J13" s="36" t="str">
        <f t="shared" si="7"/>
        <v>60,70</v>
      </c>
      <c r="K13" s="36" t="str">
        <f t="shared" si="0"/>
        <v>30,36</v>
      </c>
      <c r="L13" s="36" t="str">
        <f t="shared" si="1"/>
        <v>46,56</v>
      </c>
      <c r="M13" s="36" t="str">
        <f>INT(怪物属性!R21*0.055*0.91)&amp;","&amp;INT(怪物属性!R21*0.075*0.91)</f>
        <v>22,30</v>
      </c>
      <c r="N13" s="36" t="str">
        <f>INT(怪物属性!T21*0.055*0.91)&amp;","&amp;INT(怪物属性!T21*0.075*0.91)</f>
        <v>16,22</v>
      </c>
      <c r="O13" s="36" t="str">
        <f>INT(怪物属性!V21*0.025*0.91)&amp;","&amp;INT(怪物属性!V21*0.075*0.91)</f>
        <v>75,227</v>
      </c>
      <c r="P13" s="36" t="str">
        <f>INT(怪物属性!AD21*0.05*0.91)&amp;","&amp;INT(怪物属性!AD21*0.1*0.91)</f>
        <v>11,22</v>
      </c>
      <c r="Q13" s="36" t="str">
        <f>INT(怪物属性!X21*0.025*0.91)&amp;","&amp;INT(怪物属性!X21*0.075*0.91)</f>
        <v>5,17</v>
      </c>
      <c r="R13" s="36" t="str">
        <f>INT(怪物属性!Z21*0.025*0.91)&amp;","&amp;INT(怪物属性!Z21*0.075*0.91)</f>
        <v>4,13</v>
      </c>
      <c r="S13" s="36" t="str">
        <f>INT(怪物属性!AB21*0.025*0.91)&amp;","&amp;INT(怪物属性!AB21*0.075*0.91)</f>
        <v>8,24</v>
      </c>
      <c r="T13" s="36" t="str">
        <f>INT(怪物属性!AD21*0.025*0.91)&amp;","&amp;INT(怪物属性!AD21*0.075*0.91)</f>
        <v>5,16</v>
      </c>
      <c r="U13" s="59" t="str">
        <f t="shared" si="8"/>
        <v>200,350</v>
      </c>
      <c r="V13" s="36" t="str">
        <f>INT(怪物属性!K21*0.05)+2&amp;","&amp;INT(怪物属性!K21*0.075)+4</f>
        <v>19,29</v>
      </c>
      <c r="W13" s="36" t="str">
        <f>INT(怪物属性!C21*0.025)&amp;","&amp;INT(怪物属性!C21*0.075)</f>
        <v>2,8</v>
      </c>
      <c r="X13" s="36" t="str">
        <f>INT(怪物属性!V21*0.0025)&amp;","&amp;INT(怪物属性!V21*0.0075)</f>
        <v>8,24</v>
      </c>
      <c r="Y13" s="36" t="str">
        <f>INT(怪物属性!AF21*0.005)&amp;","&amp;INT(怪物属性!AF21*0.01)</f>
        <v>2,4</v>
      </c>
    </row>
    <row r="14" spans="1:25" x14ac:dyDescent="0.15">
      <c r="A14" s="36">
        <f>INT(怪物属性!R22^2/(怪物属性!R22+怪物属性!F22))</f>
        <v>262</v>
      </c>
      <c r="B14" s="36">
        <f>INT(怪物属性!F22^2/(怪物属性!F22+怪物属性!T22))</f>
        <v>170</v>
      </c>
      <c r="D14" s="36">
        <v>12</v>
      </c>
      <c r="E14" s="40" t="str">
        <f t="shared" si="2"/>
        <v>65,75</v>
      </c>
      <c r="F14" s="40" t="str">
        <f t="shared" si="3"/>
        <v>65,75</v>
      </c>
      <c r="G14" s="36" t="str">
        <f t="shared" si="4"/>
        <v>65,75</v>
      </c>
      <c r="H14" s="36" t="str">
        <f t="shared" si="5"/>
        <v>65,75</v>
      </c>
      <c r="I14" s="36" t="str">
        <f t="shared" si="6"/>
        <v>65,75</v>
      </c>
      <c r="J14" s="36" t="str">
        <f t="shared" si="7"/>
        <v>65,75</v>
      </c>
      <c r="K14" s="36" t="str">
        <f t="shared" si="0"/>
        <v>31,37</v>
      </c>
      <c r="L14" s="36" t="str">
        <f t="shared" si="1"/>
        <v>47,58</v>
      </c>
      <c r="M14" s="36" t="str">
        <f>INT(怪物属性!R22*0.055*0.91)&amp;","&amp;INT(怪物属性!R22*0.075*0.91)</f>
        <v>22,31</v>
      </c>
      <c r="N14" s="36" t="str">
        <f>INT(怪物属性!T22*0.055*0.91)&amp;","&amp;INT(怪物属性!T22*0.075*0.91)</f>
        <v>17,23</v>
      </c>
      <c r="O14" s="36" t="str">
        <f>INT(怪物属性!V22*0.025*0.91)&amp;","&amp;INT(怪物属性!V22*0.075*0.91)</f>
        <v>76,230</v>
      </c>
      <c r="P14" s="36" t="str">
        <f>INT(怪物属性!AD22*0.05*0.91)&amp;","&amp;INT(怪物属性!AD22*0.1*0.91)</f>
        <v>11,23</v>
      </c>
      <c r="Q14" s="36" t="str">
        <f>INT(怪物属性!X22*0.025*0.91)&amp;","&amp;INT(怪物属性!X22*0.075*0.91)</f>
        <v>6,18</v>
      </c>
      <c r="R14" s="36" t="str">
        <f>INT(怪物属性!Z22*0.025*0.91)&amp;","&amp;INT(怪物属性!Z22*0.075*0.91)</f>
        <v>4,14</v>
      </c>
      <c r="S14" s="36" t="str">
        <f>INT(怪物属性!AB22*0.025*0.91)&amp;","&amp;INT(怪物属性!AB22*0.075*0.91)</f>
        <v>8,25</v>
      </c>
      <c r="T14" s="36" t="str">
        <f>INT(怪物属性!AD22*0.025*0.91)&amp;","&amp;INT(怪物属性!AD22*0.075*0.91)</f>
        <v>5,17</v>
      </c>
      <c r="U14" s="59" t="str">
        <f t="shared" si="8"/>
        <v>210,365</v>
      </c>
      <c r="V14" s="36" t="str">
        <f>INT(怪物属性!K22*0.05)+2&amp;","&amp;INT(怪物属性!K22*0.075)+4</f>
        <v>20,32</v>
      </c>
      <c r="W14" s="36" t="str">
        <f>INT(怪物属性!C22*0.025)&amp;","&amp;INT(怪物属性!C22*0.075)</f>
        <v>3,9</v>
      </c>
      <c r="X14" s="36" t="str">
        <f>INT(怪物属性!V22*0.0025)&amp;","&amp;INT(怪物属性!V22*0.0075)</f>
        <v>8,25</v>
      </c>
      <c r="Y14" s="36" t="str">
        <f>INT(怪物属性!AF22*0.005)&amp;","&amp;INT(怪物属性!AF22*0.01)</f>
        <v>2,4</v>
      </c>
    </row>
    <row r="15" spans="1:25" x14ac:dyDescent="0.15">
      <c r="A15" s="36">
        <f>INT(怪物属性!R23^2/(怪物属性!R23+怪物属性!F23))</f>
        <v>271</v>
      </c>
      <c r="B15" s="36">
        <f>INT(怪物属性!F23^2/(怪物属性!F23+怪物属性!T23))</f>
        <v>175</v>
      </c>
      <c r="D15" s="36">
        <v>13</v>
      </c>
      <c r="E15" s="40" t="str">
        <f t="shared" si="2"/>
        <v>70,80</v>
      </c>
      <c r="F15" s="40" t="str">
        <f t="shared" si="3"/>
        <v>70,80</v>
      </c>
      <c r="G15" s="36" t="str">
        <f t="shared" si="4"/>
        <v>70,80</v>
      </c>
      <c r="H15" s="36" t="str">
        <f t="shared" si="5"/>
        <v>70,80</v>
      </c>
      <c r="I15" s="36" t="str">
        <f t="shared" si="6"/>
        <v>70,80</v>
      </c>
      <c r="J15" s="36" t="str">
        <f t="shared" si="7"/>
        <v>70,80</v>
      </c>
      <c r="K15" s="36" t="str">
        <f t="shared" si="0"/>
        <v>32,38</v>
      </c>
      <c r="L15" s="36" t="str">
        <f t="shared" si="1"/>
        <v>49,60</v>
      </c>
      <c r="M15" s="36" t="str">
        <f>INT(怪物属性!R23*0.055*0.91)&amp;","&amp;INT(怪物属性!R23*0.075*0.91)</f>
        <v>23,32</v>
      </c>
      <c r="N15" s="36" t="str">
        <f>INT(怪物属性!T23*0.055*0.91)&amp;","&amp;INT(怪物属性!T23*0.075*0.91)</f>
        <v>18,24</v>
      </c>
      <c r="O15" s="36" t="str">
        <f>INT(怪物属性!V23*0.025*0.91)&amp;","&amp;INT(怪物属性!V23*0.075*0.91)</f>
        <v>78,234</v>
      </c>
      <c r="P15" s="36" t="str">
        <f>INT(怪物属性!AD23*0.05*0.91)&amp;","&amp;INT(怪物属性!AD23*0.1*0.91)</f>
        <v>12,24</v>
      </c>
      <c r="Q15" s="36" t="str">
        <f>INT(怪物属性!X23*0.025*0.91)&amp;","&amp;INT(怪物属性!X23*0.075*0.91)</f>
        <v>6,19</v>
      </c>
      <c r="R15" s="36" t="str">
        <f>INT(怪物属性!Z23*0.025*0.91)&amp;","&amp;INT(怪物属性!Z23*0.075*0.91)</f>
        <v>4,14</v>
      </c>
      <c r="S15" s="36" t="str">
        <f>INT(怪物属性!AB23*0.025*0.91)&amp;","&amp;INT(怪物属性!AB23*0.075*0.91)</f>
        <v>8,26</v>
      </c>
      <c r="T15" s="36" t="str">
        <f>INT(怪物属性!AD23*0.025*0.91)&amp;","&amp;INT(怪物属性!AD23*0.075*0.91)</f>
        <v>6,18</v>
      </c>
      <c r="U15" s="59" t="str">
        <f t="shared" si="8"/>
        <v>220,380</v>
      </c>
      <c r="V15" s="36" t="str">
        <f>INT(怪物属性!K23*0.05)+2&amp;","&amp;INT(怪物属性!K23*0.075)+4</f>
        <v>22,34</v>
      </c>
      <c r="W15" s="36" t="str">
        <f>INT(怪物属性!C23*0.025)&amp;","&amp;INT(怪物属性!C23*0.075)</f>
        <v>3,9</v>
      </c>
      <c r="X15" s="36" t="str">
        <f>INT(怪物属性!V23*0.0025)&amp;","&amp;INT(怪物属性!V23*0.0075)</f>
        <v>8,25</v>
      </c>
      <c r="Y15" s="36" t="str">
        <f>INT(怪物属性!AF23*0.005)&amp;","&amp;INT(怪物属性!AF23*0.01)</f>
        <v>2,5</v>
      </c>
    </row>
    <row r="16" spans="1:25" x14ac:dyDescent="0.15">
      <c r="A16" s="36">
        <f>INT(怪物属性!R24^2/(怪物属性!R24+怪物属性!F24))</f>
        <v>281</v>
      </c>
      <c r="B16" s="36">
        <f>INT(怪物属性!F24^2/(怪物属性!F24+怪物属性!T24))</f>
        <v>181</v>
      </c>
      <c r="D16" s="36">
        <v>14</v>
      </c>
      <c r="E16" s="40" t="str">
        <f t="shared" si="2"/>
        <v>75,85</v>
      </c>
      <c r="F16" s="40" t="str">
        <f t="shared" si="3"/>
        <v>75,85</v>
      </c>
      <c r="G16" s="36" t="str">
        <f t="shared" si="4"/>
        <v>75,85</v>
      </c>
      <c r="H16" s="36" t="str">
        <f t="shared" si="5"/>
        <v>75,85</v>
      </c>
      <c r="I16" s="36" t="str">
        <f t="shared" si="6"/>
        <v>75,85</v>
      </c>
      <c r="J16" s="36" t="str">
        <f t="shared" si="7"/>
        <v>75,85</v>
      </c>
      <c r="K16" s="36" t="str">
        <f t="shared" si="0"/>
        <v>33,40</v>
      </c>
      <c r="L16" s="36" t="str">
        <f t="shared" si="1"/>
        <v>51,62</v>
      </c>
      <c r="M16" s="36" t="str">
        <f>INT(怪物属性!R24*0.055*0.91)&amp;","&amp;INT(怪物属性!R24*0.075*0.91)</f>
        <v>24,33</v>
      </c>
      <c r="N16" s="36" t="str">
        <f>INT(怪物属性!T24*0.055*0.91)&amp;","&amp;INT(怪物属性!T24*0.075*0.91)</f>
        <v>19,26</v>
      </c>
      <c r="O16" s="36" t="str">
        <f>INT(怪物属性!V24*0.025*0.91)&amp;","&amp;INT(怪物属性!V24*0.075*0.91)</f>
        <v>79,238</v>
      </c>
      <c r="P16" s="36" t="str">
        <f>INT(怪物属性!AD24*0.05*0.91)&amp;","&amp;INT(怪物属性!AD24*0.1*0.91)</f>
        <v>12,25</v>
      </c>
      <c r="Q16" s="36" t="str">
        <f>INT(怪物属性!X24*0.025*0.91)&amp;","&amp;INT(怪物属性!X24*0.075*0.91)</f>
        <v>6,20</v>
      </c>
      <c r="R16" s="36" t="str">
        <f>INT(怪物属性!Z24*0.025*0.91)&amp;","&amp;INT(怪物属性!Z24*0.075*0.91)</f>
        <v>5,15</v>
      </c>
      <c r="S16" s="36" t="str">
        <f>INT(怪物属性!AB24*0.025*0.91)&amp;","&amp;INT(怪物属性!AB24*0.075*0.91)</f>
        <v>9,27</v>
      </c>
      <c r="T16" s="36" t="str">
        <f>INT(怪物属性!AD24*0.025*0.91)&amp;","&amp;INT(怪物属性!AD24*0.075*0.91)</f>
        <v>6,19</v>
      </c>
      <c r="U16" s="59" t="str">
        <f t="shared" si="8"/>
        <v>230,395</v>
      </c>
      <c r="V16" s="36" t="str">
        <f>INT(怪物属性!K24*0.05)+2&amp;","&amp;INT(怪物属性!K24*0.075)+4</f>
        <v>23,36</v>
      </c>
      <c r="W16" s="36" t="str">
        <f>INT(怪物属性!C24*0.025)&amp;","&amp;INT(怪物属性!C24*0.075)</f>
        <v>3,10</v>
      </c>
      <c r="X16" s="36" t="str">
        <f>INT(怪物属性!V24*0.0025)&amp;","&amp;INT(怪物属性!V24*0.0075)</f>
        <v>8,26</v>
      </c>
      <c r="Y16" s="36" t="str">
        <f>INT(怪物属性!AF24*0.005)&amp;","&amp;INT(怪物属性!AF24*0.01)</f>
        <v>2,5</v>
      </c>
    </row>
    <row r="17" spans="1:25" x14ac:dyDescent="0.15">
      <c r="A17" s="36">
        <f>INT(怪物属性!R25^2/(怪物属性!R25+怪物属性!F25))</f>
        <v>291</v>
      </c>
      <c r="B17" s="36">
        <f>INT(怪物属性!F25^2/(怪物属性!F25+怪物属性!T25))</f>
        <v>187</v>
      </c>
      <c r="D17" s="36">
        <v>15</v>
      </c>
      <c r="E17" s="40" t="str">
        <f t="shared" si="2"/>
        <v>80,90</v>
      </c>
      <c r="F17" s="40" t="str">
        <f t="shared" si="3"/>
        <v>80,90</v>
      </c>
      <c r="G17" s="36" t="str">
        <f t="shared" si="4"/>
        <v>80,90</v>
      </c>
      <c r="H17" s="36" t="str">
        <f t="shared" si="5"/>
        <v>80,90</v>
      </c>
      <c r="I17" s="36" t="str">
        <f t="shared" si="6"/>
        <v>80,90</v>
      </c>
      <c r="J17" s="36" t="str">
        <f t="shared" si="7"/>
        <v>80,90</v>
      </c>
      <c r="K17" s="36" t="str">
        <f t="shared" si="0"/>
        <v>34,41</v>
      </c>
      <c r="L17" s="36" t="str">
        <f t="shared" si="1"/>
        <v>53,64</v>
      </c>
      <c r="M17" s="36" t="str">
        <f>INT(怪物属性!R25*0.055*0.91)&amp;","&amp;INT(怪物属性!R25*0.075*0.91)</f>
        <v>25,34</v>
      </c>
      <c r="N17" s="36" t="str">
        <f>INT(怪物属性!T25*0.055*0.91)&amp;","&amp;INT(怪物属性!T25*0.075*0.91)</f>
        <v>19,27</v>
      </c>
      <c r="O17" s="36" t="str">
        <f>INT(怪物属性!V25*0.025*0.91)&amp;","&amp;INT(怪物属性!V25*0.075*0.91)</f>
        <v>80,242</v>
      </c>
      <c r="P17" s="36" t="str">
        <f>INT(怪物属性!AD25*0.05*0.91)&amp;","&amp;INT(怪物属性!AD25*0.1*0.91)</f>
        <v>13,27</v>
      </c>
      <c r="Q17" s="36" t="str">
        <f>INT(怪物属性!X25*0.025*0.91)&amp;","&amp;INT(怪物属性!X25*0.075*0.91)</f>
        <v>7,21</v>
      </c>
      <c r="R17" s="36" t="str">
        <f>INT(怪物属性!Z25*0.025*0.91)&amp;","&amp;INT(怪物属性!Z25*0.075*0.91)</f>
        <v>5,16</v>
      </c>
      <c r="S17" s="36" t="str">
        <f>INT(怪物属性!AB25*0.025*0.91)&amp;","&amp;INT(怪物属性!AB25*0.075*0.91)</f>
        <v>9,28</v>
      </c>
      <c r="T17" s="36" t="str">
        <f>INT(怪物属性!AD25*0.025*0.91)&amp;","&amp;INT(怪物属性!AD25*0.075*0.91)</f>
        <v>6,20</v>
      </c>
      <c r="U17" s="59" t="str">
        <f t="shared" si="8"/>
        <v>240,410</v>
      </c>
      <c r="V17" s="36" t="str">
        <f>INT(怪物属性!K25*0.05)+2&amp;","&amp;INT(怪物属性!K25*0.075)+4</f>
        <v>24,38</v>
      </c>
      <c r="W17" s="36" t="str">
        <f>INT(怪物属性!C25*0.025)&amp;","&amp;INT(怪物属性!C25*0.075)</f>
        <v>3,11</v>
      </c>
      <c r="X17" s="36" t="str">
        <f>INT(怪物属性!V25*0.0025)&amp;","&amp;INT(怪物属性!V25*0.0075)</f>
        <v>8,26</v>
      </c>
      <c r="Y17" s="36" t="str">
        <f>INT(怪物属性!AF25*0.005)&amp;","&amp;INT(怪物属性!AF25*0.01)</f>
        <v>2,5</v>
      </c>
    </row>
    <row r="18" spans="1:25" x14ac:dyDescent="0.15">
      <c r="A18" s="36">
        <f>INT(怪物属性!R26^2/(怪物属性!R26+怪物属性!F26))</f>
        <v>301</v>
      </c>
      <c r="B18" s="36">
        <f>INT(怪物属性!F26^2/(怪物属性!F26+怪物属性!T26))</f>
        <v>193</v>
      </c>
      <c r="D18" s="36">
        <v>16</v>
      </c>
      <c r="E18" s="40" t="str">
        <f t="shared" si="2"/>
        <v>85,95</v>
      </c>
      <c r="F18" s="40" t="str">
        <f t="shared" si="3"/>
        <v>85,95</v>
      </c>
      <c r="G18" s="36" t="str">
        <f t="shared" si="4"/>
        <v>85,95</v>
      </c>
      <c r="H18" s="36" t="str">
        <f t="shared" si="5"/>
        <v>85,95</v>
      </c>
      <c r="I18" s="36" t="str">
        <f t="shared" si="6"/>
        <v>85,95</v>
      </c>
      <c r="J18" s="36" t="str">
        <f t="shared" si="7"/>
        <v>85,95</v>
      </c>
      <c r="K18" s="36" t="str">
        <f t="shared" si="0"/>
        <v>35,42</v>
      </c>
      <c r="L18" s="36" t="str">
        <f t="shared" si="1"/>
        <v>55,66</v>
      </c>
      <c r="M18" s="36" t="str">
        <f>INT(怪物属性!R26*0.055*0.91)&amp;","&amp;INT(怪物属性!R26*0.075*0.91)</f>
        <v>26,36</v>
      </c>
      <c r="N18" s="36" t="str">
        <f>INT(怪物属性!T26*0.055*0.91)&amp;","&amp;INT(怪物属性!T26*0.075*0.91)</f>
        <v>20,28</v>
      </c>
      <c r="O18" s="36" t="str">
        <f>INT(怪物属性!V26*0.025*0.91)&amp;","&amp;INT(怪物属性!V26*0.075*0.91)</f>
        <v>82,247</v>
      </c>
      <c r="P18" s="36" t="str">
        <f>INT(怪物属性!AD26*0.05*0.91)&amp;","&amp;INT(怪物属性!AD26*0.1*0.91)</f>
        <v>14,28</v>
      </c>
      <c r="Q18" s="36" t="str">
        <f>INT(怪物属性!X26*0.025*0.91)&amp;","&amp;INT(怪物属性!X26*0.075*0.91)</f>
        <v>7,22</v>
      </c>
      <c r="R18" s="36" t="str">
        <f>INT(怪物属性!Z26*0.025*0.91)&amp;","&amp;INT(怪物属性!Z26*0.075*0.91)</f>
        <v>5,17</v>
      </c>
      <c r="S18" s="36" t="str">
        <f>INT(怪物属性!AB26*0.025*0.91)&amp;","&amp;INT(怪物属性!AB26*0.075*0.91)</f>
        <v>9,29</v>
      </c>
      <c r="T18" s="36" t="str">
        <f>INT(怪物属性!AD26*0.025*0.91)&amp;","&amp;INT(怪物属性!AD26*0.075*0.91)</f>
        <v>7,21</v>
      </c>
      <c r="U18" s="59" t="str">
        <f t="shared" si="8"/>
        <v>250,425</v>
      </c>
      <c r="V18" s="36" t="str">
        <f>INT(怪物属性!K26*0.05)+2&amp;","&amp;INT(怪物属性!K26*0.075)+4</f>
        <v>26,40</v>
      </c>
      <c r="W18" s="36" t="str">
        <f>INT(怪物属性!C26*0.025)&amp;","&amp;INT(怪物属性!C26*0.075)</f>
        <v>4,12</v>
      </c>
      <c r="X18" s="36" t="str">
        <f>INT(怪物属性!V26*0.0025)&amp;","&amp;INT(怪物属性!V26*0.0075)</f>
        <v>9,27</v>
      </c>
      <c r="Y18" s="36" t="str">
        <f>INT(怪物属性!AF26*0.005)&amp;","&amp;INT(怪物属性!AF26*0.01)</f>
        <v>2,5</v>
      </c>
    </row>
    <row r="19" spans="1:25" x14ac:dyDescent="0.15">
      <c r="A19" s="36">
        <f>INT(怪物属性!R27^2/(怪物属性!R27+怪物属性!F27))</f>
        <v>312</v>
      </c>
      <c r="B19" s="36">
        <f>INT(怪物属性!F27^2/(怪物属性!F27+怪物属性!T27))</f>
        <v>199</v>
      </c>
      <c r="D19" s="36">
        <v>17</v>
      </c>
      <c r="E19" s="40" t="str">
        <f t="shared" si="2"/>
        <v>90,100</v>
      </c>
      <c r="F19" s="40" t="str">
        <f t="shared" si="3"/>
        <v>90,100</v>
      </c>
      <c r="G19" s="36" t="str">
        <f t="shared" si="4"/>
        <v>90,100</v>
      </c>
      <c r="H19" s="36" t="str">
        <f t="shared" si="5"/>
        <v>90,100</v>
      </c>
      <c r="I19" s="36" t="str">
        <f t="shared" si="6"/>
        <v>90,100</v>
      </c>
      <c r="J19" s="36" t="str">
        <f t="shared" si="7"/>
        <v>90,100</v>
      </c>
      <c r="K19" s="36" t="str">
        <f t="shared" si="0"/>
        <v>36,44</v>
      </c>
      <c r="L19" s="36" t="str">
        <f t="shared" si="1"/>
        <v>57,69</v>
      </c>
      <c r="M19" s="36" t="str">
        <f>INT(怪物属性!R27*0.055*0.91)&amp;","&amp;INT(怪物属性!R27*0.075*0.91)</f>
        <v>27,37</v>
      </c>
      <c r="N19" s="36" t="str">
        <f>INT(怪物属性!T27*0.055*0.91)&amp;","&amp;INT(怪物属性!T27*0.075*0.91)</f>
        <v>21,29</v>
      </c>
      <c r="O19" s="36" t="str">
        <f>INT(怪物属性!V27*0.025*0.91)&amp;","&amp;INT(怪物属性!V27*0.075*0.91)</f>
        <v>84,252</v>
      </c>
      <c r="P19" s="36" t="str">
        <f>INT(怪物属性!AD27*0.05*0.91)&amp;","&amp;INT(怪物属性!AD27*0.1*0.91)</f>
        <v>14,29</v>
      </c>
      <c r="Q19" s="36" t="str">
        <f>INT(怪物属性!X27*0.025*0.91)&amp;","&amp;INT(怪物属性!X27*0.075*0.91)</f>
        <v>7,23</v>
      </c>
      <c r="R19" s="36" t="str">
        <f>INT(怪物属性!Z27*0.025*0.91)&amp;","&amp;INT(怪物属性!Z27*0.075*0.91)</f>
        <v>6,18</v>
      </c>
      <c r="S19" s="36" t="str">
        <f>INT(怪物属性!AB27*0.025*0.91)&amp;","&amp;INT(怪物属性!AB27*0.075*0.91)</f>
        <v>10,30</v>
      </c>
      <c r="T19" s="36" t="str">
        <f>INT(怪物属性!AD27*0.025*0.91)&amp;","&amp;INT(怪物属性!AD27*0.075*0.91)</f>
        <v>7,22</v>
      </c>
      <c r="U19" s="59" t="str">
        <f t="shared" si="8"/>
        <v>260,440</v>
      </c>
      <c r="V19" s="36" t="str">
        <f>INT(怪物属性!K27*0.05)+2&amp;","&amp;INT(怪物属性!K27*0.075)+4</f>
        <v>27,42</v>
      </c>
      <c r="W19" s="36" t="str">
        <f>INT(怪物属性!C27*0.025)&amp;","&amp;INT(怪物属性!C27*0.075)</f>
        <v>4,13</v>
      </c>
      <c r="X19" s="36" t="str">
        <f>INT(怪物属性!V27*0.0025)&amp;","&amp;INT(怪物属性!V27*0.0075)</f>
        <v>9,27</v>
      </c>
      <c r="Y19" s="36" t="str">
        <f>INT(怪物属性!AF27*0.005)&amp;","&amp;INT(怪物属性!AF27*0.01)</f>
        <v>2,5</v>
      </c>
    </row>
    <row r="20" spans="1:25" x14ac:dyDescent="0.15">
      <c r="A20" s="36">
        <f>INT(怪物属性!R28^2/(怪物属性!R28+怪物属性!F28))</f>
        <v>323</v>
      </c>
      <c r="B20" s="36">
        <f>INT(怪物属性!F28^2/(怪物属性!F28+怪物属性!T28))</f>
        <v>206</v>
      </c>
      <c r="D20" s="36">
        <v>18</v>
      </c>
      <c r="E20" s="40" t="str">
        <f t="shared" si="2"/>
        <v>95,105</v>
      </c>
      <c r="F20" s="40" t="str">
        <f t="shared" si="3"/>
        <v>95,105</v>
      </c>
      <c r="G20" s="36" t="str">
        <f t="shared" si="4"/>
        <v>95,105</v>
      </c>
      <c r="H20" s="36" t="str">
        <f t="shared" si="5"/>
        <v>95,105</v>
      </c>
      <c r="I20" s="36" t="str">
        <f t="shared" si="6"/>
        <v>95,105</v>
      </c>
      <c r="J20" s="36" t="str">
        <f t="shared" si="7"/>
        <v>95,105</v>
      </c>
      <c r="K20" s="36" t="str">
        <f t="shared" si="0"/>
        <v>37,45</v>
      </c>
      <c r="L20" s="36" t="str">
        <f t="shared" si="1"/>
        <v>59,71</v>
      </c>
      <c r="M20" s="36" t="str">
        <f>INT(怪物属性!R28*0.055*0.91)&amp;","&amp;INT(怪物属性!R28*0.075*0.91)</f>
        <v>28,38</v>
      </c>
      <c r="N20" s="36" t="str">
        <f>INT(怪物属性!T28*0.055*0.91)&amp;","&amp;INT(怪物属性!T28*0.075*0.91)</f>
        <v>22,30</v>
      </c>
      <c r="O20" s="36" t="str">
        <f>INT(怪物属性!V28*0.025*0.91)&amp;","&amp;INT(怪物属性!V28*0.075*0.91)</f>
        <v>86,258</v>
      </c>
      <c r="P20" s="36" t="str">
        <f>INT(怪物属性!AD28*0.05*0.91)&amp;","&amp;INT(怪物属性!AD28*0.1*0.91)</f>
        <v>15,30</v>
      </c>
      <c r="Q20" s="36" t="str">
        <f>INT(怪物属性!X28*0.025*0.91)&amp;","&amp;INT(怪物属性!X28*0.075*0.91)</f>
        <v>8,24</v>
      </c>
      <c r="R20" s="36" t="str">
        <f>INT(怪物属性!Z28*0.025*0.91)&amp;","&amp;INT(怪物属性!Z28*0.075*0.91)</f>
        <v>6,19</v>
      </c>
      <c r="S20" s="36" t="str">
        <f>INT(怪物属性!AB28*0.025*0.91)&amp;","&amp;INT(怪物属性!AB28*0.075*0.91)</f>
        <v>10,31</v>
      </c>
      <c r="T20" s="36" t="str">
        <f>INT(怪物属性!AD28*0.025*0.91)&amp;","&amp;INT(怪物属性!AD28*0.075*0.91)</f>
        <v>7,23</v>
      </c>
      <c r="U20" s="59" t="str">
        <f t="shared" si="8"/>
        <v>270,455</v>
      </c>
      <c r="V20" s="36" t="str">
        <f>INT(怪物属性!K28*0.05)+2&amp;","&amp;INT(怪物属性!K28*0.075)+4</f>
        <v>28,44</v>
      </c>
      <c r="W20" s="36" t="str">
        <f>INT(怪物属性!C28*0.025)&amp;","&amp;INT(怪物属性!C28*0.075)</f>
        <v>4,14</v>
      </c>
      <c r="X20" s="36" t="str">
        <f>INT(怪物属性!V28*0.0025)&amp;","&amp;INT(怪物属性!V28*0.0075)</f>
        <v>9,28</v>
      </c>
      <c r="Y20" s="36" t="str">
        <f>INT(怪物属性!AF28*0.005)&amp;","&amp;INT(怪物属性!AF28*0.01)</f>
        <v>2,5</v>
      </c>
    </row>
    <row r="21" spans="1:25" x14ac:dyDescent="0.15">
      <c r="A21" s="36">
        <f>INT(怪物属性!R29^2/(怪物属性!R29+怪物属性!F29))</f>
        <v>335</v>
      </c>
      <c r="B21" s="36">
        <f>INT(怪物属性!F29^2/(怪物属性!F29+怪物属性!T29))</f>
        <v>212</v>
      </c>
      <c r="D21" s="36">
        <v>19</v>
      </c>
      <c r="E21" s="40" t="str">
        <f t="shared" si="2"/>
        <v>100,110</v>
      </c>
      <c r="F21" s="40" t="str">
        <f t="shared" si="3"/>
        <v>100,110</v>
      </c>
      <c r="G21" s="36" t="str">
        <f t="shared" si="4"/>
        <v>100,110</v>
      </c>
      <c r="H21" s="36" t="str">
        <f t="shared" si="5"/>
        <v>100,110</v>
      </c>
      <c r="I21" s="36" t="str">
        <f t="shared" si="6"/>
        <v>100,110</v>
      </c>
      <c r="J21" s="36" t="str">
        <f t="shared" si="7"/>
        <v>100,110</v>
      </c>
      <c r="K21" s="36" t="str">
        <f t="shared" si="0"/>
        <v>38,47</v>
      </c>
      <c r="L21" s="36" t="str">
        <f t="shared" si="1"/>
        <v>61,74</v>
      </c>
      <c r="M21" s="36" t="str">
        <f>INT(怪物属性!R29*0.055*0.91)&amp;","&amp;INT(怪物属性!R29*0.075*0.91)</f>
        <v>29,39</v>
      </c>
      <c r="N21" s="36" t="str">
        <f>INT(怪物属性!T29*0.055*0.91)&amp;","&amp;INT(怪物属性!T29*0.075*0.91)</f>
        <v>23,31</v>
      </c>
      <c r="O21" s="36" t="str">
        <f>INT(怪物属性!V29*0.025*0.91)&amp;","&amp;INT(怪物属性!V29*0.075*0.91)</f>
        <v>88,264</v>
      </c>
      <c r="P21" s="36" t="str">
        <f>INT(怪物属性!AD29*0.05*0.91)&amp;","&amp;INT(怪物属性!AD29*0.1*0.91)</f>
        <v>16,32</v>
      </c>
      <c r="Q21" s="36" t="str">
        <f>INT(怪物属性!X29*0.025*0.91)&amp;","&amp;INT(怪物属性!X29*0.075*0.91)</f>
        <v>8,25</v>
      </c>
      <c r="R21" s="36" t="str">
        <f>INT(怪物属性!Z29*0.025*0.91)&amp;","&amp;INT(怪物属性!Z29*0.075*0.91)</f>
        <v>6,20</v>
      </c>
      <c r="S21" s="36" t="str">
        <f>INT(怪物属性!AB29*0.025*0.91)&amp;","&amp;INT(怪物属性!AB29*0.075*0.91)</f>
        <v>10,32</v>
      </c>
      <c r="T21" s="36" t="str">
        <f>INT(怪物属性!AD29*0.025*0.91)&amp;","&amp;INT(怪物属性!AD29*0.075*0.91)</f>
        <v>8,24</v>
      </c>
      <c r="U21" s="59" t="str">
        <f t="shared" si="8"/>
        <v>280,470</v>
      </c>
      <c r="V21" s="36" t="str">
        <f>INT(怪物属性!K29*0.05)+2&amp;","&amp;INT(怪物属性!K29*0.075)+4</f>
        <v>30,46</v>
      </c>
      <c r="W21" s="36" t="str">
        <f>INT(怪物属性!C29*0.025)&amp;","&amp;INT(怪物属性!C29*0.075)</f>
        <v>5,15</v>
      </c>
      <c r="X21" s="36" t="str">
        <f>INT(怪物属性!V29*0.0025)&amp;","&amp;INT(怪物属性!V29*0.0075)</f>
        <v>9,29</v>
      </c>
      <c r="Y21" s="36" t="str">
        <f>INT(怪物属性!AF29*0.005)&amp;","&amp;INT(怪物属性!AF29*0.01)</f>
        <v>3,6</v>
      </c>
    </row>
    <row r="22" spans="1:25" x14ac:dyDescent="0.15">
      <c r="A22" s="36">
        <f>INT(怪物属性!R30^2/(怪物属性!R30+怪物属性!F30))</f>
        <v>346</v>
      </c>
      <c r="B22" s="36">
        <f>INT(怪物属性!F30^2/(怪物属性!F30+怪物属性!T30))</f>
        <v>220</v>
      </c>
      <c r="D22" s="36">
        <v>20</v>
      </c>
      <c r="E22" s="40" t="str">
        <f t="shared" si="2"/>
        <v>105,115</v>
      </c>
      <c r="F22" s="40" t="str">
        <f t="shared" si="3"/>
        <v>105,115</v>
      </c>
      <c r="G22" s="36" t="str">
        <f t="shared" si="4"/>
        <v>105,115</v>
      </c>
      <c r="H22" s="36" t="str">
        <f t="shared" si="5"/>
        <v>105,115</v>
      </c>
      <c r="I22" s="36" t="str">
        <f t="shared" si="6"/>
        <v>105,115</v>
      </c>
      <c r="J22" s="36" t="str">
        <f t="shared" si="7"/>
        <v>105,115</v>
      </c>
      <c r="K22" s="36" t="str">
        <f t="shared" si="0"/>
        <v>40,48</v>
      </c>
      <c r="L22" s="36" t="str">
        <f t="shared" si="1"/>
        <v>63,76</v>
      </c>
      <c r="M22" s="36" t="str">
        <f>INT(怪物属性!R30*0.055*0.91)&amp;","&amp;INT(怪物属性!R30*0.075*0.91)</f>
        <v>30,41</v>
      </c>
      <c r="N22" s="36" t="str">
        <f>INT(怪物属性!T30*0.055*0.91)&amp;","&amp;INT(怪物属性!T30*0.075*0.91)</f>
        <v>24,33</v>
      </c>
      <c r="O22" s="36" t="str">
        <f>INT(怪物属性!V30*0.025*0.91)&amp;","&amp;INT(怪物属性!V30*0.075*0.91)</f>
        <v>90,271</v>
      </c>
      <c r="P22" s="36" t="str">
        <f>INT(怪物属性!AD30*0.05*0.91)&amp;","&amp;INT(怪物属性!AD30*0.1*0.91)</f>
        <v>16,33</v>
      </c>
      <c r="Q22" s="36" t="str">
        <f>INT(怪物属性!X30*0.025*0.91)&amp;","&amp;INT(怪物属性!X30*0.075*0.91)</f>
        <v>9,27</v>
      </c>
      <c r="R22" s="36" t="str">
        <f>INT(怪物属性!Z30*0.025*0.91)&amp;","&amp;INT(怪物属性!Z30*0.075*0.91)</f>
        <v>7,21</v>
      </c>
      <c r="S22" s="36" t="str">
        <f>INT(怪物属性!AB30*0.025*0.91)&amp;","&amp;INT(怪物属性!AB30*0.075*0.91)</f>
        <v>11,34</v>
      </c>
      <c r="T22" s="36" t="str">
        <f>INT(怪物属性!AD30*0.025*0.91)&amp;","&amp;INT(怪物属性!AD30*0.075*0.91)</f>
        <v>8,25</v>
      </c>
      <c r="U22" s="59" t="str">
        <f t="shared" si="8"/>
        <v>290,485</v>
      </c>
      <c r="V22" s="36" t="str">
        <f>INT(怪物属性!K30*0.05)+2&amp;","&amp;INT(怪物属性!K30*0.075)+4</f>
        <v>31,48</v>
      </c>
      <c r="W22" s="36" t="str">
        <f>INT(怪物属性!C30*0.025)&amp;","&amp;INT(怪物属性!C30*0.075)</f>
        <v>5,16</v>
      </c>
      <c r="X22" s="36" t="str">
        <f>INT(怪物属性!V30*0.0025)&amp;","&amp;INT(怪物属性!V30*0.0075)</f>
        <v>9,29</v>
      </c>
      <c r="Y22" s="36" t="str">
        <f>INT(怪物属性!AF30*0.005)&amp;","&amp;INT(怪物属性!AF30*0.01)</f>
        <v>3,6</v>
      </c>
    </row>
    <row r="23" spans="1:25" x14ac:dyDescent="0.15">
      <c r="A23" s="36">
        <f>INT(怪物属性!R31^2/(怪物属性!R31+怪物属性!F31))</f>
        <v>360</v>
      </c>
      <c r="B23" s="36">
        <f>INT(怪物属性!F31^2/(怪物属性!F31+怪物属性!T31))</f>
        <v>228</v>
      </c>
      <c r="D23" s="36">
        <v>21</v>
      </c>
      <c r="E23" s="40" t="str">
        <f t="shared" si="2"/>
        <v>110,120</v>
      </c>
      <c r="F23" s="40" t="str">
        <f t="shared" si="3"/>
        <v>110,120</v>
      </c>
      <c r="G23" s="36" t="str">
        <f t="shared" si="4"/>
        <v>110,120</v>
      </c>
      <c r="H23" s="36" t="str">
        <f t="shared" si="5"/>
        <v>110,120</v>
      </c>
      <c r="I23" s="36" t="str">
        <f t="shared" si="6"/>
        <v>110,120</v>
      </c>
      <c r="J23" s="36" t="str">
        <f t="shared" si="7"/>
        <v>110,120</v>
      </c>
      <c r="K23" s="36" t="str">
        <f t="shared" si="0"/>
        <v>41,50</v>
      </c>
      <c r="L23" s="36" t="str">
        <f t="shared" si="1"/>
        <v>65,79</v>
      </c>
      <c r="M23" s="36" t="str">
        <f>INT(怪物属性!R31*0.055*0.91)&amp;","&amp;INT(怪物属性!R31*0.075*0.91)</f>
        <v>31,42</v>
      </c>
      <c r="N23" s="36" t="str">
        <f>INT(怪物属性!T31*0.055*0.91)&amp;","&amp;INT(怪物属性!T31*0.075*0.91)</f>
        <v>25,34</v>
      </c>
      <c r="O23" s="36" t="str">
        <f>INT(怪物属性!V31*0.025*0.91)&amp;","&amp;INT(怪物属性!V31*0.075*0.91)</f>
        <v>93,279</v>
      </c>
      <c r="P23" s="36" t="str">
        <f>INT(怪物属性!AD31*0.05*0.91)&amp;","&amp;INT(怪物属性!AD31*0.1*0.91)</f>
        <v>17,34</v>
      </c>
      <c r="Q23" s="36" t="str">
        <f>INT(怪物属性!X31*0.025*0.91)&amp;","&amp;INT(怪物属性!X31*0.075*0.91)</f>
        <v>9,28</v>
      </c>
      <c r="R23" s="36" t="str">
        <f>INT(怪物属性!Z31*0.025*0.91)&amp;","&amp;INT(怪物属性!Z31*0.075*0.91)</f>
        <v>7,22</v>
      </c>
      <c r="S23" s="36" t="str">
        <f>INT(怪物属性!AB31*0.025*0.91)&amp;","&amp;INT(怪物属性!AB31*0.075*0.91)</f>
        <v>11,35</v>
      </c>
      <c r="T23" s="36" t="str">
        <f>INT(怪物属性!AD31*0.025*0.91)&amp;","&amp;INT(怪物属性!AD31*0.075*0.91)</f>
        <v>8,26</v>
      </c>
      <c r="U23" s="59" t="str">
        <f t="shared" si="8"/>
        <v>300,500</v>
      </c>
      <c r="V23" s="36" t="str">
        <f>INT(怪物属性!K31*0.05)+2&amp;","&amp;INT(怪物属性!K31*0.075)+4</f>
        <v>32,50</v>
      </c>
      <c r="W23" s="36" t="str">
        <f>INT(怪物属性!C31*0.025)&amp;","&amp;INT(怪物属性!C31*0.075)</f>
        <v>5,17</v>
      </c>
      <c r="X23" s="36" t="str">
        <f>INT(怪物属性!V31*0.0025)&amp;","&amp;INT(怪物属性!V31*0.0075)</f>
        <v>10,30</v>
      </c>
      <c r="Y23" s="36" t="str">
        <f>INT(怪物属性!AF31*0.005)&amp;","&amp;INT(怪物属性!AF31*0.01)</f>
        <v>3,6</v>
      </c>
    </row>
    <row r="24" spans="1:25" x14ac:dyDescent="0.15">
      <c r="A24" s="36">
        <f>INT(怪物属性!R32^2/(怪物属性!R32+怪物属性!F32))</f>
        <v>373</v>
      </c>
      <c r="B24" s="36">
        <f>INT(怪物属性!F32^2/(怪物属性!F32+怪物属性!T32))</f>
        <v>235</v>
      </c>
      <c r="D24" s="36">
        <v>22</v>
      </c>
      <c r="E24" s="40" t="str">
        <f t="shared" si="2"/>
        <v>115,125</v>
      </c>
      <c r="F24" s="40" t="str">
        <f t="shared" si="3"/>
        <v>115,125</v>
      </c>
      <c r="G24" s="36" t="str">
        <f t="shared" si="4"/>
        <v>115,125</v>
      </c>
      <c r="H24" s="36" t="str">
        <f t="shared" si="5"/>
        <v>115,125</v>
      </c>
      <c r="I24" s="36" t="str">
        <f t="shared" si="6"/>
        <v>115,125</v>
      </c>
      <c r="J24" s="36" t="str">
        <f t="shared" si="7"/>
        <v>115,125</v>
      </c>
      <c r="K24" s="36" t="str">
        <f t="shared" si="0"/>
        <v>43,52</v>
      </c>
      <c r="L24" s="36" t="str">
        <f t="shared" si="1"/>
        <v>68,82</v>
      </c>
      <c r="M24" s="36" t="str">
        <f>INT(怪物属性!R32*0.055*0.91)&amp;","&amp;INT(怪物属性!R32*0.075*0.91)</f>
        <v>32,44</v>
      </c>
      <c r="N24" s="36" t="str">
        <f>INT(怪物属性!T32*0.055*0.91)&amp;","&amp;INT(怪物属性!T32*0.075*0.91)</f>
        <v>26,35</v>
      </c>
      <c r="O24" s="36" t="str">
        <f>INT(怪物属性!V32*0.025*0.91)&amp;","&amp;INT(怪物属性!V32*0.075*0.91)</f>
        <v>95,287</v>
      </c>
      <c r="P24" s="36" t="str">
        <f>INT(怪物属性!AD32*0.05*0.91)&amp;","&amp;INT(怪物属性!AD32*0.1*0.91)</f>
        <v>18,36</v>
      </c>
      <c r="Q24" s="36" t="str">
        <f>INT(怪物属性!X32*0.025*0.91)&amp;","&amp;INT(怪物属性!X32*0.075*0.91)</f>
        <v>9,29</v>
      </c>
      <c r="R24" s="36" t="str">
        <f>INT(怪物属性!Z32*0.025*0.91)&amp;","&amp;INT(怪物属性!Z32*0.075*0.91)</f>
        <v>7,23</v>
      </c>
      <c r="S24" s="36" t="str">
        <f>INT(怪物属性!AB32*0.025*0.91)&amp;","&amp;INT(怪物属性!AB32*0.075*0.91)</f>
        <v>12,36</v>
      </c>
      <c r="T24" s="36" t="str">
        <f>INT(怪物属性!AD32*0.025*0.91)&amp;","&amp;INT(怪物属性!AD32*0.075*0.91)</f>
        <v>9,27</v>
      </c>
      <c r="U24" s="59" t="str">
        <f t="shared" si="8"/>
        <v>310,515</v>
      </c>
      <c r="V24" s="36" t="str">
        <f>INT(怪物属性!K32*0.05)+2&amp;","&amp;INT(怪物属性!K32*0.075)+4</f>
        <v>34,52</v>
      </c>
      <c r="W24" s="36" t="str">
        <f>INT(怪物属性!C32*0.025)&amp;","&amp;INT(怪物属性!C32*0.075)</f>
        <v>6,19</v>
      </c>
      <c r="X24" s="36" t="str">
        <f>INT(怪物属性!V32*0.0025)&amp;","&amp;INT(怪物属性!V32*0.0075)</f>
        <v>10,31</v>
      </c>
      <c r="Y24" s="36" t="str">
        <f>INT(怪物属性!AF32*0.005)&amp;","&amp;INT(怪物属性!AF32*0.01)</f>
        <v>3,6</v>
      </c>
    </row>
    <row r="25" spans="1:25" x14ac:dyDescent="0.15">
      <c r="A25" s="36">
        <f>INT(怪物属性!R33^2/(怪物属性!R33+怪物属性!F33))</f>
        <v>387</v>
      </c>
      <c r="B25" s="36">
        <f>INT(怪物属性!F33^2/(怪物属性!F33+怪物属性!T33))</f>
        <v>243</v>
      </c>
      <c r="D25" s="36">
        <v>23</v>
      </c>
      <c r="E25" s="40" t="str">
        <f t="shared" si="2"/>
        <v>120,130</v>
      </c>
      <c r="F25" s="40" t="str">
        <f t="shared" si="3"/>
        <v>120,130</v>
      </c>
      <c r="G25" s="36" t="str">
        <f t="shared" si="4"/>
        <v>120,130</v>
      </c>
      <c r="H25" s="36" t="str">
        <f t="shared" si="5"/>
        <v>120,130</v>
      </c>
      <c r="I25" s="36" t="str">
        <f t="shared" si="6"/>
        <v>120,130</v>
      </c>
      <c r="J25" s="36" t="str">
        <f t="shared" si="7"/>
        <v>120,130</v>
      </c>
      <c r="K25" s="36" t="str">
        <f t="shared" si="0"/>
        <v>44,53</v>
      </c>
      <c r="L25" s="36" t="str">
        <f t="shared" si="1"/>
        <v>70,85</v>
      </c>
      <c r="M25" s="36" t="str">
        <f>INT(怪物属性!R33*0.055*0.91)&amp;","&amp;INT(怪物属性!R33*0.075*0.91)</f>
        <v>33,46</v>
      </c>
      <c r="N25" s="36" t="str">
        <f>INT(怪物属性!T33*0.055*0.91)&amp;","&amp;INT(怪物属性!T33*0.075*0.91)</f>
        <v>27,37</v>
      </c>
      <c r="O25" s="36" t="str">
        <f>INT(怪物属性!V33*0.025*0.91)&amp;","&amp;INT(怪物属性!V33*0.075*0.91)</f>
        <v>98,296</v>
      </c>
      <c r="P25" s="36" t="str">
        <f>INT(怪物属性!AD33*0.05*0.91)&amp;","&amp;INT(怪物属性!AD33*0.1*0.91)</f>
        <v>18,37</v>
      </c>
      <c r="Q25" s="36" t="str">
        <f>INT(怪物属性!X33*0.025*0.91)&amp;","&amp;INT(怪物属性!X33*0.075*0.91)</f>
        <v>10,30</v>
      </c>
      <c r="R25" s="36" t="str">
        <f>INT(怪物属性!Z33*0.025*0.91)&amp;","&amp;INT(怪物属性!Z33*0.075*0.91)</f>
        <v>8,24</v>
      </c>
      <c r="S25" s="36" t="str">
        <f>INT(怪物属性!AB33*0.025*0.91)&amp;","&amp;INT(怪物属性!AB33*0.075*0.91)</f>
        <v>12,38</v>
      </c>
      <c r="T25" s="36" t="str">
        <f>INT(怪物属性!AD33*0.025*0.91)&amp;","&amp;INT(怪物属性!AD33*0.075*0.91)</f>
        <v>9,28</v>
      </c>
      <c r="U25" s="59" t="str">
        <f t="shared" si="8"/>
        <v>320,530</v>
      </c>
      <c r="V25" s="36" t="str">
        <f>INT(怪物属性!K33*0.05)+2&amp;","&amp;INT(怪物属性!K33*0.075)+4</f>
        <v>35,54</v>
      </c>
      <c r="W25" s="36" t="str">
        <f>INT(怪物属性!C33*0.025)&amp;","&amp;INT(怪物属性!C33*0.075)</f>
        <v>6,20</v>
      </c>
      <c r="X25" s="36" t="str">
        <f>INT(怪物属性!V33*0.0025)&amp;","&amp;INT(怪物属性!V33*0.0075)</f>
        <v>10,32</v>
      </c>
      <c r="Y25" s="36" t="str">
        <f>INT(怪物属性!AF33*0.005)&amp;","&amp;INT(怪物属性!AF33*0.01)</f>
        <v>3,7</v>
      </c>
    </row>
    <row r="26" spans="1:25" x14ac:dyDescent="0.15">
      <c r="A26" s="36">
        <f>INT(怪物属性!R34^2/(怪物属性!R34+怪物属性!F34))</f>
        <v>401</v>
      </c>
      <c r="B26" s="36">
        <f>INT(怪物属性!F34^2/(怪物属性!F34+怪物属性!T34))</f>
        <v>253</v>
      </c>
      <c r="D26" s="36">
        <v>24</v>
      </c>
      <c r="E26" s="40" t="str">
        <f t="shared" si="2"/>
        <v>125,135</v>
      </c>
      <c r="F26" s="40" t="str">
        <f t="shared" si="3"/>
        <v>125,135</v>
      </c>
      <c r="G26" s="36" t="str">
        <f t="shared" si="4"/>
        <v>125,135</v>
      </c>
      <c r="H26" s="36" t="str">
        <f t="shared" si="5"/>
        <v>125,135</v>
      </c>
      <c r="I26" s="36" t="str">
        <f t="shared" si="6"/>
        <v>125,135</v>
      </c>
      <c r="J26" s="36" t="str">
        <f t="shared" si="7"/>
        <v>125,135</v>
      </c>
      <c r="K26" s="36" t="str">
        <f t="shared" si="0"/>
        <v>46,56</v>
      </c>
      <c r="L26" s="36" t="str">
        <f t="shared" si="1"/>
        <v>73,89</v>
      </c>
      <c r="M26" s="36" t="str">
        <f>INT(怪物属性!R34*0.055*0.91)&amp;","&amp;INT(怪物属性!R34*0.075*0.91)</f>
        <v>35,47</v>
      </c>
      <c r="N26" s="36" t="str">
        <f>INT(怪物属性!T34*0.055*0.91)&amp;","&amp;INT(怪物属性!T34*0.075*0.91)</f>
        <v>28,38</v>
      </c>
      <c r="O26" s="36" t="str">
        <f>INT(怪物属性!V34*0.025*0.91)&amp;","&amp;INT(怪物属性!V34*0.075*0.91)</f>
        <v>102,306</v>
      </c>
      <c r="P26" s="36" t="str">
        <f>INT(怪物属性!AD34*0.05*0.91)&amp;","&amp;INT(怪物属性!AD34*0.1*0.91)</f>
        <v>19,39</v>
      </c>
      <c r="Q26" s="36" t="str">
        <f>INT(怪物属性!X34*0.025*0.91)&amp;","&amp;INT(怪物属性!X34*0.075*0.91)</f>
        <v>10,32</v>
      </c>
      <c r="R26" s="36" t="str">
        <f>INT(怪物属性!Z34*0.025*0.91)&amp;","&amp;INT(怪物属性!Z34*0.075*0.91)</f>
        <v>8,25</v>
      </c>
      <c r="S26" s="36" t="str">
        <f>INT(怪物属性!AB34*0.025*0.91)&amp;","&amp;INT(怪物属性!AB34*0.075*0.91)</f>
        <v>13,39</v>
      </c>
      <c r="T26" s="36" t="str">
        <f>INT(怪物属性!AD34*0.025*0.91)&amp;","&amp;INT(怪物属性!AD34*0.075*0.91)</f>
        <v>9,29</v>
      </c>
      <c r="U26" s="59" t="str">
        <f t="shared" si="8"/>
        <v>330,545</v>
      </c>
      <c r="V26" s="36" t="str">
        <f>INT(怪物属性!K34*0.05)+2&amp;","&amp;INT(怪物属性!K34*0.075)+4</f>
        <v>36,56</v>
      </c>
      <c r="W26" s="36" t="str">
        <f>INT(怪物属性!C34*0.025)&amp;","&amp;INT(怪物属性!C34*0.075)</f>
        <v>7,21</v>
      </c>
      <c r="X26" s="36" t="str">
        <f>INT(怪物属性!V34*0.0025)&amp;","&amp;INT(怪物属性!V34*0.0075)</f>
        <v>11,33</v>
      </c>
      <c r="Y26" s="36" t="str">
        <f>INT(怪物属性!AF34*0.005)&amp;","&amp;INT(怪物属性!AF34*0.01)</f>
        <v>3,7</v>
      </c>
    </row>
    <row r="27" spans="1:25" x14ac:dyDescent="0.15">
      <c r="A27" s="36">
        <f>INT(怪物属性!R35^2/(怪物属性!R35+怪物属性!F35))</f>
        <v>417</v>
      </c>
      <c r="B27" s="36">
        <f>INT(怪物属性!F35^2/(怪物属性!F35+怪物属性!T35))</f>
        <v>262</v>
      </c>
      <c r="D27" s="36">
        <v>25</v>
      </c>
      <c r="E27" s="40" t="str">
        <f t="shared" si="2"/>
        <v>130,140</v>
      </c>
      <c r="F27" s="40" t="str">
        <f t="shared" si="3"/>
        <v>130,140</v>
      </c>
      <c r="G27" s="36" t="str">
        <f t="shared" si="4"/>
        <v>130,140</v>
      </c>
      <c r="H27" s="36" t="str">
        <f t="shared" si="5"/>
        <v>130,140</v>
      </c>
      <c r="I27" s="36" t="str">
        <f t="shared" si="6"/>
        <v>130,140</v>
      </c>
      <c r="J27" s="36" t="str">
        <f t="shared" si="7"/>
        <v>130,140</v>
      </c>
      <c r="K27" s="36" t="str">
        <f t="shared" si="0"/>
        <v>47,58</v>
      </c>
      <c r="L27" s="36" t="str">
        <f t="shared" si="1"/>
        <v>76,92</v>
      </c>
      <c r="M27" s="36" t="str">
        <f>INT(怪物属性!R35*0.055*0.91)&amp;","&amp;INT(怪物属性!R35*0.075*0.91)</f>
        <v>36,49</v>
      </c>
      <c r="N27" s="36" t="str">
        <f>INT(怪物属性!T35*0.055*0.91)&amp;","&amp;INT(怪物属性!T35*0.075*0.91)</f>
        <v>29,40</v>
      </c>
      <c r="O27" s="36" t="str">
        <f>INT(怪物属性!V35*0.025*0.91)&amp;","&amp;INT(怪物属性!V35*0.075*0.91)</f>
        <v>105,317</v>
      </c>
      <c r="P27" s="36" t="str">
        <f>INT(怪物属性!AD35*0.05*0.91)&amp;","&amp;INT(怪物属性!AD35*0.1*0.91)</f>
        <v>20,40</v>
      </c>
      <c r="Q27" s="36" t="str">
        <f>INT(怪物属性!X35*0.025*0.91)&amp;","&amp;INT(怪物属性!X35*0.075*0.91)</f>
        <v>11,33</v>
      </c>
      <c r="R27" s="36" t="str">
        <f>INT(怪物属性!Z35*0.025*0.91)&amp;","&amp;INT(怪物属性!Z35*0.075*0.91)</f>
        <v>9,27</v>
      </c>
      <c r="S27" s="36" t="str">
        <f>INT(怪物属性!AB35*0.025*0.91)&amp;","&amp;INT(怪物属性!AB35*0.075*0.91)</f>
        <v>13,40</v>
      </c>
      <c r="T27" s="36" t="str">
        <f>INT(怪物属性!AD35*0.025*0.91)&amp;","&amp;INT(怪物属性!AD35*0.075*0.91)</f>
        <v>10,30</v>
      </c>
      <c r="U27" s="59" t="str">
        <f t="shared" si="8"/>
        <v>340,560</v>
      </c>
      <c r="V27" s="36" t="str">
        <f>INT(怪物属性!K35*0.05)+2&amp;","&amp;INT(怪物属性!K35*0.075)+4</f>
        <v>38,58</v>
      </c>
      <c r="W27" s="36" t="str">
        <f>INT(怪物属性!C35*0.025)&amp;","&amp;INT(怪物属性!C35*0.075)</f>
        <v>7,22</v>
      </c>
      <c r="X27" s="36" t="str">
        <f>INT(怪物属性!V35*0.0025)&amp;","&amp;INT(怪物属性!V35*0.0075)</f>
        <v>11,34</v>
      </c>
      <c r="Y27" s="36" t="str">
        <f>INT(怪物属性!AF35*0.005)&amp;","&amp;INT(怪物属性!AF35*0.01)</f>
        <v>3,7</v>
      </c>
    </row>
    <row r="28" spans="1:25" x14ac:dyDescent="0.15">
      <c r="A28" s="36">
        <f>INT(怪物属性!R36^2/(怪物属性!R36+怪物属性!F36))</f>
        <v>434</v>
      </c>
      <c r="B28" s="36">
        <f>INT(怪物属性!F36^2/(怪物属性!F36+怪物属性!T36))</f>
        <v>273</v>
      </c>
      <c r="D28" s="36">
        <v>26</v>
      </c>
      <c r="E28" s="40" t="str">
        <f t="shared" si="2"/>
        <v>135,145</v>
      </c>
      <c r="F28" s="40" t="str">
        <f t="shared" si="3"/>
        <v>135,145</v>
      </c>
      <c r="G28" s="36" t="str">
        <f t="shared" si="4"/>
        <v>135,145</v>
      </c>
      <c r="H28" s="36" t="str">
        <f t="shared" si="5"/>
        <v>135,145</v>
      </c>
      <c r="I28" s="36" t="str">
        <f t="shared" si="6"/>
        <v>135,145</v>
      </c>
      <c r="J28" s="36" t="str">
        <f t="shared" si="7"/>
        <v>135,145</v>
      </c>
      <c r="K28" s="36" t="str">
        <f t="shared" si="0"/>
        <v>49,60</v>
      </c>
      <c r="L28" s="36" t="str">
        <f t="shared" si="1"/>
        <v>79,96</v>
      </c>
      <c r="M28" s="36" t="str">
        <f>INT(怪物属性!R36*0.055*0.91)&amp;","&amp;INT(怪物属性!R36*0.075*0.91)</f>
        <v>38,51</v>
      </c>
      <c r="N28" s="36" t="str">
        <f>INT(怪物属性!T36*0.055*0.91)&amp;","&amp;INT(怪物属性!T36*0.075*0.91)</f>
        <v>30,42</v>
      </c>
      <c r="O28" s="36" t="str">
        <f>INT(怪物属性!V36*0.025*0.91)&amp;","&amp;INT(怪物属性!V36*0.075*0.91)</f>
        <v>109,329</v>
      </c>
      <c r="P28" s="36" t="str">
        <f>INT(怪物属性!AD36*0.05*0.91)&amp;","&amp;INT(怪物属性!AD36*0.1*0.91)</f>
        <v>21,42</v>
      </c>
      <c r="Q28" s="36" t="str">
        <f>INT(怪物属性!X36*0.025*0.91)&amp;","&amp;INT(怪物属性!X36*0.075*0.91)</f>
        <v>11,35</v>
      </c>
      <c r="R28" s="36" t="str">
        <f>INT(怪物属性!Z36*0.025*0.91)&amp;","&amp;INT(怪物属性!Z36*0.075*0.91)</f>
        <v>9,28</v>
      </c>
      <c r="S28" s="36" t="str">
        <f>INT(怪物属性!AB36*0.025*0.91)&amp;","&amp;INT(怪物属性!AB36*0.075*0.91)</f>
        <v>14,42</v>
      </c>
      <c r="T28" s="36" t="str">
        <f>INT(怪物属性!AD36*0.025*0.91)&amp;","&amp;INT(怪物属性!AD36*0.075*0.91)</f>
        <v>10,31</v>
      </c>
      <c r="U28" s="59" t="str">
        <f t="shared" si="8"/>
        <v>350,575</v>
      </c>
      <c r="V28" s="36" t="str">
        <f>INT(怪物属性!K36*0.05)+2&amp;","&amp;INT(怪物属性!K36*0.075)+4</f>
        <v>39,60</v>
      </c>
      <c r="W28" s="36" t="str">
        <f>INT(怪物属性!C36*0.025)&amp;","&amp;INT(怪物属性!C36*0.075)</f>
        <v>8,24</v>
      </c>
      <c r="X28" s="36" t="str">
        <f>INT(怪物属性!V36*0.0025)&amp;","&amp;INT(怪物属性!V36*0.0075)</f>
        <v>12,36</v>
      </c>
      <c r="Y28" s="36" t="str">
        <f>INT(怪物属性!AF36*0.005)&amp;","&amp;INT(怪物属性!AF36*0.01)</f>
        <v>3,7</v>
      </c>
    </row>
    <row r="29" spans="1:25" x14ac:dyDescent="0.15">
      <c r="A29" s="36">
        <f>INT(怪物属性!R37^2/(怪物属性!R37+怪物属性!F37))</f>
        <v>451</v>
      </c>
      <c r="B29" s="36">
        <f>INT(怪物属性!F37^2/(怪物属性!F37+怪物属性!T37))</f>
        <v>283</v>
      </c>
      <c r="D29" s="36">
        <v>27</v>
      </c>
      <c r="E29" s="40" t="str">
        <f t="shared" si="2"/>
        <v>140,150</v>
      </c>
      <c r="F29" s="40" t="str">
        <f t="shared" si="3"/>
        <v>140,150</v>
      </c>
      <c r="G29" s="36" t="str">
        <f t="shared" si="4"/>
        <v>140,150</v>
      </c>
      <c r="H29" s="36" t="str">
        <f t="shared" si="5"/>
        <v>140,150</v>
      </c>
      <c r="I29" s="36" t="str">
        <f t="shared" si="6"/>
        <v>140,150</v>
      </c>
      <c r="J29" s="36" t="str">
        <f t="shared" si="7"/>
        <v>140,150</v>
      </c>
      <c r="K29" s="36" t="str">
        <f t="shared" si="0"/>
        <v>51,62</v>
      </c>
      <c r="L29" s="36" t="str">
        <f t="shared" si="1"/>
        <v>82,100</v>
      </c>
      <c r="M29" s="36" t="str">
        <f>INT(怪物属性!R37*0.055*0.91)&amp;","&amp;INT(怪物属性!R37*0.075*0.91)</f>
        <v>39,53</v>
      </c>
      <c r="N29" s="36" t="str">
        <f>INT(怪物属性!T37*0.055*0.91)&amp;","&amp;INT(怪物属性!T37*0.075*0.91)</f>
        <v>32,43</v>
      </c>
      <c r="O29" s="36" t="str">
        <f>INT(怪物属性!V37*0.025*0.91)&amp;","&amp;INT(怪物属性!V37*0.075*0.91)</f>
        <v>114,343</v>
      </c>
      <c r="P29" s="36" t="str">
        <f>INT(怪物属性!AD37*0.05*0.91)&amp;","&amp;INT(怪物属性!AD37*0.1*0.91)</f>
        <v>21,43</v>
      </c>
      <c r="Q29" s="36" t="str">
        <f>INT(怪物属性!X37*0.025*0.91)&amp;","&amp;INT(怪物属性!X37*0.075*0.91)</f>
        <v>12,36</v>
      </c>
      <c r="R29" s="36" t="str">
        <f>INT(怪物属性!Z37*0.025*0.91)&amp;","&amp;INT(怪物属性!Z37*0.075*0.91)</f>
        <v>9,29</v>
      </c>
      <c r="S29" s="36" t="str">
        <f>INT(怪物属性!AB37*0.025*0.91)&amp;","&amp;INT(怪物属性!AB37*0.075*0.91)</f>
        <v>14,43</v>
      </c>
      <c r="T29" s="36" t="str">
        <f>INT(怪物属性!AD37*0.025*0.91)&amp;","&amp;INT(怪物属性!AD37*0.075*0.91)</f>
        <v>10,32</v>
      </c>
      <c r="U29" s="59" t="str">
        <f t="shared" si="8"/>
        <v>360,590</v>
      </c>
      <c r="V29" s="36" t="str">
        <f>INT(怪物属性!K37*0.05)+2&amp;","&amp;INT(怪物属性!K37*0.075)+4</f>
        <v>40,62</v>
      </c>
      <c r="W29" s="36" t="str">
        <f>INT(怪物属性!C37*0.025)&amp;","&amp;INT(怪物属性!C37*0.075)</f>
        <v>8,25</v>
      </c>
      <c r="X29" s="36" t="str">
        <f>INT(怪物属性!V37*0.0025)&amp;","&amp;INT(怪物属性!V37*0.0075)</f>
        <v>12,37</v>
      </c>
      <c r="Y29" s="36" t="str">
        <f>INT(怪物属性!AF37*0.005)&amp;","&amp;INT(怪物属性!AF37*0.01)</f>
        <v>4,8</v>
      </c>
    </row>
    <row r="30" spans="1:25" x14ac:dyDescent="0.15">
      <c r="A30" s="36">
        <f>INT(怪物属性!R38^2/(怪物属性!R38+怪物属性!F38))</f>
        <v>470</v>
      </c>
      <c r="B30" s="36">
        <f>INT(怪物属性!F38^2/(怪物属性!F38+怪物属性!T38))</f>
        <v>295</v>
      </c>
      <c r="D30" s="36">
        <v>28</v>
      </c>
      <c r="E30" s="40" t="str">
        <f t="shared" si="2"/>
        <v>145,155</v>
      </c>
      <c r="F30" s="40" t="str">
        <f t="shared" si="3"/>
        <v>145,155</v>
      </c>
      <c r="G30" s="36" t="str">
        <f t="shared" si="4"/>
        <v>145,155</v>
      </c>
      <c r="H30" s="36" t="str">
        <f t="shared" si="5"/>
        <v>145,155</v>
      </c>
      <c r="I30" s="36" t="str">
        <f t="shared" si="6"/>
        <v>145,155</v>
      </c>
      <c r="J30" s="36" t="str">
        <f t="shared" si="7"/>
        <v>145,155</v>
      </c>
      <c r="K30" s="36" t="str">
        <f t="shared" si="0"/>
        <v>54,65</v>
      </c>
      <c r="L30" s="36" t="str">
        <f t="shared" si="1"/>
        <v>86,104</v>
      </c>
      <c r="M30" s="36" t="str">
        <f>INT(怪物属性!R38*0.055*0.91)&amp;","&amp;INT(怪物属性!R38*0.075*0.91)</f>
        <v>41,56</v>
      </c>
      <c r="N30" s="36" t="str">
        <f>INT(怪物属性!T38*0.055*0.91)&amp;","&amp;INT(怪物属性!T38*0.075*0.91)</f>
        <v>33,45</v>
      </c>
      <c r="O30" s="36" t="str">
        <f>INT(怪物属性!V38*0.025*0.91)&amp;","&amp;INT(怪物属性!V38*0.075*0.91)</f>
        <v>119,357</v>
      </c>
      <c r="P30" s="36" t="str">
        <f>INT(怪物属性!AD38*0.05*0.91)&amp;","&amp;INT(怪物属性!AD38*0.1*0.91)</f>
        <v>22,45</v>
      </c>
      <c r="Q30" s="36" t="str">
        <f>INT(怪物属性!X38*0.025*0.91)&amp;","&amp;INT(怪物属性!X38*0.075*0.91)</f>
        <v>12,38</v>
      </c>
      <c r="R30" s="36" t="str">
        <f>INT(怪物属性!Z38*0.025*0.91)&amp;","&amp;INT(怪物属性!Z38*0.075*0.91)</f>
        <v>10,30</v>
      </c>
      <c r="S30" s="36" t="str">
        <f>INT(怪物属性!AB38*0.025*0.91)&amp;","&amp;INT(怪物属性!AB38*0.075*0.91)</f>
        <v>15,45</v>
      </c>
      <c r="T30" s="36" t="str">
        <f>INT(怪物属性!AD38*0.025*0.91)&amp;","&amp;INT(怪物属性!AD38*0.075*0.91)</f>
        <v>11,34</v>
      </c>
      <c r="U30" s="59" t="str">
        <f t="shared" si="8"/>
        <v>370,605</v>
      </c>
      <c r="V30" s="36" t="str">
        <f>INT(怪物属性!K38*0.05)+2&amp;","&amp;INT(怪物属性!K38*0.075)+4</f>
        <v>42,64</v>
      </c>
      <c r="W30" s="36" t="str">
        <f>INT(怪物属性!C38*0.025)&amp;","&amp;INT(怪物属性!C38*0.075)</f>
        <v>8,26</v>
      </c>
      <c r="X30" s="36" t="str">
        <f>INT(怪物属性!V38*0.0025)&amp;","&amp;INT(怪物属性!V38*0.0075)</f>
        <v>13,39</v>
      </c>
      <c r="Y30" s="36" t="str">
        <f>INT(怪物属性!AF38*0.005)&amp;","&amp;INT(怪物属性!AF38*0.01)</f>
        <v>4,8</v>
      </c>
    </row>
    <row r="31" spans="1:25" x14ac:dyDescent="0.15">
      <c r="A31" s="36">
        <f>INT(怪物属性!R39^2/(怪物属性!R39+怪物属性!F39))</f>
        <v>490</v>
      </c>
      <c r="B31" s="36">
        <f>INT(怪物属性!F39^2/(怪物属性!F39+怪物属性!T39))</f>
        <v>307</v>
      </c>
      <c r="D31" s="36">
        <v>29</v>
      </c>
      <c r="E31" s="40" t="str">
        <f t="shared" si="2"/>
        <v>150,160</v>
      </c>
      <c r="F31" s="40" t="str">
        <f t="shared" si="3"/>
        <v>150,160</v>
      </c>
      <c r="G31" s="36" t="str">
        <f t="shared" si="4"/>
        <v>150,160</v>
      </c>
      <c r="H31" s="36" t="str">
        <f t="shared" si="5"/>
        <v>150,160</v>
      </c>
      <c r="I31" s="36" t="str">
        <f t="shared" si="6"/>
        <v>150,160</v>
      </c>
      <c r="J31" s="36" t="str">
        <f t="shared" si="7"/>
        <v>150,160</v>
      </c>
      <c r="K31" s="36" t="str">
        <f t="shared" si="0"/>
        <v>56,68</v>
      </c>
      <c r="L31" s="36" t="str">
        <f t="shared" si="1"/>
        <v>89,108</v>
      </c>
      <c r="M31" s="36" t="str">
        <f>INT(怪物属性!R39*0.055*0.91)&amp;","&amp;INT(怪物属性!R39*0.075*0.91)</f>
        <v>42,58</v>
      </c>
      <c r="N31" s="36" t="str">
        <f>INT(怪物属性!T39*0.055*0.91)&amp;","&amp;INT(怪物属性!T39*0.075*0.91)</f>
        <v>35,47</v>
      </c>
      <c r="O31" s="36" t="str">
        <f>INT(怪物属性!V39*0.025*0.91)&amp;","&amp;INT(怪物属性!V39*0.075*0.91)</f>
        <v>124,374</v>
      </c>
      <c r="P31" s="36" t="str">
        <f>INT(怪物属性!AD39*0.05*0.91)&amp;","&amp;INT(怪物属性!AD39*0.1*0.91)</f>
        <v>23,47</v>
      </c>
      <c r="Q31" s="36" t="str">
        <f>INT(怪物属性!X39*0.025*0.91)&amp;","&amp;INT(怪物属性!X39*0.075*0.91)</f>
        <v>13,39</v>
      </c>
      <c r="R31" s="36" t="str">
        <f>INT(怪物属性!Z39*0.025*0.91)&amp;","&amp;INT(怪物属性!Z39*0.075*0.91)</f>
        <v>10,31</v>
      </c>
      <c r="S31" s="36" t="str">
        <f>INT(怪物属性!AB39*0.025*0.91)&amp;","&amp;INT(怪物属性!AB39*0.075*0.91)</f>
        <v>15,47</v>
      </c>
      <c r="T31" s="36" t="str">
        <f>INT(怪物属性!AD39*0.025*0.91)&amp;","&amp;INT(怪物属性!AD39*0.075*0.91)</f>
        <v>11,35</v>
      </c>
      <c r="U31" s="59" t="str">
        <f t="shared" si="8"/>
        <v>380,620</v>
      </c>
      <c r="V31" s="36" t="str">
        <f>INT(怪物属性!K39*0.05)+2&amp;","&amp;INT(怪物属性!K39*0.075)+4</f>
        <v>43,66</v>
      </c>
      <c r="W31" s="36" t="str">
        <f>INT(怪物属性!C39*0.025)&amp;","&amp;INT(怪物属性!C39*0.075)</f>
        <v>9,28</v>
      </c>
      <c r="X31" s="36" t="str">
        <f>INT(怪物属性!V39*0.0025)&amp;","&amp;INT(怪物属性!V39*0.0075)</f>
        <v>13,41</v>
      </c>
      <c r="Y31" s="36" t="str">
        <f>INT(怪物属性!AF39*0.005)&amp;","&amp;INT(怪物属性!AF39*0.01)</f>
        <v>4,8</v>
      </c>
    </row>
    <row r="32" spans="1:25" x14ac:dyDescent="0.15">
      <c r="A32" s="36">
        <f>INT(怪物属性!R40^2/(怪物属性!R40+怪物属性!F40))</f>
        <v>512</v>
      </c>
      <c r="B32" s="36">
        <f>INT(怪物属性!F40^2/(怪物属性!F40+怪物属性!T40))</f>
        <v>321</v>
      </c>
      <c r="D32" s="36">
        <v>30</v>
      </c>
      <c r="E32" s="40" t="str">
        <f t="shared" si="2"/>
        <v>155,165</v>
      </c>
      <c r="F32" s="40" t="str">
        <f t="shared" si="3"/>
        <v>155,165</v>
      </c>
      <c r="G32" s="36" t="str">
        <f t="shared" si="4"/>
        <v>155,165</v>
      </c>
      <c r="H32" s="36" t="str">
        <f t="shared" si="5"/>
        <v>155,165</v>
      </c>
      <c r="I32" s="36" t="str">
        <f t="shared" si="6"/>
        <v>155,165</v>
      </c>
      <c r="J32" s="36" t="str">
        <f t="shared" si="7"/>
        <v>155,165</v>
      </c>
      <c r="K32" s="36" t="str">
        <f t="shared" si="0"/>
        <v>58,71</v>
      </c>
      <c r="L32" s="36" t="str">
        <f t="shared" si="1"/>
        <v>93,113</v>
      </c>
      <c r="M32" s="36" t="str">
        <f>INT(怪物属性!R40*0.055*0.91)&amp;","&amp;INT(怪物属性!R40*0.075*0.91)</f>
        <v>44,61</v>
      </c>
      <c r="N32" s="36" t="str">
        <f>INT(怪物属性!T40*0.055*0.91)&amp;","&amp;INT(怪物属性!T40*0.075*0.91)</f>
        <v>36,49</v>
      </c>
      <c r="O32" s="36" t="str">
        <f>INT(怪物属性!V40*0.025*0.91)&amp;","&amp;INT(怪物属性!V40*0.075*0.91)</f>
        <v>130,392</v>
      </c>
      <c r="P32" s="36" t="str">
        <f>INT(怪物属性!AD40*0.05*0.91)&amp;","&amp;INT(怪物属性!AD40*0.1*0.91)</f>
        <v>24,49</v>
      </c>
      <c r="Q32" s="36" t="str">
        <f>INT(怪物属性!X40*0.025*0.91)&amp;","&amp;INT(怪物属性!X40*0.075*0.91)</f>
        <v>13,41</v>
      </c>
      <c r="R32" s="36" t="str">
        <f>INT(怪物属性!Z40*0.025*0.91)&amp;","&amp;INT(怪物属性!Z40*0.075*0.91)</f>
        <v>11,33</v>
      </c>
      <c r="S32" s="36" t="str">
        <f>INT(怪物属性!AB40*0.025*0.91)&amp;","&amp;INT(怪物属性!AB40*0.075*0.91)</f>
        <v>16,49</v>
      </c>
      <c r="T32" s="36" t="str">
        <f>INT(怪物属性!AD40*0.025*0.91)&amp;","&amp;INT(怪物属性!AD40*0.075*0.91)</f>
        <v>12,36</v>
      </c>
      <c r="U32" s="59" t="str">
        <f t="shared" si="8"/>
        <v>390,635</v>
      </c>
      <c r="V32" s="36" t="str">
        <f>INT(怪物属性!K40*0.05)+2&amp;","&amp;INT(怪物属性!K40*0.075)+4</f>
        <v>44,68</v>
      </c>
      <c r="W32" s="36" t="str">
        <f>INT(怪物属性!C40*0.025)&amp;","&amp;INT(怪物属性!C40*0.075)</f>
        <v>9,29</v>
      </c>
      <c r="X32" s="36" t="str">
        <f>INT(怪物属性!V40*0.0025)&amp;","&amp;INT(怪物属性!V40*0.0075)</f>
        <v>14,43</v>
      </c>
      <c r="Y32" s="36" t="str">
        <f>INT(怪物属性!AF40*0.005)&amp;","&amp;INT(怪物属性!AF40*0.01)</f>
        <v>4,9</v>
      </c>
    </row>
    <row r="33" spans="1:25" x14ac:dyDescent="0.15">
      <c r="A33" s="36">
        <f>INT(怪物属性!R41^2/(怪物属性!R41+怪物属性!F41))</f>
        <v>534</v>
      </c>
      <c r="B33" s="36">
        <f>INT(怪物属性!F41^2/(怪物属性!F41+怪物属性!T41))</f>
        <v>336</v>
      </c>
      <c r="D33" s="36">
        <v>31</v>
      </c>
      <c r="E33" s="40" t="str">
        <f t="shared" si="2"/>
        <v>160,170</v>
      </c>
      <c r="F33" s="40" t="str">
        <f t="shared" si="3"/>
        <v>160,170</v>
      </c>
      <c r="G33" s="36" t="str">
        <f t="shared" si="4"/>
        <v>160,170</v>
      </c>
      <c r="H33" s="36" t="str">
        <f t="shared" si="5"/>
        <v>160,170</v>
      </c>
      <c r="I33" s="36" t="str">
        <f t="shared" si="6"/>
        <v>160,170</v>
      </c>
      <c r="J33" s="36" t="str">
        <f t="shared" si="7"/>
        <v>160,170</v>
      </c>
      <c r="K33" s="36" t="str">
        <f t="shared" si="0"/>
        <v>61,74</v>
      </c>
      <c r="L33" s="36" t="str">
        <f t="shared" si="1"/>
        <v>97,118</v>
      </c>
      <c r="M33" s="36" t="str">
        <f>INT(怪物属性!R41*0.055*0.91)&amp;","&amp;INT(怪物属性!R41*0.075*0.91)</f>
        <v>46,63</v>
      </c>
      <c r="N33" s="36" t="str">
        <f>INT(怪物属性!T41*0.055*0.91)&amp;","&amp;INT(怪物属性!T41*0.075*0.91)</f>
        <v>38,52</v>
      </c>
      <c r="O33" s="36" t="str">
        <f>INT(怪物属性!V41*0.025*0.91)&amp;","&amp;INT(怪物属性!V41*0.075*0.91)</f>
        <v>137,412</v>
      </c>
      <c r="P33" s="36" t="str">
        <f>INT(怪物属性!AD41*0.05*0.91)&amp;","&amp;INT(怪物属性!AD41*0.1*0.91)</f>
        <v>25,50</v>
      </c>
      <c r="Q33" s="36" t="str">
        <f>INT(怪物属性!X41*0.025*0.91)&amp;","&amp;INT(怪物属性!X41*0.075*0.91)</f>
        <v>14,43</v>
      </c>
      <c r="R33" s="36" t="str">
        <f>INT(怪物属性!Z41*0.025*0.91)&amp;","&amp;INT(怪物属性!Z41*0.075*0.91)</f>
        <v>11,34</v>
      </c>
      <c r="S33" s="36" t="str">
        <f>INT(怪物属性!AB41*0.025*0.91)&amp;","&amp;INT(怪物属性!AB41*0.075*0.91)</f>
        <v>17,51</v>
      </c>
      <c r="T33" s="36" t="str">
        <f>INT(怪物属性!AD41*0.025*0.91)&amp;","&amp;INT(怪物属性!AD41*0.075*0.91)</f>
        <v>12,38</v>
      </c>
      <c r="U33" s="59" t="str">
        <f t="shared" si="8"/>
        <v>400,650</v>
      </c>
      <c r="V33" s="36" t="str">
        <f>INT(怪物属性!K41*0.05)+2&amp;","&amp;INT(怪物属性!K41*0.075)+4</f>
        <v>45,69</v>
      </c>
      <c r="W33" s="36" t="str">
        <f>INT(怪物属性!C41*0.025)&amp;","&amp;INT(怪物属性!C41*0.075)</f>
        <v>10,31</v>
      </c>
      <c r="X33" s="36" t="str">
        <f>INT(怪物属性!V41*0.0025)&amp;","&amp;INT(怪物属性!V41*0.0075)</f>
        <v>15,45</v>
      </c>
      <c r="Y33" s="36" t="str">
        <f>INT(怪物属性!AF41*0.005)&amp;","&amp;INT(怪物属性!AF41*0.01)</f>
        <v>4,9</v>
      </c>
    </row>
    <row r="34" spans="1:25" x14ac:dyDescent="0.15">
      <c r="A34" s="36">
        <f>INT(怪物属性!R42^2/(怪物属性!R42+怪物属性!F42))</f>
        <v>559</v>
      </c>
      <c r="B34" s="36">
        <f>INT(怪物属性!F42^2/(怪物属性!F42+怪物属性!T42))</f>
        <v>351</v>
      </c>
      <c r="D34" s="36">
        <v>32</v>
      </c>
      <c r="E34" s="40" t="str">
        <f t="shared" si="2"/>
        <v>165,175</v>
      </c>
      <c r="F34" s="40" t="str">
        <f t="shared" si="3"/>
        <v>165,175</v>
      </c>
      <c r="G34" s="36" t="str">
        <f t="shared" si="4"/>
        <v>165,175</v>
      </c>
      <c r="H34" s="36" t="str">
        <f t="shared" si="5"/>
        <v>165,175</v>
      </c>
      <c r="I34" s="36" t="str">
        <f t="shared" si="6"/>
        <v>165,175</v>
      </c>
      <c r="J34" s="36" t="str">
        <f t="shared" si="7"/>
        <v>165,175</v>
      </c>
      <c r="K34" s="36" t="str">
        <f t="shared" si="0"/>
        <v>64,77</v>
      </c>
      <c r="L34" s="36" t="str">
        <f t="shared" si="1"/>
        <v>102,124</v>
      </c>
      <c r="M34" s="36" t="str">
        <f>INT(怪物属性!R42*0.055*0.91)&amp;","&amp;INT(怪物属性!R42*0.075*0.91)</f>
        <v>48,66</v>
      </c>
      <c r="N34" s="36" t="str">
        <f>INT(怪物属性!T42*0.055*0.91)&amp;","&amp;INT(怪物属性!T42*0.075*0.91)</f>
        <v>39,54</v>
      </c>
      <c r="O34" s="36" t="str">
        <f>INT(怪物属性!V42*0.025*0.91)&amp;","&amp;INT(怪物属性!V42*0.075*0.91)</f>
        <v>144,434</v>
      </c>
      <c r="P34" s="36" t="str">
        <f>INT(怪物属性!AD42*0.05*0.91)&amp;","&amp;INT(怪物属性!AD42*0.1*0.91)</f>
        <v>26,52</v>
      </c>
      <c r="Q34" s="36" t="str">
        <f>INT(怪物属性!X42*0.025*0.91)&amp;","&amp;INT(怪物属性!X42*0.075*0.91)</f>
        <v>15,45</v>
      </c>
      <c r="R34" s="36" t="str">
        <f>INT(怪物属性!Z42*0.025*0.91)&amp;","&amp;INT(怪物属性!Z42*0.075*0.91)</f>
        <v>11,35</v>
      </c>
      <c r="S34" s="36" t="str">
        <f>INT(怪物属性!AB42*0.025*0.91)&amp;","&amp;INT(怪物属性!AB42*0.075*0.91)</f>
        <v>17,53</v>
      </c>
      <c r="T34" s="36" t="str">
        <f>INT(怪物属性!AD42*0.025*0.91)&amp;","&amp;INT(怪物属性!AD42*0.075*0.91)</f>
        <v>13,39</v>
      </c>
      <c r="U34" s="59" t="str">
        <f t="shared" si="8"/>
        <v>410,665</v>
      </c>
      <c r="V34" s="36" t="str">
        <f>INT(怪物属性!K42*0.05)+2&amp;","&amp;INT(怪物属性!K42*0.075)+4</f>
        <v>47,71</v>
      </c>
      <c r="W34" s="36" t="str">
        <f>INT(怪物属性!C42*0.025)&amp;","&amp;INT(怪物属性!C42*0.075)</f>
        <v>11,33</v>
      </c>
      <c r="X34" s="36" t="str">
        <f>INT(怪物属性!V42*0.0025)&amp;","&amp;INT(怪物属性!V42*0.0075)</f>
        <v>15,47</v>
      </c>
      <c r="Y34" s="36" t="str">
        <f>INT(怪物属性!AF42*0.005)&amp;","&amp;INT(怪物属性!AF42*0.01)</f>
        <v>4,9</v>
      </c>
    </row>
    <row r="35" spans="1:25" x14ac:dyDescent="0.15">
      <c r="A35" s="36">
        <f>INT(怪物属性!R43^2/(怪物属性!R43+怪物属性!F43))</f>
        <v>585</v>
      </c>
      <c r="B35" s="36">
        <f>INT(怪物属性!F43^2/(怪物属性!F43+怪物属性!T43))</f>
        <v>367</v>
      </c>
      <c r="D35" s="36">
        <v>33</v>
      </c>
      <c r="E35" s="40" t="str">
        <f t="shared" si="2"/>
        <v>170,180</v>
      </c>
      <c r="F35" s="40" t="str">
        <f t="shared" si="3"/>
        <v>170,180</v>
      </c>
      <c r="G35" s="36" t="str">
        <f t="shared" si="4"/>
        <v>170,180</v>
      </c>
      <c r="H35" s="36" t="str">
        <f t="shared" si="5"/>
        <v>170,180</v>
      </c>
      <c r="I35" s="36" t="str">
        <f t="shared" si="6"/>
        <v>170,180</v>
      </c>
      <c r="J35" s="36" t="str">
        <f t="shared" si="7"/>
        <v>170,180</v>
      </c>
      <c r="K35" s="36" t="str">
        <f t="shared" ref="K35:K52" si="9">INT(B35*0.165*1.11)&amp;","&amp;INT(B35*0.2*1.11)</f>
        <v>67,81</v>
      </c>
      <c r="L35" s="36" t="str">
        <f t="shared" ref="L35:L52" si="10">INT(A35*0.165*1.11)&amp;","&amp;INT(A35*0.2*1.11)</f>
        <v>107,129</v>
      </c>
      <c r="M35" s="36" t="str">
        <f>INT(怪物属性!R43*0.055*0.91)&amp;","&amp;INT(怪物属性!R43*0.075*0.91)</f>
        <v>51,69</v>
      </c>
      <c r="N35" s="36" t="str">
        <f>INT(怪物属性!T43*0.055*0.91)&amp;","&amp;INT(怪物属性!T43*0.075*0.91)</f>
        <v>41,57</v>
      </c>
      <c r="O35" s="36" t="str">
        <f>INT(怪物属性!V43*0.025*0.91)&amp;","&amp;INT(怪物属性!V43*0.075*0.91)</f>
        <v>152,458</v>
      </c>
      <c r="P35" s="36" t="str">
        <f>INT(怪物属性!AD43*0.05*0.91)&amp;","&amp;INT(怪物属性!AD43*0.1*0.91)</f>
        <v>27,54</v>
      </c>
      <c r="Q35" s="36" t="str">
        <f>INT(怪物属性!X43*0.025*0.91)&amp;","&amp;INT(怪物属性!X43*0.075*0.91)</f>
        <v>15,47</v>
      </c>
      <c r="R35" s="36" t="str">
        <f>INT(怪物属性!Z43*0.025*0.91)&amp;","&amp;INT(怪物属性!Z43*0.075*0.91)</f>
        <v>12,37</v>
      </c>
      <c r="S35" s="36" t="str">
        <f>INT(怪物属性!AB43*0.025*0.91)&amp;","&amp;INT(怪物属性!AB43*0.075*0.91)</f>
        <v>18,55</v>
      </c>
      <c r="T35" s="36" t="str">
        <f>INT(怪物属性!AD43*0.025*0.91)&amp;","&amp;INT(怪物属性!AD43*0.075*0.91)</f>
        <v>13,41</v>
      </c>
      <c r="U35" s="59" t="str">
        <f t="shared" si="8"/>
        <v>420,680</v>
      </c>
      <c r="V35" s="36" t="str">
        <f>INT(怪物属性!K43*0.05)+2&amp;","&amp;INT(怪物属性!K43*0.075)+4</f>
        <v>48,73</v>
      </c>
      <c r="W35" s="36" t="str">
        <f>INT(怪物属性!C43*0.025)&amp;","&amp;INT(怪物属性!C43*0.075)</f>
        <v>11,34</v>
      </c>
      <c r="X35" s="36" t="str">
        <f>INT(怪物属性!V43*0.0025)&amp;","&amp;INT(怪物属性!V43*0.0075)</f>
        <v>16,50</v>
      </c>
      <c r="Y35" s="36" t="str">
        <f>INT(怪物属性!AF43*0.005)&amp;","&amp;INT(怪物属性!AF43*0.01)</f>
        <v>5,10</v>
      </c>
    </row>
    <row r="36" spans="1:25" x14ac:dyDescent="0.15">
      <c r="A36" s="36">
        <f>INT(怪物属性!R44^2/(怪物属性!R44+怪物属性!F44))</f>
        <v>613</v>
      </c>
      <c r="B36" s="36">
        <f>INT(怪物属性!F44^2/(怪物属性!F44+怪物属性!T44))</f>
        <v>385</v>
      </c>
      <c r="D36" s="36">
        <v>34</v>
      </c>
      <c r="E36" s="40" t="str">
        <f t="shared" si="2"/>
        <v>175,185</v>
      </c>
      <c r="F36" s="40" t="str">
        <f t="shared" si="3"/>
        <v>175,185</v>
      </c>
      <c r="G36" s="36" t="str">
        <f t="shared" si="4"/>
        <v>175,185</v>
      </c>
      <c r="H36" s="36" t="str">
        <f t="shared" si="5"/>
        <v>175,185</v>
      </c>
      <c r="I36" s="36" t="str">
        <f t="shared" si="6"/>
        <v>175,185</v>
      </c>
      <c r="J36" s="36" t="str">
        <f t="shared" si="7"/>
        <v>175,185</v>
      </c>
      <c r="K36" s="36" t="str">
        <f t="shared" si="9"/>
        <v>70,85</v>
      </c>
      <c r="L36" s="36" t="str">
        <f t="shared" si="10"/>
        <v>112,136</v>
      </c>
      <c r="M36" s="36" t="str">
        <f>INT(怪物属性!R44*0.055*0.91)&amp;","&amp;INT(怪物属性!R44*0.075*0.91)</f>
        <v>53,73</v>
      </c>
      <c r="N36" s="36" t="str">
        <f>INT(怪物属性!T44*0.055*0.91)&amp;","&amp;INT(怪物属性!T44*0.075*0.91)</f>
        <v>43,59</v>
      </c>
      <c r="O36" s="36" t="str">
        <f>INT(怪物属性!V44*0.025*0.91)&amp;","&amp;INT(怪物属性!V44*0.075*0.91)</f>
        <v>161,485</v>
      </c>
      <c r="P36" s="36" t="str">
        <f>INT(怪物属性!AD44*0.05*0.91)&amp;","&amp;INT(怪物属性!AD44*0.1*0.91)</f>
        <v>28,56</v>
      </c>
      <c r="Q36" s="36" t="str">
        <f>INT(怪物属性!X44*0.025*0.91)&amp;","&amp;INT(怪物属性!X44*0.075*0.91)</f>
        <v>16,49</v>
      </c>
      <c r="R36" s="36" t="str">
        <f>INT(怪物属性!Z44*0.025*0.91)&amp;","&amp;INT(怪物属性!Z44*0.075*0.91)</f>
        <v>12,38</v>
      </c>
      <c r="S36" s="36" t="str">
        <f>INT(怪物属性!AB44*0.025*0.91)&amp;","&amp;INT(怪物属性!AB44*0.075*0.91)</f>
        <v>19,57</v>
      </c>
      <c r="T36" s="36" t="str">
        <f>INT(怪物属性!AD44*0.025*0.91)&amp;","&amp;INT(怪物属性!AD44*0.075*0.91)</f>
        <v>14,42</v>
      </c>
      <c r="U36" s="59" t="str">
        <f t="shared" si="8"/>
        <v>430,695</v>
      </c>
      <c r="V36" s="36" t="str">
        <f>INT(怪物属性!K44*0.05)+2&amp;","&amp;INT(怪物属性!K44*0.075)+4</f>
        <v>49,75</v>
      </c>
      <c r="W36" s="36" t="str">
        <f>INT(怪物属性!C44*0.025)&amp;","&amp;INT(怪物属性!C44*0.075)</f>
        <v>12,36</v>
      </c>
      <c r="X36" s="36" t="str">
        <f>INT(怪物属性!V44*0.0025)&amp;","&amp;INT(怪物属性!V44*0.0075)</f>
        <v>17,53</v>
      </c>
      <c r="Y36" s="36" t="str">
        <f>INT(怪物属性!AF44*0.005)&amp;","&amp;INT(怪物属性!AF44*0.01)</f>
        <v>5,10</v>
      </c>
    </row>
    <row r="37" spans="1:25" x14ac:dyDescent="0.15">
      <c r="A37" s="36">
        <f>INT(怪物属性!R45^2/(怪物属性!R45+怪物属性!F45))</f>
        <v>644</v>
      </c>
      <c r="B37" s="36">
        <f>INT(怪物属性!F45^2/(怪物属性!F45+怪物属性!T45))</f>
        <v>405</v>
      </c>
      <c r="D37" s="36">
        <v>35</v>
      </c>
      <c r="E37" s="40" t="str">
        <f t="shared" si="2"/>
        <v>180,190</v>
      </c>
      <c r="F37" s="40" t="str">
        <f t="shared" si="3"/>
        <v>180,190</v>
      </c>
      <c r="G37" s="36" t="str">
        <f t="shared" si="4"/>
        <v>180,190</v>
      </c>
      <c r="H37" s="36" t="str">
        <f t="shared" si="5"/>
        <v>180,190</v>
      </c>
      <c r="I37" s="36" t="str">
        <f t="shared" si="6"/>
        <v>180,190</v>
      </c>
      <c r="J37" s="36" t="str">
        <f t="shared" si="7"/>
        <v>180,190</v>
      </c>
      <c r="K37" s="36" t="str">
        <f t="shared" si="9"/>
        <v>74,89</v>
      </c>
      <c r="L37" s="36" t="str">
        <f t="shared" si="10"/>
        <v>117,142</v>
      </c>
      <c r="M37" s="36" t="str">
        <f>INT(怪物属性!R45*0.055*0.91)&amp;","&amp;INT(怪物属性!R45*0.075*0.91)</f>
        <v>56,76</v>
      </c>
      <c r="N37" s="36" t="str">
        <f>INT(怪物属性!T45*0.055*0.91)&amp;","&amp;INT(怪物属性!T45*0.075*0.91)</f>
        <v>46,62</v>
      </c>
      <c r="O37" s="36" t="str">
        <f>INT(怪物属性!V45*0.025*0.91)&amp;","&amp;INT(怪物属性!V45*0.075*0.91)</f>
        <v>171,514</v>
      </c>
      <c r="P37" s="36" t="str">
        <f>INT(怪物属性!AD45*0.05*0.91)&amp;","&amp;INT(怪物属性!AD45*0.1*0.91)</f>
        <v>29,59</v>
      </c>
      <c r="Q37" s="36" t="str">
        <f>INT(怪物属性!X45*0.025*0.91)&amp;","&amp;INT(怪物属性!X45*0.075*0.91)</f>
        <v>17,52</v>
      </c>
      <c r="R37" s="36" t="str">
        <f>INT(怪物属性!Z45*0.025*0.91)&amp;","&amp;INT(怪物属性!Z45*0.075*0.91)</f>
        <v>13,40</v>
      </c>
      <c r="S37" s="36" t="str">
        <f>INT(怪物属性!AB45*0.025*0.91)&amp;","&amp;INT(怪物属性!AB45*0.075*0.91)</f>
        <v>20,60</v>
      </c>
      <c r="T37" s="36" t="str">
        <f>INT(怪物属性!AD45*0.025*0.91)&amp;","&amp;INT(怪物属性!AD45*0.075*0.91)</f>
        <v>14,44</v>
      </c>
      <c r="U37" s="59" t="str">
        <f t="shared" si="8"/>
        <v>440,710</v>
      </c>
      <c r="V37" s="36" t="str">
        <f>INT(怪物属性!K45*0.05)+2&amp;","&amp;INT(怪物属性!K45*0.075)+4</f>
        <v>51,77</v>
      </c>
      <c r="W37" s="36" t="str">
        <f>INT(怪物属性!C45*0.025)&amp;","&amp;INT(怪物属性!C45*0.075)</f>
        <v>12,37</v>
      </c>
      <c r="X37" s="36" t="str">
        <f>INT(怪物属性!V45*0.0025)&amp;","&amp;INT(怪物属性!V45*0.0075)</f>
        <v>18,56</v>
      </c>
      <c r="Y37" s="36" t="str">
        <f>INT(怪物属性!AF45*0.005)&amp;","&amp;INT(怪物属性!AF45*0.01)</f>
        <v>5,11</v>
      </c>
    </row>
    <row r="38" spans="1:25" x14ac:dyDescent="0.15">
      <c r="A38" s="36">
        <f>INT(怪物属性!R46^2/(怪物属性!R46+怪物属性!F46))</f>
        <v>677</v>
      </c>
      <c r="B38" s="36">
        <f>INT(怪物属性!F46^2/(怪物属性!F46+怪物属性!T46))</f>
        <v>425</v>
      </c>
      <c r="D38" s="36">
        <v>36</v>
      </c>
      <c r="E38" s="40" t="str">
        <f t="shared" si="2"/>
        <v>185,195</v>
      </c>
      <c r="F38" s="40" t="str">
        <f t="shared" si="3"/>
        <v>185,195</v>
      </c>
      <c r="G38" s="36" t="str">
        <f t="shared" si="4"/>
        <v>185,195</v>
      </c>
      <c r="H38" s="36" t="str">
        <f t="shared" si="5"/>
        <v>185,195</v>
      </c>
      <c r="I38" s="36" t="str">
        <f t="shared" si="6"/>
        <v>185,195</v>
      </c>
      <c r="J38" s="36" t="str">
        <f t="shared" si="7"/>
        <v>185,195</v>
      </c>
      <c r="K38" s="36" t="str">
        <f t="shared" si="9"/>
        <v>77,94</v>
      </c>
      <c r="L38" s="36" t="str">
        <f t="shared" si="10"/>
        <v>123,150</v>
      </c>
      <c r="M38" s="36" t="str">
        <f>INT(怪物属性!R46*0.055*0.91)&amp;","&amp;INT(怪物属性!R46*0.075*0.91)</f>
        <v>59,80</v>
      </c>
      <c r="N38" s="36" t="str">
        <f>INT(怪物属性!T46*0.055*0.91)&amp;","&amp;INT(怪物属性!T46*0.075*0.91)</f>
        <v>48,65</v>
      </c>
      <c r="O38" s="36" t="str">
        <f>INT(怪物属性!V46*0.025*0.91)&amp;","&amp;INT(怪物属性!V46*0.075*0.91)</f>
        <v>182,547</v>
      </c>
      <c r="P38" s="36" t="str">
        <f>INT(怪物属性!AD46*0.05*0.91)&amp;","&amp;INT(怪物属性!AD46*0.1*0.91)</f>
        <v>30,61</v>
      </c>
      <c r="Q38" s="36" t="str">
        <f>INT(怪物属性!X46*0.025*0.91)&amp;","&amp;INT(怪物属性!X46*0.075*0.91)</f>
        <v>18,54</v>
      </c>
      <c r="R38" s="36" t="str">
        <f>INT(怪物属性!Z46*0.025*0.91)&amp;","&amp;INT(怪物属性!Z46*0.075*0.91)</f>
        <v>13,41</v>
      </c>
      <c r="S38" s="36" t="str">
        <f>INT(怪物属性!AB46*0.025*0.91)&amp;","&amp;INT(怪物属性!AB46*0.075*0.91)</f>
        <v>20,62</v>
      </c>
      <c r="T38" s="36" t="str">
        <f>INT(怪物属性!AD46*0.025*0.91)&amp;","&amp;INT(怪物属性!AD46*0.075*0.91)</f>
        <v>15,46</v>
      </c>
      <c r="U38" s="59" t="str">
        <f t="shared" si="8"/>
        <v>450,725</v>
      </c>
      <c r="V38" s="36" t="str">
        <f>INT(怪物属性!K46*0.05)+2&amp;","&amp;INT(怪物属性!K46*0.075)+4</f>
        <v>52,79</v>
      </c>
      <c r="W38" s="36" t="str">
        <f>INT(怪物属性!C46*0.025)&amp;","&amp;INT(怪物属性!C46*0.075)</f>
        <v>13,39</v>
      </c>
      <c r="X38" s="36" t="str">
        <f>INT(怪物属性!V46*0.0025)&amp;","&amp;INT(怪物属性!V46*0.0075)</f>
        <v>20,60</v>
      </c>
      <c r="Y38" s="36" t="str">
        <f>INT(怪物属性!AF46*0.005)&amp;","&amp;INT(怪物属性!AF46*0.01)</f>
        <v>5,11</v>
      </c>
    </row>
    <row r="39" spans="1:25" x14ac:dyDescent="0.15">
      <c r="A39" s="36">
        <f>INT(怪物属性!R47^2/(怪物属性!R47+怪物属性!F47))</f>
        <v>713</v>
      </c>
      <c r="B39" s="36">
        <f>INT(怪物属性!F47^2/(怪物属性!F47+怪物属性!T47))</f>
        <v>448</v>
      </c>
      <c r="D39" s="36">
        <v>37</v>
      </c>
      <c r="E39" s="40" t="str">
        <f t="shared" si="2"/>
        <v>190,200</v>
      </c>
      <c r="F39" s="40" t="str">
        <f t="shared" si="3"/>
        <v>190,200</v>
      </c>
      <c r="G39" s="36" t="str">
        <f t="shared" si="4"/>
        <v>190,200</v>
      </c>
      <c r="H39" s="36" t="str">
        <f t="shared" si="5"/>
        <v>190,200</v>
      </c>
      <c r="I39" s="36" t="str">
        <f t="shared" si="6"/>
        <v>190,200</v>
      </c>
      <c r="J39" s="36" t="str">
        <f t="shared" si="7"/>
        <v>190,200</v>
      </c>
      <c r="K39" s="36" t="str">
        <f t="shared" si="9"/>
        <v>82,99</v>
      </c>
      <c r="L39" s="36" t="str">
        <f t="shared" si="10"/>
        <v>130,158</v>
      </c>
      <c r="M39" s="36" t="str">
        <f>INT(怪物属性!R47*0.055*0.91)&amp;","&amp;INT(怪物属性!R47*0.075*0.91)</f>
        <v>62,85</v>
      </c>
      <c r="N39" s="36" t="str">
        <f>INT(怪物属性!T47*0.055*0.91)&amp;","&amp;INT(怪物属性!T47*0.075*0.91)</f>
        <v>50,69</v>
      </c>
      <c r="O39" s="36" t="str">
        <f>INT(怪物属性!V47*0.025*0.91)&amp;","&amp;INT(怪物属性!V47*0.075*0.91)</f>
        <v>194,583</v>
      </c>
      <c r="P39" s="36" t="str">
        <f>INT(怪物属性!AD47*0.05*0.91)&amp;","&amp;INT(怪物属性!AD47*0.1*0.91)</f>
        <v>31,63</v>
      </c>
      <c r="Q39" s="36" t="str">
        <f>INT(怪物属性!X47*0.025*0.91)&amp;","&amp;INT(怪物属性!X47*0.075*0.91)</f>
        <v>19,57</v>
      </c>
      <c r="R39" s="36" t="str">
        <f>INT(怪物属性!Z47*0.025*0.91)&amp;","&amp;INT(怪物属性!Z47*0.075*0.91)</f>
        <v>14,43</v>
      </c>
      <c r="S39" s="36" t="str">
        <f>INT(怪物属性!AB47*0.025*0.91)&amp;","&amp;INT(怪物属性!AB47*0.075*0.91)</f>
        <v>21,65</v>
      </c>
      <c r="T39" s="36" t="str">
        <f>INT(怪物属性!AD47*0.025*0.91)&amp;","&amp;INT(怪物属性!AD47*0.075*0.91)</f>
        <v>15,47</v>
      </c>
      <c r="U39" s="59" t="str">
        <f t="shared" si="8"/>
        <v>460,740</v>
      </c>
      <c r="V39" s="36" t="str">
        <f>INT(怪物属性!K47*0.05)+2&amp;","&amp;INT(怪物属性!K47*0.075)+4</f>
        <v>53,81</v>
      </c>
      <c r="W39" s="36" t="str">
        <f>INT(怪物属性!C47*0.025)&amp;","&amp;INT(怪物属性!C47*0.075)</f>
        <v>13,41</v>
      </c>
      <c r="X39" s="36" t="str">
        <f>INT(怪物属性!V47*0.0025)&amp;","&amp;INT(怪物属性!V47*0.0075)</f>
        <v>21,64</v>
      </c>
      <c r="Y39" s="36" t="str">
        <f>INT(怪物属性!AF47*0.005)&amp;","&amp;INT(怪物属性!AF47*0.01)</f>
        <v>6,12</v>
      </c>
    </row>
    <row r="40" spans="1:25" x14ac:dyDescent="0.15">
      <c r="A40" s="36">
        <f>INT(怪物属性!R48^2/(怪物属性!R48+怪物属性!F48))</f>
        <v>752</v>
      </c>
      <c r="B40" s="36">
        <f>INT(怪物属性!F48^2/(怪物属性!F48+怪物属性!T48))</f>
        <v>473</v>
      </c>
      <c r="D40" s="36">
        <v>38</v>
      </c>
      <c r="E40" s="40" t="str">
        <f t="shared" si="2"/>
        <v>195,205</v>
      </c>
      <c r="F40" s="40" t="str">
        <f t="shared" si="3"/>
        <v>195,205</v>
      </c>
      <c r="G40" s="36" t="str">
        <f t="shared" si="4"/>
        <v>195,205</v>
      </c>
      <c r="H40" s="36" t="str">
        <f t="shared" si="5"/>
        <v>195,205</v>
      </c>
      <c r="I40" s="36" t="str">
        <f t="shared" si="6"/>
        <v>195,205</v>
      </c>
      <c r="J40" s="36" t="str">
        <f t="shared" si="7"/>
        <v>195,205</v>
      </c>
      <c r="K40" s="36" t="str">
        <f t="shared" si="9"/>
        <v>86,105</v>
      </c>
      <c r="L40" s="36" t="str">
        <f t="shared" si="10"/>
        <v>137,166</v>
      </c>
      <c r="M40" s="36" t="str">
        <f>INT(怪物属性!R48*0.055*0.91)&amp;","&amp;INT(怪物属性!R48*0.075*0.91)</f>
        <v>65,89</v>
      </c>
      <c r="N40" s="36" t="str">
        <f>INT(怪物属性!T48*0.055*0.91)&amp;","&amp;INT(怪物属性!T48*0.075*0.91)</f>
        <v>53,73</v>
      </c>
      <c r="O40" s="36" t="str">
        <f>INT(怪物属性!V48*0.025*0.91)&amp;","&amp;INT(怪物属性!V48*0.075*0.91)</f>
        <v>207,623</v>
      </c>
      <c r="P40" s="36" t="str">
        <f>INT(怪物属性!AD48*0.05*0.91)&amp;","&amp;INT(怪物属性!AD48*0.1*0.91)</f>
        <v>33,66</v>
      </c>
      <c r="Q40" s="36" t="str">
        <f>INT(怪物属性!X48*0.025*0.91)&amp;","&amp;INT(怪物属性!X48*0.075*0.91)</f>
        <v>20,60</v>
      </c>
      <c r="R40" s="36" t="str">
        <f>INT(怪物属性!Z48*0.025*0.91)&amp;","&amp;INT(怪物属性!Z48*0.075*0.91)</f>
        <v>15,45</v>
      </c>
      <c r="S40" s="36" t="str">
        <f>INT(怪物属性!AB48*0.025*0.91)&amp;","&amp;INT(怪物属性!AB48*0.075*0.91)</f>
        <v>22,68</v>
      </c>
      <c r="T40" s="36" t="str">
        <f>INT(怪物属性!AD48*0.025*0.91)&amp;","&amp;INT(怪物属性!AD48*0.075*0.91)</f>
        <v>16,49</v>
      </c>
      <c r="U40" s="59" t="str">
        <f t="shared" si="8"/>
        <v>470,755</v>
      </c>
      <c r="V40" s="36" t="str">
        <f>INT(怪物属性!K48*0.05)+2&amp;","&amp;INT(怪物属性!K48*0.075)+4</f>
        <v>54,83</v>
      </c>
      <c r="W40" s="36" t="str">
        <f>INT(怪物属性!C48*0.025)&amp;","&amp;INT(怪物属性!C48*0.075)</f>
        <v>14,43</v>
      </c>
      <c r="X40" s="36" t="str">
        <f>INT(怪物属性!V48*0.0025)&amp;","&amp;INT(怪物属性!V48*0.0075)</f>
        <v>22,68</v>
      </c>
      <c r="Y40" s="36" t="str">
        <f>INT(怪物属性!AF48*0.005)&amp;","&amp;INT(怪物属性!AF48*0.01)</f>
        <v>6,13</v>
      </c>
    </row>
    <row r="41" spans="1:25" x14ac:dyDescent="0.15">
      <c r="A41" s="36">
        <f>INT(怪物属性!R49^2/(怪物属性!R49+怪物属性!F49))</f>
        <v>794</v>
      </c>
      <c r="B41" s="36">
        <f>INT(怪物属性!F49^2/(怪物属性!F49+怪物属性!T49))</f>
        <v>500</v>
      </c>
      <c r="D41" s="36">
        <v>39</v>
      </c>
      <c r="E41" s="40" t="str">
        <f t="shared" si="2"/>
        <v>200,210</v>
      </c>
      <c r="F41" s="40" t="str">
        <f t="shared" si="3"/>
        <v>200,210</v>
      </c>
      <c r="G41" s="36" t="str">
        <f t="shared" si="4"/>
        <v>200,210</v>
      </c>
      <c r="H41" s="36" t="str">
        <f t="shared" si="5"/>
        <v>200,210</v>
      </c>
      <c r="I41" s="36" t="str">
        <f t="shared" si="6"/>
        <v>200,210</v>
      </c>
      <c r="J41" s="36" t="str">
        <f t="shared" si="7"/>
        <v>200,210</v>
      </c>
      <c r="K41" s="36" t="str">
        <f t="shared" si="9"/>
        <v>91,111</v>
      </c>
      <c r="L41" s="36" t="str">
        <f t="shared" si="10"/>
        <v>145,176</v>
      </c>
      <c r="M41" s="36" t="str">
        <f>INT(怪物属性!R49*0.055*0.91)&amp;","&amp;INT(怪物属性!R49*0.075*0.91)</f>
        <v>69,94</v>
      </c>
      <c r="N41" s="36" t="str">
        <f>INT(怪物属性!T49*0.055*0.91)&amp;","&amp;INT(怪物属性!T49*0.075*0.91)</f>
        <v>56,77</v>
      </c>
      <c r="O41" s="36" t="str">
        <f>INT(怪物属性!V49*0.025*0.91)&amp;","&amp;INT(怪物属性!V49*0.075*0.91)</f>
        <v>222,666</v>
      </c>
      <c r="P41" s="36" t="str">
        <f>INT(怪物属性!AD49*0.05*0.91)&amp;","&amp;INT(怪物属性!AD49*0.1*0.91)</f>
        <v>34,68</v>
      </c>
      <c r="Q41" s="36" t="str">
        <f>INT(怪物属性!X49*0.025*0.91)&amp;","&amp;INT(怪物属性!X49*0.075*0.91)</f>
        <v>21,63</v>
      </c>
      <c r="R41" s="36" t="str">
        <f>INT(怪物属性!Z49*0.025*0.91)&amp;","&amp;INT(怪物属性!Z49*0.075*0.91)</f>
        <v>15,47</v>
      </c>
      <c r="S41" s="36" t="str">
        <f>INT(怪物属性!AB49*0.025*0.91)&amp;","&amp;INT(怪物属性!AB49*0.075*0.91)</f>
        <v>23,71</v>
      </c>
      <c r="T41" s="36" t="str">
        <f>INT(怪物属性!AD49*0.025*0.91)&amp;","&amp;INT(怪物属性!AD49*0.075*0.91)</f>
        <v>17,51</v>
      </c>
      <c r="U41" s="59" t="str">
        <f t="shared" si="8"/>
        <v>480,770</v>
      </c>
      <c r="V41" s="36" t="str">
        <f>INT(怪物属性!K49*0.05)+2&amp;","&amp;INT(怪物属性!K49*0.075)+4</f>
        <v>56,85</v>
      </c>
      <c r="W41" s="36" t="str">
        <f>INT(怪物属性!C49*0.025)&amp;","&amp;INT(怪物属性!C49*0.075)</f>
        <v>14,44</v>
      </c>
      <c r="X41" s="36" t="str">
        <f>INT(怪物属性!V49*0.0025)&amp;","&amp;INT(怪物属性!V49*0.0075)</f>
        <v>24,73</v>
      </c>
      <c r="Y41" s="36" t="str">
        <f>INT(怪物属性!AF49*0.005)&amp;","&amp;INT(怪物属性!AF49*0.01)</f>
        <v>6,13</v>
      </c>
    </row>
    <row r="42" spans="1:25" x14ac:dyDescent="0.15">
      <c r="A42" s="36">
        <f>INT(怪物属性!R50^2/(怪物属性!R50+怪物属性!F50))</f>
        <v>840</v>
      </c>
      <c r="B42" s="36">
        <f>INT(怪物属性!F50^2/(怪物属性!F50+怪物属性!T50))</f>
        <v>530</v>
      </c>
      <c r="D42" s="36">
        <v>40</v>
      </c>
      <c r="E42" s="40" t="str">
        <f t="shared" si="2"/>
        <v>205,215</v>
      </c>
      <c r="F42" s="40" t="str">
        <f t="shared" si="3"/>
        <v>205,215</v>
      </c>
      <c r="G42" s="36" t="str">
        <f t="shared" si="4"/>
        <v>205,215</v>
      </c>
      <c r="H42" s="36" t="str">
        <f t="shared" si="5"/>
        <v>205,215</v>
      </c>
      <c r="I42" s="36" t="str">
        <f t="shared" si="6"/>
        <v>205,215</v>
      </c>
      <c r="J42" s="36" t="str">
        <f t="shared" si="7"/>
        <v>205,215</v>
      </c>
      <c r="K42" s="36" t="str">
        <f t="shared" si="9"/>
        <v>97,117</v>
      </c>
      <c r="L42" s="36" t="str">
        <f t="shared" si="10"/>
        <v>153,186</v>
      </c>
      <c r="M42" s="36" t="str">
        <f>INT(怪物属性!R50*0.055*0.91)&amp;","&amp;INT(怪物属性!R50*0.075*0.91)</f>
        <v>73,100</v>
      </c>
      <c r="N42" s="36" t="str">
        <f>INT(怪物属性!T50*0.055*0.91)&amp;","&amp;INT(怪物属性!T50*0.075*0.91)</f>
        <v>59,81</v>
      </c>
      <c r="O42" s="36" t="str">
        <f>INT(怪物属性!V50*0.025*0.91)&amp;","&amp;INT(怪物属性!V50*0.075*0.91)</f>
        <v>238,715</v>
      </c>
      <c r="P42" s="36" t="str">
        <f>INT(怪物属性!AD50*0.05*0.91)&amp;","&amp;INT(怪物属性!AD50*0.1*0.91)</f>
        <v>35,71</v>
      </c>
      <c r="Q42" s="36" t="str">
        <f>INT(怪物属性!X50*0.025*0.91)&amp;","&amp;INT(怪物属性!X50*0.075*0.91)</f>
        <v>22,66</v>
      </c>
      <c r="R42" s="36" t="str">
        <f>INT(怪物属性!Z50*0.025*0.91)&amp;","&amp;INT(怪物属性!Z50*0.075*0.91)</f>
        <v>16,49</v>
      </c>
      <c r="S42" s="36" t="str">
        <f>INT(怪物属性!AB50*0.025*0.91)&amp;","&amp;INT(怪物属性!AB50*0.075*0.91)</f>
        <v>25,75</v>
      </c>
      <c r="T42" s="36" t="str">
        <f>INT(怪物属性!AD50*0.025*0.91)&amp;","&amp;INT(怪物属性!AD50*0.075*0.91)</f>
        <v>17,53</v>
      </c>
      <c r="U42" s="59" t="str">
        <f t="shared" si="8"/>
        <v>490,785</v>
      </c>
      <c r="V42" s="36" t="str">
        <f>INT(怪物属性!K50*0.05)+2&amp;","&amp;INT(怪物属性!K50*0.075)+4</f>
        <v>57,86</v>
      </c>
      <c r="W42" s="36" t="str">
        <f>INT(怪物属性!C50*0.025)&amp;","&amp;INT(怪物属性!C50*0.075)</f>
        <v>15,46</v>
      </c>
      <c r="X42" s="36" t="str">
        <f>INT(怪物属性!V50*0.0025)&amp;","&amp;INT(怪物属性!V50*0.0075)</f>
        <v>26,78</v>
      </c>
      <c r="Y42" s="36" t="str">
        <f>INT(怪物属性!AF50*0.005)&amp;","&amp;INT(怪物属性!AF50*0.01)</f>
        <v>7,14</v>
      </c>
    </row>
    <row r="43" spans="1:25" x14ac:dyDescent="0.15">
      <c r="A43" s="36">
        <f>INT(怪物属性!R51^2/(怪物属性!R51+怪物属性!F51))</f>
        <v>890</v>
      </c>
      <c r="B43" s="36">
        <f>INT(怪物属性!F51^2/(怪物属性!F51+怪物属性!T51))</f>
        <v>561</v>
      </c>
      <c r="D43" s="36">
        <v>41</v>
      </c>
      <c r="E43" s="40" t="str">
        <f t="shared" si="2"/>
        <v>210,220</v>
      </c>
      <c r="F43" s="40" t="str">
        <f t="shared" si="3"/>
        <v>210,220</v>
      </c>
      <c r="G43" s="36" t="str">
        <f t="shared" si="4"/>
        <v>210,220</v>
      </c>
      <c r="H43" s="36" t="str">
        <f t="shared" si="5"/>
        <v>210,220</v>
      </c>
      <c r="I43" s="36" t="str">
        <f t="shared" si="6"/>
        <v>210,220</v>
      </c>
      <c r="J43" s="36" t="str">
        <f t="shared" si="7"/>
        <v>210,220</v>
      </c>
      <c r="K43" s="36" t="str">
        <f t="shared" si="9"/>
        <v>102,124</v>
      </c>
      <c r="L43" s="36" t="str">
        <f t="shared" si="10"/>
        <v>163,197</v>
      </c>
      <c r="M43" s="36" t="str">
        <f>INT(怪物属性!R51*0.055*0.91)&amp;","&amp;INT(怪物属性!R51*0.075*0.91)</f>
        <v>77,106</v>
      </c>
      <c r="N43" s="36" t="str">
        <f>INT(怪物属性!T51*0.055*0.91)&amp;","&amp;INT(怪物属性!T51*0.075*0.91)</f>
        <v>63,86</v>
      </c>
      <c r="O43" s="36" t="str">
        <f>INT(怪物属性!V51*0.025*0.91)&amp;","&amp;INT(怪物属性!V51*0.075*0.91)</f>
        <v>256,768</v>
      </c>
      <c r="P43" s="36" t="str">
        <f>INT(怪物属性!AD51*0.05*0.91)&amp;","&amp;INT(怪物属性!AD51*0.1*0.91)</f>
        <v>37,74</v>
      </c>
      <c r="Q43" s="36" t="str">
        <f>INT(怪物属性!X51*0.025*0.91)&amp;","&amp;INT(怪物属性!X51*0.075*0.91)</f>
        <v>23,69</v>
      </c>
      <c r="R43" s="36" t="str">
        <f>INT(怪物属性!Z51*0.025*0.91)&amp;","&amp;INT(怪物属性!Z51*0.075*0.91)</f>
        <v>17,51</v>
      </c>
      <c r="S43" s="36" t="str">
        <f>INT(怪物属性!AB51*0.025*0.91)&amp;","&amp;INT(怪物属性!AB51*0.075*0.91)</f>
        <v>26,78</v>
      </c>
      <c r="T43" s="36" t="str">
        <f>INT(怪物属性!AD51*0.025*0.91)&amp;","&amp;INT(怪物属性!AD51*0.075*0.91)</f>
        <v>18,56</v>
      </c>
      <c r="U43" s="59" t="str">
        <f t="shared" si="8"/>
        <v>500,800</v>
      </c>
      <c r="V43" s="36" t="str">
        <f>INT(怪物属性!K51*0.05)+2&amp;","&amp;INT(怪物属性!K51*0.075)+4</f>
        <v>58,88</v>
      </c>
      <c r="W43" s="36" t="str">
        <f>INT(怪物属性!C51*0.025)&amp;","&amp;INT(怪物属性!C51*0.075)</f>
        <v>16,48</v>
      </c>
      <c r="X43" s="36" t="str">
        <f>INT(怪物属性!V51*0.0025)&amp;","&amp;INT(怪物属性!V51*0.0075)</f>
        <v>28,84</v>
      </c>
      <c r="Y43" s="36" t="str">
        <f>INT(怪物属性!AF51*0.005)&amp;","&amp;INT(怪物属性!AF51*0.01)</f>
        <v>7,15</v>
      </c>
    </row>
    <row r="44" spans="1:25" x14ac:dyDescent="0.15">
      <c r="A44" s="36">
        <f>INT(怪物属性!R52^2/(怪物属性!R52+怪物属性!F52))</f>
        <v>944</v>
      </c>
      <c r="B44" s="36">
        <f>INT(怪物属性!F52^2/(怪物属性!F52+怪物属性!T52))</f>
        <v>596</v>
      </c>
      <c r="D44" s="36">
        <v>42</v>
      </c>
      <c r="E44" s="40" t="str">
        <f t="shared" si="2"/>
        <v>215,225</v>
      </c>
      <c r="F44" s="40" t="str">
        <f t="shared" si="3"/>
        <v>215,225</v>
      </c>
      <c r="G44" s="36" t="str">
        <f t="shared" si="4"/>
        <v>215,225</v>
      </c>
      <c r="H44" s="36" t="str">
        <f t="shared" si="5"/>
        <v>215,225</v>
      </c>
      <c r="I44" s="36" t="str">
        <f t="shared" si="6"/>
        <v>215,225</v>
      </c>
      <c r="J44" s="36" t="str">
        <f t="shared" si="7"/>
        <v>215,225</v>
      </c>
      <c r="K44" s="36" t="str">
        <f t="shared" si="9"/>
        <v>109,132</v>
      </c>
      <c r="L44" s="36" t="str">
        <f t="shared" si="10"/>
        <v>172,209</v>
      </c>
      <c r="M44" s="36" t="str">
        <f>INT(怪物属性!R52*0.055*0.91)&amp;","&amp;INT(怪物属性!R52*0.075*0.91)</f>
        <v>82,112</v>
      </c>
      <c r="N44" s="36" t="str">
        <f>INT(怪物属性!T52*0.055*0.91)&amp;","&amp;INT(怪物属性!T52*0.075*0.91)</f>
        <v>66,91</v>
      </c>
      <c r="O44" s="36" t="str">
        <f>INT(怪物属性!V52*0.025*0.91)&amp;","&amp;INT(怪物属性!V52*0.075*0.91)</f>
        <v>276,828</v>
      </c>
      <c r="P44" s="36" t="str">
        <f>INT(怪物属性!AD52*0.05*0.91)&amp;","&amp;INT(怪物属性!AD52*0.1*0.91)</f>
        <v>38,77</v>
      </c>
      <c r="Q44" s="36" t="str">
        <f>INT(怪物属性!X52*0.025*0.91)&amp;","&amp;INT(怪物属性!X52*0.075*0.91)</f>
        <v>24,73</v>
      </c>
      <c r="R44" s="36" t="str">
        <f>INT(怪物属性!Z52*0.025*0.91)&amp;","&amp;INT(怪物属性!Z52*0.075*0.91)</f>
        <v>17,53</v>
      </c>
      <c r="S44" s="36" t="str">
        <f>INT(怪物属性!AB52*0.025*0.91)&amp;","&amp;INT(怪物属性!AB52*0.075*0.91)</f>
        <v>27,82</v>
      </c>
      <c r="T44" s="36" t="str">
        <f>INT(怪物属性!AD52*0.025*0.91)&amp;","&amp;INT(怪物属性!AD52*0.075*0.91)</f>
        <v>19,58</v>
      </c>
      <c r="U44" s="59" t="str">
        <f t="shared" si="8"/>
        <v>510,815</v>
      </c>
      <c r="V44" s="36" t="str">
        <f>INT(怪物属性!K52*0.05)+2&amp;","&amp;INT(怪物属性!K52*0.075)+4</f>
        <v>59,90</v>
      </c>
      <c r="W44" s="36" t="str">
        <f>INT(怪物属性!C52*0.025)&amp;","&amp;INT(怪物属性!C52*0.075)</f>
        <v>16,50</v>
      </c>
      <c r="X44" s="36" t="str">
        <f>INT(怪物属性!V52*0.0025)&amp;","&amp;INT(怪物属性!V52*0.0075)</f>
        <v>30,90</v>
      </c>
      <c r="Y44" s="36" t="str">
        <f>INT(怪物属性!AF52*0.005)&amp;","&amp;INT(怪物属性!AF52*0.01)</f>
        <v>8,16</v>
      </c>
    </row>
    <row r="45" spans="1:25" x14ac:dyDescent="0.15">
      <c r="A45" s="36">
        <f>INT(怪物属性!R53^2/(怪物属性!R53+怪物属性!F53))</f>
        <v>1003</v>
      </c>
      <c r="B45" s="36">
        <f>INT(怪物属性!F53^2/(怪物属性!F53+怪物属性!T53))</f>
        <v>635</v>
      </c>
      <c r="D45" s="36">
        <v>43</v>
      </c>
      <c r="E45" s="40" t="str">
        <f t="shared" si="2"/>
        <v>220,230</v>
      </c>
      <c r="F45" s="40" t="str">
        <f t="shared" si="3"/>
        <v>220,230</v>
      </c>
      <c r="G45" s="36" t="str">
        <f t="shared" si="4"/>
        <v>220,230</v>
      </c>
      <c r="H45" s="36" t="str">
        <f t="shared" si="5"/>
        <v>220,230</v>
      </c>
      <c r="I45" s="36" t="str">
        <f t="shared" si="6"/>
        <v>220,230</v>
      </c>
      <c r="J45" s="36" t="str">
        <f t="shared" si="7"/>
        <v>220,230</v>
      </c>
      <c r="K45" s="36" t="str">
        <f t="shared" si="9"/>
        <v>116,140</v>
      </c>
      <c r="L45" s="36" t="str">
        <f t="shared" si="10"/>
        <v>183,222</v>
      </c>
      <c r="M45" s="36" t="str">
        <f>INT(怪物属性!R53*0.055*0.91)&amp;","&amp;INT(怪物属性!R53*0.075*0.91)</f>
        <v>87,119</v>
      </c>
      <c r="N45" s="36" t="str">
        <f>INT(怪物属性!T53*0.055*0.91)&amp;","&amp;INT(怪物属性!T53*0.075*0.91)</f>
        <v>70,96</v>
      </c>
      <c r="O45" s="36" t="str">
        <f>INT(怪物属性!V53*0.025*0.91)&amp;","&amp;INT(怪物属性!V53*0.075*0.91)</f>
        <v>297,893</v>
      </c>
      <c r="P45" s="36" t="str">
        <f>INT(怪物属性!AD53*0.05*0.91)&amp;","&amp;INT(怪物属性!AD53*0.1*0.91)</f>
        <v>40,81</v>
      </c>
      <c r="Q45" s="36" t="str">
        <f>INT(怪物属性!X53*0.025*0.91)&amp;","&amp;INT(怪物属性!X53*0.075*0.91)</f>
        <v>25,77</v>
      </c>
      <c r="R45" s="36" t="str">
        <f>INT(怪物属性!Z53*0.025*0.91)&amp;","&amp;INT(怪物属性!Z53*0.075*0.91)</f>
        <v>18,56</v>
      </c>
      <c r="S45" s="36" t="str">
        <f>INT(怪物属性!AB53*0.025*0.91)&amp;","&amp;INT(怪物属性!AB53*0.075*0.91)</f>
        <v>28,86</v>
      </c>
      <c r="T45" s="36" t="str">
        <f>INT(怪物属性!AD53*0.025*0.91)&amp;","&amp;INT(怪物属性!AD53*0.075*0.91)</f>
        <v>20,60</v>
      </c>
      <c r="U45" s="59" t="str">
        <f t="shared" si="8"/>
        <v>520,830</v>
      </c>
      <c r="V45" s="36" t="str">
        <f>INT(怪物属性!K53*0.05)+2&amp;","&amp;INT(怪物属性!K53*0.075)+4</f>
        <v>61,92</v>
      </c>
      <c r="W45" s="36" t="str">
        <f>INT(怪物属性!C53*0.025)&amp;","&amp;INT(怪物属性!C53*0.075)</f>
        <v>17,52</v>
      </c>
      <c r="X45" s="36" t="str">
        <f>INT(怪物属性!V53*0.0025)&amp;","&amp;INT(怪物属性!V53*0.0075)</f>
        <v>32,98</v>
      </c>
      <c r="Y45" s="36" t="str">
        <f>INT(怪物属性!AF53*0.005)&amp;","&amp;INT(怪物属性!AF53*0.01)</f>
        <v>8,17</v>
      </c>
    </row>
    <row r="46" spans="1:25" x14ac:dyDescent="0.15">
      <c r="A46" s="36">
        <f>INT(怪物属性!R54^2/(怪物属性!R54+怪物属性!F54))</f>
        <v>1068</v>
      </c>
      <c r="B46" s="36">
        <f>INT(怪物属性!F54^2/(怪物属性!F54+怪物属性!T54))</f>
        <v>676</v>
      </c>
      <c r="D46" s="36">
        <v>44</v>
      </c>
      <c r="E46" s="40" t="str">
        <f t="shared" si="2"/>
        <v>225,235</v>
      </c>
      <c r="F46" s="40" t="str">
        <f t="shared" si="3"/>
        <v>225,235</v>
      </c>
      <c r="G46" s="36" t="str">
        <f t="shared" si="4"/>
        <v>225,235</v>
      </c>
      <c r="H46" s="36" t="str">
        <f t="shared" si="5"/>
        <v>225,235</v>
      </c>
      <c r="I46" s="36" t="str">
        <f t="shared" si="6"/>
        <v>225,235</v>
      </c>
      <c r="J46" s="36" t="str">
        <f t="shared" si="7"/>
        <v>225,235</v>
      </c>
      <c r="K46" s="36" t="str">
        <f t="shared" si="9"/>
        <v>123,150</v>
      </c>
      <c r="L46" s="36" t="str">
        <f t="shared" si="10"/>
        <v>195,237</v>
      </c>
      <c r="M46" s="36" t="str">
        <f>INT(怪物属性!R54*0.055*0.91)&amp;","&amp;INT(怪物属性!R54*0.075*0.91)</f>
        <v>93,127</v>
      </c>
      <c r="N46" s="36" t="str">
        <f>INT(怪物属性!T54*0.055*0.91)&amp;","&amp;INT(怪物属性!T54*0.075*0.91)</f>
        <v>75,102</v>
      </c>
      <c r="O46" s="36" t="str">
        <f>INT(怪物属性!V54*0.025*0.91)&amp;","&amp;INT(怪物属性!V54*0.075*0.91)</f>
        <v>321,965</v>
      </c>
      <c r="P46" s="36" t="str">
        <f>INT(怪物属性!AD54*0.05*0.91)&amp;","&amp;INT(怪物属性!AD54*0.1*0.91)</f>
        <v>42,84</v>
      </c>
      <c r="Q46" s="36" t="str">
        <f>INT(怪物属性!X54*0.025*0.91)&amp;","&amp;INT(怪物属性!X54*0.075*0.91)</f>
        <v>27,81</v>
      </c>
      <c r="R46" s="36" t="str">
        <f>INT(怪物属性!Z54*0.025*0.91)&amp;","&amp;INT(怪物属性!Z54*0.075*0.91)</f>
        <v>19,58</v>
      </c>
      <c r="S46" s="36" t="str">
        <f>INT(怪物属性!AB54*0.025*0.91)&amp;","&amp;INT(怪物属性!AB54*0.075*0.91)</f>
        <v>30,91</v>
      </c>
      <c r="T46" s="36" t="str">
        <f>INT(怪物属性!AD54*0.025*0.91)&amp;","&amp;INT(怪物属性!AD54*0.075*0.91)</f>
        <v>21,63</v>
      </c>
      <c r="U46" s="59" t="str">
        <f t="shared" si="8"/>
        <v>530,845</v>
      </c>
      <c r="V46" s="36" t="str">
        <f>INT(怪物属性!K54*0.05)+2&amp;","&amp;INT(怪物属性!K54*0.075)+4</f>
        <v>62,94</v>
      </c>
      <c r="W46" s="36" t="str">
        <f>INT(怪物属性!C54*0.025)&amp;","&amp;INT(怪物属性!C54*0.075)</f>
        <v>18,54</v>
      </c>
      <c r="X46" s="36" t="str">
        <f>INT(怪物属性!V54*0.0025)&amp;","&amp;INT(怪物属性!V54*0.0075)</f>
        <v>35,106</v>
      </c>
      <c r="Y46" s="36" t="str">
        <f>INT(怪物属性!AF54*0.005)&amp;","&amp;INT(怪物属性!AF54*0.01)</f>
        <v>9,18</v>
      </c>
    </row>
    <row r="47" spans="1:25" x14ac:dyDescent="0.15">
      <c r="A47" s="36">
        <f>INT(怪物属性!R55^2/(怪物属性!R55+怪物属性!F55))</f>
        <v>1137</v>
      </c>
      <c r="B47" s="36">
        <f>INT(怪物属性!F55^2/(怪物属性!F55+怪物属性!T55))</f>
        <v>721</v>
      </c>
      <c r="D47" s="36">
        <v>45</v>
      </c>
      <c r="E47" s="40" t="str">
        <f t="shared" si="2"/>
        <v>230,240</v>
      </c>
      <c r="F47" s="40" t="str">
        <f t="shared" si="3"/>
        <v>230,240</v>
      </c>
      <c r="G47" s="36" t="str">
        <f t="shared" si="4"/>
        <v>230,240</v>
      </c>
      <c r="H47" s="36" t="str">
        <f t="shared" si="5"/>
        <v>230,240</v>
      </c>
      <c r="I47" s="36" t="str">
        <f t="shared" si="6"/>
        <v>230,240</v>
      </c>
      <c r="J47" s="36" t="str">
        <f t="shared" si="7"/>
        <v>230,240</v>
      </c>
      <c r="K47" s="36" t="str">
        <f t="shared" si="9"/>
        <v>132,160</v>
      </c>
      <c r="L47" s="36" t="str">
        <f t="shared" si="10"/>
        <v>208,252</v>
      </c>
      <c r="M47" s="36" t="str">
        <f>INT(怪物属性!R55*0.055*0.91)&amp;","&amp;INT(怪物属性!R55*0.075*0.91)</f>
        <v>99,135</v>
      </c>
      <c r="N47" s="36" t="str">
        <f>INT(怪物属性!T55*0.055*0.91)&amp;","&amp;INT(怪物属性!T55*0.075*0.91)</f>
        <v>79,108</v>
      </c>
      <c r="O47" s="36" t="str">
        <f>INT(怪物属性!V55*0.025*0.91)&amp;","&amp;INT(怪物属性!V55*0.075*0.91)</f>
        <v>348,1044</v>
      </c>
      <c r="P47" s="36" t="str">
        <f>INT(怪物属性!AD55*0.05*0.91)&amp;","&amp;INT(怪物属性!AD55*0.1*0.91)</f>
        <v>44,88</v>
      </c>
      <c r="Q47" s="36" t="str">
        <f>INT(怪物属性!X55*0.025*0.91)&amp;","&amp;INT(怪物属性!X55*0.075*0.91)</f>
        <v>28,86</v>
      </c>
      <c r="R47" s="36" t="str">
        <f>INT(怪物属性!Z55*0.025*0.91)&amp;","&amp;INT(怪物属性!Z55*0.075*0.91)</f>
        <v>20,61</v>
      </c>
      <c r="S47" s="36" t="str">
        <f>INT(怪物属性!AB55*0.025*0.91)&amp;","&amp;INT(怪物属性!AB55*0.075*0.91)</f>
        <v>32,96</v>
      </c>
      <c r="T47" s="36" t="str">
        <f>INT(怪物属性!AD55*0.025*0.91)&amp;","&amp;INT(怪物属性!AD55*0.075*0.91)</f>
        <v>22,66</v>
      </c>
      <c r="U47" s="59" t="str">
        <f t="shared" si="8"/>
        <v>540,860</v>
      </c>
      <c r="V47" s="36" t="str">
        <f>INT(怪物属性!K55*0.05)+2&amp;","&amp;INT(怪物属性!K55*0.075)+4</f>
        <v>63,96</v>
      </c>
      <c r="W47" s="36" t="str">
        <f>INT(怪物属性!C55*0.025)&amp;","&amp;INT(怪物属性!C55*0.075)</f>
        <v>18,56</v>
      </c>
      <c r="X47" s="36" t="str">
        <f>INT(怪物属性!V55*0.0025)&amp;","&amp;INT(怪物属性!V55*0.0075)</f>
        <v>38,114</v>
      </c>
      <c r="Y47" s="36" t="str">
        <f>INT(怪物属性!AF55*0.005)&amp;","&amp;INT(怪物属性!AF55*0.01)</f>
        <v>9,19</v>
      </c>
    </row>
    <row r="48" spans="1:25" x14ac:dyDescent="0.15">
      <c r="A48" s="36">
        <f>INT(怪物属性!R56^2/(怪物属性!R56+怪物属性!F56))</f>
        <v>1214</v>
      </c>
      <c r="B48" s="36">
        <f>INT(怪物属性!F56^2/(怪物属性!F56+怪物属性!T56))</f>
        <v>770</v>
      </c>
      <c r="D48" s="36">
        <v>46</v>
      </c>
      <c r="E48" s="40" t="str">
        <f t="shared" si="2"/>
        <v>235,245</v>
      </c>
      <c r="F48" s="40" t="str">
        <f t="shared" si="3"/>
        <v>235,245</v>
      </c>
      <c r="G48" s="36" t="str">
        <f t="shared" si="4"/>
        <v>235,245</v>
      </c>
      <c r="H48" s="36" t="str">
        <f t="shared" si="5"/>
        <v>235,245</v>
      </c>
      <c r="I48" s="36" t="str">
        <f t="shared" si="6"/>
        <v>235,245</v>
      </c>
      <c r="J48" s="36" t="str">
        <f t="shared" si="7"/>
        <v>235,245</v>
      </c>
      <c r="K48" s="36" t="str">
        <f t="shared" si="9"/>
        <v>141,170</v>
      </c>
      <c r="L48" s="36" t="str">
        <f t="shared" si="10"/>
        <v>222,269</v>
      </c>
      <c r="M48" s="36" t="str">
        <f>INT(怪物属性!R56*0.055*0.91)&amp;","&amp;INT(怪物属性!R56*0.075*0.91)</f>
        <v>106,145</v>
      </c>
      <c r="N48" s="36" t="str">
        <f>INT(怪物属性!T56*0.055*0.91)&amp;","&amp;INT(怪物属性!T56*0.075*0.91)</f>
        <v>85,116</v>
      </c>
      <c r="O48" s="36" t="str">
        <f>INT(怪物属性!V56*0.025*0.91)&amp;","&amp;INT(怪物属性!V56*0.075*0.91)</f>
        <v>377,1132</v>
      </c>
      <c r="P48" s="36" t="str">
        <f>INT(怪物属性!AD56*0.05*0.91)&amp;","&amp;INT(怪物属性!AD56*0.1*0.91)</f>
        <v>46,92</v>
      </c>
      <c r="Q48" s="36" t="str">
        <f>INT(怪物属性!X56*0.025*0.91)&amp;","&amp;INT(怪物属性!X56*0.075*0.91)</f>
        <v>30,91</v>
      </c>
      <c r="R48" s="36" t="str">
        <f>INT(怪物属性!Z56*0.025*0.91)&amp;","&amp;INT(怪物属性!Z56*0.075*0.91)</f>
        <v>21,64</v>
      </c>
      <c r="S48" s="36" t="str">
        <f>INT(怪物属性!AB56*0.025*0.91)&amp;","&amp;INT(怪物属性!AB56*0.075*0.91)</f>
        <v>33,101</v>
      </c>
      <c r="T48" s="36" t="str">
        <f>INT(怪物属性!AD56*0.025*0.91)&amp;","&amp;INT(怪物属性!AD56*0.075*0.91)</f>
        <v>23,69</v>
      </c>
      <c r="U48" s="59" t="str">
        <f t="shared" si="8"/>
        <v>550,875</v>
      </c>
      <c r="V48" s="36" t="str">
        <f>INT(怪物属性!K56*0.05)+2&amp;","&amp;INT(怪物属性!K56*0.075)+4</f>
        <v>64,98</v>
      </c>
      <c r="W48" s="36" t="str">
        <f>INT(怪物属性!C56*0.025)&amp;","&amp;INT(怪物属性!C56*0.075)</f>
        <v>19,58</v>
      </c>
      <c r="X48" s="36" t="str">
        <f>INT(怪物属性!V56*0.0025)&amp;","&amp;INT(怪物属性!V56*0.0075)</f>
        <v>41,124</v>
      </c>
      <c r="Y48" s="36" t="str">
        <f>INT(怪物属性!AF56*0.005)&amp;","&amp;INT(怪物属性!AF56*0.01)</f>
        <v>10,20</v>
      </c>
    </row>
    <row r="49" spans="1:25" x14ac:dyDescent="0.15">
      <c r="A49" s="36">
        <f>INT(怪物属性!R57^2/(怪物属性!R57+怪物属性!F57))</f>
        <v>1297</v>
      </c>
      <c r="B49" s="36">
        <f>INT(怪物属性!F57^2/(怪物属性!F57+怪物属性!T57))</f>
        <v>824</v>
      </c>
      <c r="D49" s="36">
        <v>47</v>
      </c>
      <c r="E49" s="40" t="str">
        <f t="shared" si="2"/>
        <v>240,250</v>
      </c>
      <c r="F49" s="40" t="str">
        <f t="shared" si="3"/>
        <v>240,250</v>
      </c>
      <c r="G49" s="36" t="str">
        <f t="shared" si="4"/>
        <v>240,250</v>
      </c>
      <c r="H49" s="36" t="str">
        <f t="shared" si="5"/>
        <v>240,250</v>
      </c>
      <c r="I49" s="36" t="str">
        <f t="shared" si="6"/>
        <v>240,250</v>
      </c>
      <c r="J49" s="36" t="str">
        <f t="shared" si="7"/>
        <v>240,250</v>
      </c>
      <c r="K49" s="36" t="str">
        <f t="shared" si="9"/>
        <v>150,182</v>
      </c>
      <c r="L49" s="36" t="str">
        <f t="shared" si="10"/>
        <v>237,287</v>
      </c>
      <c r="M49" s="36" t="str">
        <f>INT(怪物属性!R57*0.055*0.91)&amp;","&amp;INT(怪物属性!R57*0.075*0.91)</f>
        <v>113,154</v>
      </c>
      <c r="N49" s="36" t="str">
        <f>INT(怪物属性!T57*0.055*0.91)&amp;","&amp;INT(怪物属性!T57*0.075*0.91)</f>
        <v>90,123</v>
      </c>
      <c r="O49" s="36" t="str">
        <f>INT(怪物属性!V57*0.025*0.91)&amp;","&amp;INT(怪物属性!V57*0.075*0.91)</f>
        <v>409,1229</v>
      </c>
      <c r="P49" s="36" t="str">
        <f>INT(怪物属性!AD57*0.05*0.91)&amp;","&amp;INT(怪物属性!AD57*0.1*0.91)</f>
        <v>48,97</v>
      </c>
      <c r="Q49" s="36" t="str">
        <f>INT(怪物属性!X57*0.025*0.91)&amp;","&amp;INT(怪物属性!X57*0.075*0.91)</f>
        <v>32,96</v>
      </c>
      <c r="R49" s="36" t="str">
        <f>INT(怪物属性!Z57*0.025*0.91)&amp;","&amp;INT(怪物属性!Z57*0.075*0.91)</f>
        <v>22,67</v>
      </c>
      <c r="S49" s="36" t="str">
        <f>INT(怪物属性!AB57*0.025*0.91)&amp;","&amp;INT(怪物属性!AB57*0.075*0.91)</f>
        <v>35,107</v>
      </c>
      <c r="T49" s="36" t="str">
        <f>INT(怪物属性!AD57*0.025*0.91)&amp;","&amp;INT(怪物属性!AD57*0.075*0.91)</f>
        <v>24,72</v>
      </c>
      <c r="U49" s="59" t="str">
        <f t="shared" si="8"/>
        <v>560,890</v>
      </c>
      <c r="V49" s="36" t="str">
        <f>INT(怪物属性!K57*0.05)+2&amp;","&amp;INT(怪物属性!K57*0.075)+4</f>
        <v>65,99</v>
      </c>
      <c r="W49" s="36" t="str">
        <f>INT(怪物属性!C57*0.025)&amp;","&amp;INT(怪物属性!C57*0.075)</f>
        <v>20,60</v>
      </c>
      <c r="X49" s="36" t="str">
        <f>INT(怪物属性!V57*0.0025)&amp;","&amp;INT(怪物属性!V57*0.0075)</f>
        <v>45,135</v>
      </c>
      <c r="Y49" s="36" t="str">
        <f>INT(怪物属性!AF57*0.005)&amp;","&amp;INT(怪物属性!AF57*0.01)</f>
        <v>11,22</v>
      </c>
    </row>
    <row r="50" spans="1:25" x14ac:dyDescent="0.15">
      <c r="A50" s="36">
        <f>INT(怪物属性!R58^2/(怪物属性!R58+怪物属性!F58))</f>
        <v>1389</v>
      </c>
      <c r="B50" s="36">
        <f>INT(怪物属性!F58^2/(怪物属性!F58+怪物属性!T58))</f>
        <v>884</v>
      </c>
      <c r="D50" s="36">
        <v>48</v>
      </c>
      <c r="E50" s="40" t="str">
        <f t="shared" si="2"/>
        <v>245,255</v>
      </c>
      <c r="F50" s="40" t="str">
        <f t="shared" si="3"/>
        <v>245,255</v>
      </c>
      <c r="G50" s="36" t="str">
        <f t="shared" si="4"/>
        <v>245,255</v>
      </c>
      <c r="H50" s="36" t="str">
        <f t="shared" si="5"/>
        <v>245,255</v>
      </c>
      <c r="I50" s="36" t="str">
        <f t="shared" si="6"/>
        <v>245,255</v>
      </c>
      <c r="J50" s="36" t="str">
        <f t="shared" si="7"/>
        <v>245,255</v>
      </c>
      <c r="K50" s="36" t="str">
        <f t="shared" si="9"/>
        <v>161,196</v>
      </c>
      <c r="L50" s="36" t="str">
        <f t="shared" si="10"/>
        <v>254,308</v>
      </c>
      <c r="M50" s="36" t="str">
        <f>INT(怪物属性!R58*0.055*0.91)&amp;","&amp;INT(怪物属性!R58*0.075*0.91)</f>
        <v>121,165</v>
      </c>
      <c r="N50" s="36" t="str">
        <f>INT(怪物属性!T58*0.055*0.91)&amp;","&amp;INT(怪物属性!T58*0.075*0.91)</f>
        <v>96,131</v>
      </c>
      <c r="O50" s="36" t="str">
        <f>INT(怪物属性!V58*0.025*0.91)&amp;","&amp;INT(怪物属性!V58*0.075*0.91)</f>
        <v>445,1336</v>
      </c>
      <c r="P50" s="36" t="str">
        <f>INT(怪物属性!AD58*0.05*0.91)&amp;","&amp;INT(怪物属性!AD58*0.1*0.91)</f>
        <v>50,101</v>
      </c>
      <c r="Q50" s="36" t="str">
        <f>INT(怪物属性!X58*0.025*0.91)&amp;","&amp;INT(怪物属性!X58*0.075*0.91)</f>
        <v>34,102</v>
      </c>
      <c r="R50" s="36" t="str">
        <f>INT(怪物属性!Z58*0.025*0.91)&amp;","&amp;INT(怪物属性!Z58*0.075*0.91)</f>
        <v>23,70</v>
      </c>
      <c r="S50" s="36" t="str">
        <f>INT(怪物属性!AB58*0.025*0.91)&amp;","&amp;INT(怪物属性!AB58*0.075*0.91)</f>
        <v>37,113</v>
      </c>
      <c r="T50" s="36" t="str">
        <f>INT(怪物属性!AD58*0.025*0.91)&amp;","&amp;INT(怪物属性!AD58*0.075*0.91)</f>
        <v>25,76</v>
      </c>
      <c r="U50" s="59" t="str">
        <f t="shared" si="8"/>
        <v>570,905</v>
      </c>
      <c r="V50" s="36" t="str">
        <f>INT(怪物属性!K58*0.05)+2&amp;","&amp;INT(怪物属性!K58*0.075)+4</f>
        <v>67,101</v>
      </c>
      <c r="W50" s="36" t="str">
        <f>INT(怪物属性!C58*0.025)&amp;","&amp;INT(怪物属性!C58*0.075)</f>
        <v>20,62</v>
      </c>
      <c r="X50" s="36" t="str">
        <f>INT(怪物属性!V58*0.0025)&amp;","&amp;INT(怪物属性!V58*0.0075)</f>
        <v>48,146</v>
      </c>
      <c r="Y50" s="36" t="str">
        <f>INT(怪物属性!AF58*0.005)&amp;","&amp;INT(怪物属性!AF58*0.01)</f>
        <v>11,23</v>
      </c>
    </row>
    <row r="51" spans="1:25" x14ac:dyDescent="0.15">
      <c r="A51" s="36">
        <f>INT(怪物属性!R59^2/(怪物属性!R59+怪物属性!F59))</f>
        <v>1488</v>
      </c>
      <c r="B51" s="36">
        <f>INT(怪物属性!F59^2/(怪物属性!F59+怪物属性!T59))</f>
        <v>948</v>
      </c>
      <c r="D51" s="36">
        <v>49</v>
      </c>
      <c r="E51" s="40" t="str">
        <f t="shared" si="2"/>
        <v>250,260</v>
      </c>
      <c r="F51" s="40" t="str">
        <f t="shared" si="3"/>
        <v>250,260</v>
      </c>
      <c r="G51" s="36" t="str">
        <f t="shared" si="4"/>
        <v>250,260</v>
      </c>
      <c r="H51" s="36" t="str">
        <f t="shared" si="5"/>
        <v>250,260</v>
      </c>
      <c r="I51" s="36" t="str">
        <f t="shared" si="6"/>
        <v>250,260</v>
      </c>
      <c r="J51" s="36" t="str">
        <f t="shared" si="7"/>
        <v>250,260</v>
      </c>
      <c r="K51" s="36" t="str">
        <f t="shared" si="9"/>
        <v>173,210</v>
      </c>
      <c r="L51" s="36" t="str">
        <f t="shared" si="10"/>
        <v>272,330</v>
      </c>
      <c r="M51" s="36" t="str">
        <f>INT(怪物属性!R59*0.055*0.91)&amp;","&amp;INT(怪物属性!R59*0.075*0.91)</f>
        <v>130,177</v>
      </c>
      <c r="N51" s="36" t="str">
        <f>INT(怪物属性!T59*0.055*0.91)&amp;","&amp;INT(怪物属性!T59*0.075*0.91)</f>
        <v>103,141</v>
      </c>
      <c r="O51" s="36" t="str">
        <f>INT(怪物属性!V59*0.025*0.91)&amp;","&amp;INT(怪物属性!V59*0.075*0.91)</f>
        <v>484,1453</v>
      </c>
      <c r="P51" s="36" t="str">
        <f>INT(怪物属性!AD59*0.05*0.91)&amp;","&amp;INT(怪物属性!AD59*0.1*0.91)</f>
        <v>53,107</v>
      </c>
      <c r="Q51" s="36" t="str">
        <f>INT(怪物属性!X59*0.025*0.91)&amp;","&amp;INT(怪物属性!X59*0.075*0.91)</f>
        <v>36,108</v>
      </c>
      <c r="R51" s="36" t="str">
        <f>INT(怪物属性!Z59*0.025*0.91)&amp;","&amp;INT(怪物属性!Z59*0.075*0.91)</f>
        <v>24,74</v>
      </c>
      <c r="S51" s="36" t="str">
        <f>INT(怪物属性!AB59*0.025*0.91)&amp;","&amp;INT(怪物属性!AB59*0.075*0.91)</f>
        <v>40,120</v>
      </c>
      <c r="T51" s="36" t="str">
        <f>INT(怪物属性!AD59*0.025*0.91)&amp;","&amp;INT(怪物属性!AD59*0.075*0.91)</f>
        <v>26,80</v>
      </c>
      <c r="U51" s="59" t="str">
        <f t="shared" si="8"/>
        <v>580,920</v>
      </c>
      <c r="V51" s="36" t="str">
        <f>INT(怪物属性!K59*0.05)+2&amp;","&amp;INT(怪物属性!K59*0.075)+4</f>
        <v>68,103</v>
      </c>
      <c r="W51" s="36" t="str">
        <f>INT(怪物属性!C59*0.025)&amp;","&amp;INT(怪物属性!C59*0.075)</f>
        <v>21,64</v>
      </c>
      <c r="X51" s="36" t="str">
        <f>INT(怪物属性!V59*0.0025)&amp;","&amp;INT(怪物属性!V59*0.0075)</f>
        <v>53,159</v>
      </c>
      <c r="Y51" s="36" t="str">
        <f>INT(怪物属性!AF59*0.005)&amp;","&amp;INT(怪物属性!AF59*0.01)</f>
        <v>12,25</v>
      </c>
    </row>
    <row r="52" spans="1:25" x14ac:dyDescent="0.15">
      <c r="A52" s="36">
        <f>INT(怪物属性!R60^2/(怪物属性!R60+怪物属性!F60))</f>
        <v>1597</v>
      </c>
      <c r="B52" s="36">
        <f>INT(怪物属性!F60^2/(怪物属性!F60+怪物属性!T60))</f>
        <v>1019</v>
      </c>
      <c r="D52" s="36">
        <v>50</v>
      </c>
      <c r="E52" s="40" t="str">
        <f t="shared" si="2"/>
        <v>255,265</v>
      </c>
      <c r="F52" s="40" t="str">
        <f t="shared" si="3"/>
        <v>255,265</v>
      </c>
      <c r="G52" s="36" t="str">
        <f t="shared" si="4"/>
        <v>255,265</v>
      </c>
      <c r="H52" s="36" t="str">
        <f t="shared" si="5"/>
        <v>255,265</v>
      </c>
      <c r="I52" s="36" t="str">
        <f t="shared" si="6"/>
        <v>255,265</v>
      </c>
      <c r="J52" s="36" t="str">
        <f t="shared" si="7"/>
        <v>255,265</v>
      </c>
      <c r="K52" s="36" t="str">
        <f t="shared" si="9"/>
        <v>186,226</v>
      </c>
      <c r="L52" s="36" t="str">
        <f t="shared" si="10"/>
        <v>292,354</v>
      </c>
      <c r="M52" s="36" t="str">
        <f>INT(怪物属性!R60*0.055*0.91)&amp;","&amp;INT(怪物属性!R60*0.075*0.91)</f>
        <v>139,190</v>
      </c>
      <c r="N52" s="36" t="str">
        <f>INT(怪物属性!T60*0.055*0.91)&amp;","&amp;INT(怪物属性!T60*0.075*0.91)</f>
        <v>110,151</v>
      </c>
      <c r="O52" s="36" t="str">
        <f>INT(怪物属性!V60*0.025*0.91)&amp;","&amp;INT(怪物属性!V60*0.075*0.91)</f>
        <v>528,1584</v>
      </c>
      <c r="P52" s="36" t="str">
        <f>INT(怪物属性!AD60*0.05*0.91)&amp;","&amp;INT(怪物属性!AD60*0.1*0.91)</f>
        <v>56,112</v>
      </c>
      <c r="Q52" s="36" t="str">
        <f>INT(怪物属性!X60*0.025*0.91)&amp;","&amp;INT(怪物属性!X60*0.075*0.91)</f>
        <v>38,115</v>
      </c>
      <c r="R52" s="36" t="str">
        <f>INT(怪物属性!Z60*0.025*0.91)&amp;","&amp;INT(怪物属性!Z60*0.075*0.91)</f>
        <v>26,78</v>
      </c>
      <c r="S52" s="36" t="str">
        <f>INT(怪物属性!AB60*0.025*0.91)&amp;","&amp;INT(怪物属性!AB60*0.075*0.91)</f>
        <v>42,127</v>
      </c>
      <c r="T52" s="36" t="str">
        <f>INT(怪物属性!AD60*0.025*0.91)&amp;","&amp;INT(怪物属性!AD60*0.075*0.91)</f>
        <v>28,84</v>
      </c>
      <c r="U52" s="59" t="str">
        <f t="shared" si="8"/>
        <v>590,935</v>
      </c>
      <c r="V52" s="36" t="str">
        <f>INT(怪物属性!K60*0.05)+2&amp;","&amp;INT(怪物属性!K60*0.075)+4</f>
        <v>69,105</v>
      </c>
      <c r="W52" s="36" t="str">
        <f>INT(怪物属性!C60*0.025)&amp;","&amp;INT(怪物属性!C60*0.075)</f>
        <v>22,66</v>
      </c>
      <c r="X52" s="36" t="str">
        <f>INT(怪物属性!V60*0.0025)&amp;","&amp;INT(怪物属性!V60*0.0075)</f>
        <v>58,174</v>
      </c>
      <c r="Y52" s="36" t="str">
        <f>INT(怪物属性!AF60*0.005)&amp;","&amp;INT(怪物属性!AF60*0.01)</f>
        <v>13,27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J60"/>
  <sheetViews>
    <sheetView workbookViewId="0">
      <pane ySplit="10" topLeftCell="A11" activePane="bottomLeft" state="frozen"/>
      <selection pane="bottomLeft" activeCell="C11" sqref="C11"/>
    </sheetView>
  </sheetViews>
  <sheetFormatPr defaultRowHeight="12" x14ac:dyDescent="0.15"/>
  <cols>
    <col min="1" max="10" width="9" style="36"/>
    <col min="11" max="11" width="9.625" style="36" bestFit="1" customWidth="1"/>
    <col min="12" max="16384" width="9" style="36"/>
  </cols>
  <sheetData>
    <row r="1" spans="2:36" x14ac:dyDescent="0.15">
      <c r="P1" s="36" t="s">
        <v>158</v>
      </c>
      <c r="Q1" s="36">
        <v>1.86</v>
      </c>
    </row>
    <row r="2" spans="2:36" x14ac:dyDescent="0.15">
      <c r="P2" s="36" t="s">
        <v>159</v>
      </c>
      <c r="Q2" s="36">
        <v>7.5</v>
      </c>
    </row>
    <row r="3" spans="2:36" x14ac:dyDescent="0.15">
      <c r="P3" s="36" t="s">
        <v>160</v>
      </c>
      <c r="Q3" s="36">
        <v>0</v>
      </c>
    </row>
    <row r="4" spans="2:36" x14ac:dyDescent="0.15">
      <c r="P4" s="36" t="s">
        <v>161</v>
      </c>
      <c r="Q4" s="36">
        <v>0</v>
      </c>
    </row>
    <row r="7" spans="2:36" x14ac:dyDescent="0.15">
      <c r="K7" s="36" t="s">
        <v>234</v>
      </c>
      <c r="L7" s="36">
        <v>0.9</v>
      </c>
    </row>
    <row r="8" spans="2:36" x14ac:dyDescent="0.15">
      <c r="K8" s="36" t="s">
        <v>235</v>
      </c>
      <c r="L8" s="36">
        <v>40</v>
      </c>
    </row>
    <row r="10" spans="2:36" x14ac:dyDescent="0.15">
      <c r="B10" s="36" t="s">
        <v>135</v>
      </c>
      <c r="C10" s="36" t="s">
        <v>136</v>
      </c>
      <c r="D10" s="36" t="s">
        <v>162</v>
      </c>
      <c r="E10" s="36" t="s">
        <v>137</v>
      </c>
      <c r="F10" s="36" t="s">
        <v>138</v>
      </c>
      <c r="G10" s="36" t="s">
        <v>93</v>
      </c>
      <c r="H10" s="36" t="s">
        <v>94</v>
      </c>
      <c r="I10" s="36" t="s">
        <v>92</v>
      </c>
      <c r="J10" s="36" t="s">
        <v>31</v>
      </c>
      <c r="K10" s="36" t="s">
        <v>174</v>
      </c>
      <c r="L10" s="36" t="s">
        <v>236</v>
      </c>
      <c r="M10" s="36" t="s">
        <v>428</v>
      </c>
      <c r="O10" s="36" t="s">
        <v>202</v>
      </c>
      <c r="P10" s="36" t="s">
        <v>157</v>
      </c>
      <c r="Q10" s="36" t="s">
        <v>155</v>
      </c>
      <c r="S10" s="36" t="s">
        <v>156</v>
      </c>
      <c r="U10" s="36" t="s">
        <v>166</v>
      </c>
      <c r="W10" s="36" t="s">
        <v>170</v>
      </c>
      <c r="Y10" s="36" t="s">
        <v>171</v>
      </c>
      <c r="AA10" s="36" t="s">
        <v>172</v>
      </c>
      <c r="AC10" s="36" t="s">
        <v>173</v>
      </c>
      <c r="AE10" s="36" t="s">
        <v>211</v>
      </c>
      <c r="AH10" s="36" t="s">
        <v>390</v>
      </c>
      <c r="AI10" s="36" t="s">
        <v>388</v>
      </c>
      <c r="AJ10" s="36" t="s">
        <v>389</v>
      </c>
    </row>
    <row r="11" spans="2:36" x14ac:dyDescent="0.15">
      <c r="B11" s="36">
        <v>1</v>
      </c>
      <c r="C11" s="36">
        <f>INT(((B11-1)^1.7+50)*1.12)</f>
        <v>56</v>
      </c>
      <c r="D11" s="36">
        <f t="shared" ref="D11:D42" si="0">INT(R11^2/(R11+F11)*5+(B11-1)*2.5)</f>
        <v>857</v>
      </c>
      <c r="E11" s="36">
        <f>INT(T11*4/6+(B11-1)*0.6)</f>
        <v>132</v>
      </c>
      <c r="F11" s="36">
        <f t="shared" ref="F11:F42" si="1">INT(R11*3/4)</f>
        <v>225</v>
      </c>
      <c r="G11" s="36">
        <f>Z11*2</f>
        <v>130</v>
      </c>
      <c r="H11" s="36">
        <f>INT(X11/(2.75+B11/15))</f>
        <v>42</v>
      </c>
      <c r="I11" s="36">
        <f>INT(AD11*2*(1-B11/75))</f>
        <v>226</v>
      </c>
      <c r="J11" s="36">
        <f>INT(AB11/(2.75+B11/280))</f>
        <v>79</v>
      </c>
      <c r="K11" s="36">
        <f>INT($L$8*B11^$L$7)</f>
        <v>40</v>
      </c>
      <c r="L11" s="36">
        <f>ROUNDUP(金钱消耗!A8/K11,0)</f>
        <v>37</v>
      </c>
      <c r="M11" s="36">
        <f>100-ROUNDUP((B11-1)*1.7,0)</f>
        <v>100</v>
      </c>
      <c r="O11" s="36">
        <v>1</v>
      </c>
      <c r="P11" s="36">
        <f>$Q$1^(O11/$Q$2+$Q$3)*1.9/100-$Q$4</f>
        <v>2.0639000434159602E-2</v>
      </c>
      <c r="Q11" s="39">
        <f>INT((298+INT(O11*16.8173676848095))*(1+0.173652825416791))+50+INT(O11*4.5)</f>
        <v>422</v>
      </c>
      <c r="R11" s="39">
        <f>INT(P11*Q11)+280+O11*12</f>
        <v>300</v>
      </c>
      <c r="S11" s="39">
        <f>INT((223+INT(O11*12.5943397995129))*(1+0.173652825416791))+38+INT(O11*3.37)</f>
        <v>316</v>
      </c>
      <c r="T11" s="39">
        <f>INT(P11*S11)+180+O11*12</f>
        <v>198</v>
      </c>
      <c r="U11" s="39">
        <f>INT((3000+INT(O11*167.973671798328))*(1+0.173652825416791))+500+INT(O11*3.75)+O11^2</f>
        <v>4220</v>
      </c>
      <c r="V11" s="39">
        <f>INT(P11*U11)+2900+O11*12</f>
        <v>2999</v>
      </c>
      <c r="W11" s="39">
        <f>INT((199+INT(O11*5.60578922826983))*(1+0.173652825416791))+199+INT(O11*1.5)</f>
        <v>439</v>
      </c>
      <c r="X11" s="39">
        <f>INT(P11*W11)+99+O11*12</f>
        <v>120</v>
      </c>
      <c r="Y11" s="39">
        <f>INT((99+INT(O11*2.80289461413491))*(1+0.173652825416791))+99+INT(O11*0.75)</f>
        <v>217</v>
      </c>
      <c r="Z11" s="39">
        <f>INT(P11*Y11)+49+O11*12</f>
        <v>65</v>
      </c>
      <c r="AA11" s="39">
        <f>INT((199+INT(O11*6.54008743298147))*(1+0.173652825416791))+199+INT(O11*1.75)</f>
        <v>440</v>
      </c>
      <c r="AB11" s="39">
        <f>INT(P11*AA11)+199+O11*12</f>
        <v>220</v>
      </c>
      <c r="AC11" s="39">
        <f>INT((99+INT(O11*3.28872968058497))*(1+0.173652825416791))+99+INT(O11*0.88)</f>
        <v>218</v>
      </c>
      <c r="AD11" s="39">
        <f>INT(P11*AC11)+99+O11*12</f>
        <v>115</v>
      </c>
      <c r="AE11" s="39">
        <f>INT((299+INT(O11*10.277280251828))*(1+0.173652825416791))+299+INT(O11*0.88)+INT(O11^2/10)</f>
        <v>661</v>
      </c>
      <c r="AF11" s="39">
        <f>INT(P11*AE11)+299+O11*12</f>
        <v>324</v>
      </c>
      <c r="AH11" s="36">
        <v>1</v>
      </c>
      <c r="AI11" s="36">
        <f>Q11^2/(F11+Q11)</f>
        <v>275.24574961360122</v>
      </c>
      <c r="AJ11" s="36">
        <f>E11^2/(E11+T11)</f>
        <v>52.8</v>
      </c>
    </row>
    <row r="12" spans="2:36" x14ac:dyDescent="0.15">
      <c r="B12" s="36">
        <v>2</v>
      </c>
      <c r="C12" s="36">
        <f t="shared" ref="C12:C60" si="2">INT(((B12-1)^1.7+50)*1.12)</f>
        <v>57</v>
      </c>
      <c r="D12" s="36">
        <f t="shared" si="0"/>
        <v>900</v>
      </c>
      <c r="E12" s="36">
        <f t="shared" ref="E12:E60" si="3">INT(T12*4/6+(B12-1)*0.6)</f>
        <v>141</v>
      </c>
      <c r="F12" s="36">
        <f t="shared" si="1"/>
        <v>235</v>
      </c>
      <c r="G12" s="36">
        <f t="shared" ref="G12:G22" si="4">Z12*2</f>
        <v>154</v>
      </c>
      <c r="H12" s="36">
        <f t="shared" ref="H12:H60" si="5">INT(X12/(2.75+B12/15))</f>
        <v>46</v>
      </c>
      <c r="I12" s="36">
        <f t="shared" ref="I12:I60" si="6">INT(AD12*2*(1-B12/75))</f>
        <v>247</v>
      </c>
      <c r="J12" s="36">
        <f t="shared" ref="J12:J60" si="7">INT(AB12/(2.75+B12/280))</f>
        <v>84</v>
      </c>
      <c r="K12" s="36">
        <f t="shared" ref="K12:K42" si="8">INT($L$8*B12^$L$7)</f>
        <v>74</v>
      </c>
      <c r="L12" s="36">
        <f>ROUNDUP(金钱消耗!A9/K12,0)</f>
        <v>36</v>
      </c>
      <c r="M12" s="36">
        <f t="shared" ref="M12:M60" si="9">100-ROUNDUP((B12-1)*1.7,0)</f>
        <v>98</v>
      </c>
      <c r="O12" s="36">
        <v>2</v>
      </c>
      <c r="P12" s="36">
        <f t="shared" ref="P12:P59" si="10">$Q$1^(O12/$Q$2+$Q$3)*1.9/100-$Q$4</f>
        <v>2.2419386259012641E-2</v>
      </c>
      <c r="Q12" s="36">
        <f t="shared" ref="Q12:Q60" si="11">INT((298+INT(O12*16.8173676848095))*(1+0.173652825416791))+50+INT(O12*4.5)</f>
        <v>447</v>
      </c>
      <c r="R12" s="36">
        <f t="shared" ref="R12:R60" si="12">INT(P12*Q12)+280+O12*12</f>
        <v>314</v>
      </c>
      <c r="S12" s="36">
        <f t="shared" ref="S12:S60" si="13">INT((223+INT(O12*12.5943397995129))*(1+0.173652825416791))+38+INT(O12*3.37)</f>
        <v>335</v>
      </c>
      <c r="T12" s="36">
        <f t="shared" ref="T12:T60" si="14">INT(P12*S12)+180+O12*12</f>
        <v>211</v>
      </c>
      <c r="U12" s="36">
        <f t="shared" ref="U12:U60" si="15">INT((3000+INT(O12*167.973671798328))*(1+0.173652825416791))+500+INT(O12*3.75)+O12^2</f>
        <v>4425</v>
      </c>
      <c r="V12" s="36">
        <f t="shared" ref="V12:V60" si="16">INT(P12*U12)+2900+O12*12</f>
        <v>3023</v>
      </c>
      <c r="W12" s="36">
        <f t="shared" ref="W12:W60" si="17">INT((199+INT(O12*5.60578922826983))*(1+0.173652825416791))+199+INT(O12*1.5)</f>
        <v>448</v>
      </c>
      <c r="X12" s="36">
        <f t="shared" ref="X12:X60" si="18">INT(P12*W12)+99+O12*12</f>
        <v>133</v>
      </c>
      <c r="Y12" s="36">
        <f t="shared" ref="Y12:Y60" si="19">INT((99+INT(O12*2.80289461413491))*(1+0.173652825416791))+99+INT(O12*0.75)</f>
        <v>222</v>
      </c>
      <c r="Z12" s="36">
        <f t="shared" ref="Z12:Z59" si="20">INT(P12*Y12)+49+O12*12</f>
        <v>77</v>
      </c>
      <c r="AA12" s="36">
        <f t="shared" ref="AA12:AA60" si="21">INT((199+INT(O12*6.54008743298147))*(1+0.173652825416791))+199+INT(O12*1.75)</f>
        <v>450</v>
      </c>
      <c r="AB12" s="36">
        <f t="shared" ref="AB12:AB60" si="22">INT(P12*AA12)+199+O12*12</f>
        <v>233</v>
      </c>
      <c r="AC12" s="36">
        <f t="shared" ref="AC12:AC60" si="23">INT((99+INT(O12*3.28872968058497))*(1+0.173652825416791))+99+INT(O12*0.88)</f>
        <v>223</v>
      </c>
      <c r="AD12" s="36">
        <f t="shared" ref="AD12:AD60" si="24">INT(P12*AC12)+99+O12*12</f>
        <v>127</v>
      </c>
      <c r="AE12" s="36">
        <f t="shared" ref="AE12:AE60" si="25">INT((299+INT(O12*10.277280251828))*(1+0.173652825416791))+299+INT(O12*0.88)+INT(O12^2/10)</f>
        <v>674</v>
      </c>
      <c r="AF12" s="36">
        <f t="shared" ref="AF12:AF60" si="26">INT(P12*AE12)+299+O12*12</f>
        <v>338</v>
      </c>
      <c r="AH12" s="36">
        <v>2</v>
      </c>
      <c r="AI12" s="36">
        <f t="shared" ref="AI12:AI60" si="27">Q12^2/(F12+Q12)</f>
        <v>292.97507331378301</v>
      </c>
      <c r="AJ12" s="36">
        <f t="shared" ref="AJ12:AJ60" si="28">E12^2/(E12+T12)</f>
        <v>56.480113636363633</v>
      </c>
    </row>
    <row r="13" spans="2:36" x14ac:dyDescent="0.15">
      <c r="B13" s="36">
        <v>3</v>
      </c>
      <c r="C13" s="36">
        <f t="shared" si="2"/>
        <v>59</v>
      </c>
      <c r="D13" s="36">
        <f t="shared" si="0"/>
        <v>939</v>
      </c>
      <c r="E13" s="36">
        <f t="shared" si="3"/>
        <v>150</v>
      </c>
      <c r="F13" s="36">
        <f t="shared" si="1"/>
        <v>245</v>
      </c>
      <c r="G13" s="36">
        <f t="shared" si="4"/>
        <v>180</v>
      </c>
      <c r="H13" s="36">
        <f t="shared" si="5"/>
        <v>49</v>
      </c>
      <c r="I13" s="36">
        <f t="shared" si="6"/>
        <v>268</v>
      </c>
      <c r="J13" s="36">
        <f t="shared" si="7"/>
        <v>89</v>
      </c>
      <c r="K13" s="36">
        <f t="shared" si="8"/>
        <v>107</v>
      </c>
      <c r="L13" s="36">
        <f>ROUNDUP(金钱消耗!A10/K13,0)</f>
        <v>32</v>
      </c>
      <c r="M13" s="36">
        <f t="shared" si="9"/>
        <v>96</v>
      </c>
      <c r="O13" s="36">
        <v>3</v>
      </c>
      <c r="P13" s="36">
        <f t="shared" si="10"/>
        <v>2.4353353828071245E-2</v>
      </c>
      <c r="Q13" s="36">
        <f t="shared" si="11"/>
        <v>471</v>
      </c>
      <c r="R13" s="36">
        <f t="shared" si="12"/>
        <v>327</v>
      </c>
      <c r="S13" s="36">
        <f t="shared" si="13"/>
        <v>353</v>
      </c>
      <c r="T13" s="36">
        <f t="shared" si="14"/>
        <v>224</v>
      </c>
      <c r="U13" s="36">
        <f t="shared" si="15"/>
        <v>4631</v>
      </c>
      <c r="V13" s="36">
        <f t="shared" si="16"/>
        <v>3048</v>
      </c>
      <c r="W13" s="36">
        <f t="shared" si="17"/>
        <v>455</v>
      </c>
      <c r="X13" s="36">
        <f t="shared" si="18"/>
        <v>146</v>
      </c>
      <c r="Y13" s="36">
        <f t="shared" si="19"/>
        <v>226</v>
      </c>
      <c r="Z13" s="36">
        <f t="shared" si="20"/>
        <v>90</v>
      </c>
      <c r="AA13" s="36">
        <f t="shared" si="21"/>
        <v>459</v>
      </c>
      <c r="AB13" s="36">
        <f t="shared" si="22"/>
        <v>246</v>
      </c>
      <c r="AC13" s="36">
        <f t="shared" si="23"/>
        <v>227</v>
      </c>
      <c r="AD13" s="36">
        <f t="shared" si="24"/>
        <v>140</v>
      </c>
      <c r="AE13" s="36">
        <f t="shared" si="25"/>
        <v>687</v>
      </c>
      <c r="AF13" s="36">
        <f t="shared" si="26"/>
        <v>351</v>
      </c>
      <c r="AH13" s="36">
        <v>3</v>
      </c>
      <c r="AI13" s="36">
        <f t="shared" si="27"/>
        <v>309.83379888268155</v>
      </c>
      <c r="AJ13" s="36">
        <f t="shared" si="28"/>
        <v>60.160427807486634</v>
      </c>
    </row>
    <row r="14" spans="2:36" x14ac:dyDescent="0.15">
      <c r="B14" s="36">
        <v>4</v>
      </c>
      <c r="C14" s="36">
        <f t="shared" si="2"/>
        <v>63</v>
      </c>
      <c r="D14" s="36">
        <f t="shared" si="0"/>
        <v>983</v>
      </c>
      <c r="E14" s="36">
        <f t="shared" si="3"/>
        <v>159</v>
      </c>
      <c r="F14" s="36">
        <f t="shared" si="1"/>
        <v>255</v>
      </c>
      <c r="G14" s="36">
        <f t="shared" si="4"/>
        <v>206</v>
      </c>
      <c r="H14" s="36">
        <f t="shared" si="5"/>
        <v>52</v>
      </c>
      <c r="I14" s="36">
        <f t="shared" si="6"/>
        <v>289</v>
      </c>
      <c r="J14" s="36">
        <f t="shared" si="7"/>
        <v>93</v>
      </c>
      <c r="K14" s="36">
        <f t="shared" si="8"/>
        <v>139</v>
      </c>
      <c r="L14" s="36">
        <f>ROUNDUP(金钱消耗!A11/K14,0)</f>
        <v>48</v>
      </c>
      <c r="M14" s="36">
        <f t="shared" si="9"/>
        <v>94</v>
      </c>
      <c r="O14" s="36">
        <v>4</v>
      </c>
      <c r="P14" s="36">
        <f t="shared" si="10"/>
        <v>2.6454151591094984E-2</v>
      </c>
      <c r="Q14" s="36">
        <f t="shared" si="11"/>
        <v>496</v>
      </c>
      <c r="R14" s="36">
        <f t="shared" si="12"/>
        <v>341</v>
      </c>
      <c r="S14" s="36">
        <f t="shared" si="13"/>
        <v>371</v>
      </c>
      <c r="T14" s="36">
        <f t="shared" si="14"/>
        <v>237</v>
      </c>
      <c r="U14" s="36">
        <f t="shared" si="15"/>
        <v>4839</v>
      </c>
      <c r="V14" s="36">
        <f t="shared" si="16"/>
        <v>3076</v>
      </c>
      <c r="W14" s="36">
        <f t="shared" si="17"/>
        <v>464</v>
      </c>
      <c r="X14" s="36">
        <f t="shared" si="18"/>
        <v>159</v>
      </c>
      <c r="Y14" s="36">
        <f t="shared" si="19"/>
        <v>231</v>
      </c>
      <c r="Z14" s="36">
        <f t="shared" si="20"/>
        <v>103</v>
      </c>
      <c r="AA14" s="36">
        <f t="shared" si="21"/>
        <v>470</v>
      </c>
      <c r="AB14" s="36">
        <f t="shared" si="22"/>
        <v>259</v>
      </c>
      <c r="AC14" s="36">
        <f t="shared" si="23"/>
        <v>233</v>
      </c>
      <c r="AD14" s="36">
        <f t="shared" si="24"/>
        <v>153</v>
      </c>
      <c r="AE14" s="36">
        <f t="shared" si="25"/>
        <v>702</v>
      </c>
      <c r="AF14" s="36">
        <f t="shared" si="26"/>
        <v>365</v>
      </c>
      <c r="AH14" s="36">
        <v>4</v>
      </c>
      <c r="AI14" s="36">
        <f t="shared" si="27"/>
        <v>327.58455392809589</v>
      </c>
      <c r="AJ14" s="36">
        <f t="shared" si="28"/>
        <v>63.840909090909093</v>
      </c>
    </row>
    <row r="15" spans="2:36" x14ac:dyDescent="0.15">
      <c r="B15" s="36">
        <v>5</v>
      </c>
      <c r="C15" s="36">
        <f t="shared" si="2"/>
        <v>67</v>
      </c>
      <c r="D15" s="36">
        <f t="shared" si="0"/>
        <v>1022</v>
      </c>
      <c r="E15" s="36">
        <f t="shared" si="3"/>
        <v>169</v>
      </c>
      <c r="F15" s="36">
        <f t="shared" si="1"/>
        <v>265</v>
      </c>
      <c r="G15" s="36">
        <f t="shared" si="4"/>
        <v>230</v>
      </c>
      <c r="H15" s="36">
        <f t="shared" si="5"/>
        <v>55</v>
      </c>
      <c r="I15" s="36">
        <f t="shared" si="6"/>
        <v>308</v>
      </c>
      <c r="J15" s="36">
        <f t="shared" si="7"/>
        <v>98</v>
      </c>
      <c r="K15" s="36">
        <f t="shared" si="8"/>
        <v>170</v>
      </c>
      <c r="L15" s="36">
        <f>ROUNDUP(金钱消耗!A12/K15,0)</f>
        <v>49</v>
      </c>
      <c r="M15" s="36">
        <f t="shared" si="9"/>
        <v>93</v>
      </c>
      <c r="O15" s="36">
        <v>5</v>
      </c>
      <c r="P15" s="36">
        <f t="shared" si="10"/>
        <v>2.8736170851259648E-2</v>
      </c>
      <c r="Q15" s="39">
        <f t="shared" si="11"/>
        <v>520</v>
      </c>
      <c r="R15" s="39">
        <f t="shared" si="12"/>
        <v>354</v>
      </c>
      <c r="S15" s="39">
        <f t="shared" si="13"/>
        <v>388</v>
      </c>
      <c r="T15" s="39">
        <f t="shared" si="14"/>
        <v>251</v>
      </c>
      <c r="U15" s="39">
        <f t="shared" si="15"/>
        <v>5048</v>
      </c>
      <c r="V15" s="39">
        <f t="shared" si="16"/>
        <v>3105</v>
      </c>
      <c r="W15" s="39">
        <f t="shared" si="17"/>
        <v>472</v>
      </c>
      <c r="X15" s="39">
        <f t="shared" si="18"/>
        <v>172</v>
      </c>
      <c r="Y15" s="39">
        <f t="shared" si="19"/>
        <v>234</v>
      </c>
      <c r="Z15" s="39">
        <f t="shared" si="20"/>
        <v>115</v>
      </c>
      <c r="AA15" s="39">
        <f t="shared" si="21"/>
        <v>478</v>
      </c>
      <c r="AB15" s="39">
        <f t="shared" si="22"/>
        <v>272</v>
      </c>
      <c r="AC15" s="39">
        <f t="shared" si="23"/>
        <v>237</v>
      </c>
      <c r="AD15" s="39">
        <f t="shared" si="24"/>
        <v>165</v>
      </c>
      <c r="AE15" s="39">
        <f t="shared" si="25"/>
        <v>715</v>
      </c>
      <c r="AF15" s="39">
        <f t="shared" si="26"/>
        <v>379</v>
      </c>
      <c r="AH15" s="36">
        <v>5</v>
      </c>
      <c r="AI15" s="36">
        <f t="shared" si="27"/>
        <v>344.45859872611464</v>
      </c>
      <c r="AJ15" s="36">
        <f t="shared" si="28"/>
        <v>68.002380952380946</v>
      </c>
    </row>
    <row r="16" spans="2:36" x14ac:dyDescent="0.15">
      <c r="B16" s="36">
        <v>6</v>
      </c>
      <c r="C16" s="36">
        <f t="shared" si="2"/>
        <v>73</v>
      </c>
      <c r="D16" s="36">
        <f t="shared" si="0"/>
        <v>1063</v>
      </c>
      <c r="E16" s="36">
        <f t="shared" si="3"/>
        <v>179</v>
      </c>
      <c r="F16" s="36">
        <f t="shared" si="1"/>
        <v>276</v>
      </c>
      <c r="G16" s="36">
        <f t="shared" si="4"/>
        <v>256</v>
      </c>
      <c r="H16" s="36">
        <f t="shared" si="5"/>
        <v>58</v>
      </c>
      <c r="I16" s="36">
        <f t="shared" si="6"/>
        <v>327</v>
      </c>
      <c r="J16" s="36">
        <f t="shared" si="7"/>
        <v>103</v>
      </c>
      <c r="K16" s="36">
        <f t="shared" si="8"/>
        <v>200</v>
      </c>
      <c r="L16" s="36">
        <f>ROUNDUP(金钱消耗!A13/K16,0)</f>
        <v>50</v>
      </c>
      <c r="M16" s="36">
        <f t="shared" si="9"/>
        <v>91</v>
      </c>
      <c r="O16" s="36">
        <v>6</v>
      </c>
      <c r="P16" s="36">
        <f t="shared" si="10"/>
        <v>3.1215044351328016E-2</v>
      </c>
      <c r="Q16" s="36">
        <f t="shared" si="11"/>
        <v>544</v>
      </c>
      <c r="R16" s="36">
        <f t="shared" si="12"/>
        <v>368</v>
      </c>
      <c r="S16" s="36">
        <f t="shared" si="13"/>
        <v>407</v>
      </c>
      <c r="T16" s="36">
        <f t="shared" si="14"/>
        <v>264</v>
      </c>
      <c r="U16" s="36">
        <f t="shared" si="15"/>
        <v>5260</v>
      </c>
      <c r="V16" s="36">
        <f t="shared" si="16"/>
        <v>3136</v>
      </c>
      <c r="W16" s="36">
        <f t="shared" si="17"/>
        <v>480</v>
      </c>
      <c r="X16" s="36">
        <f t="shared" si="18"/>
        <v>185</v>
      </c>
      <c r="Y16" s="36">
        <f t="shared" si="19"/>
        <v>237</v>
      </c>
      <c r="Z16" s="36">
        <f t="shared" si="20"/>
        <v>128</v>
      </c>
      <c r="AA16" s="36">
        <f t="shared" si="21"/>
        <v>488</v>
      </c>
      <c r="AB16" s="36">
        <f t="shared" si="22"/>
        <v>286</v>
      </c>
      <c r="AC16" s="36">
        <f t="shared" si="23"/>
        <v>242</v>
      </c>
      <c r="AD16" s="36">
        <f t="shared" si="24"/>
        <v>178</v>
      </c>
      <c r="AE16" s="36">
        <f t="shared" si="25"/>
        <v>729</v>
      </c>
      <c r="AF16" s="36">
        <f t="shared" si="26"/>
        <v>393</v>
      </c>
      <c r="AH16" s="36">
        <v>6</v>
      </c>
      <c r="AI16" s="36">
        <f t="shared" si="27"/>
        <v>360.89756097560974</v>
      </c>
      <c r="AJ16" s="36">
        <f t="shared" si="28"/>
        <v>72.327313769751697</v>
      </c>
    </row>
    <row r="17" spans="2:36" x14ac:dyDescent="0.15">
      <c r="B17" s="36">
        <v>7</v>
      </c>
      <c r="C17" s="36">
        <f t="shared" si="2"/>
        <v>79</v>
      </c>
      <c r="D17" s="36">
        <f t="shared" si="0"/>
        <v>1109</v>
      </c>
      <c r="E17" s="36">
        <f t="shared" si="3"/>
        <v>188</v>
      </c>
      <c r="F17" s="36">
        <f t="shared" si="1"/>
        <v>287</v>
      </c>
      <c r="G17" s="36">
        <f t="shared" si="4"/>
        <v>282</v>
      </c>
      <c r="H17" s="36">
        <f t="shared" si="5"/>
        <v>61</v>
      </c>
      <c r="I17" s="36">
        <f t="shared" si="6"/>
        <v>346</v>
      </c>
      <c r="J17" s="36">
        <f t="shared" si="7"/>
        <v>107</v>
      </c>
      <c r="K17" s="36">
        <f t="shared" si="8"/>
        <v>230</v>
      </c>
      <c r="L17" s="36">
        <f>ROUNDUP(金钱消耗!A14/K17,0)</f>
        <v>52</v>
      </c>
      <c r="M17" s="36">
        <f t="shared" si="9"/>
        <v>89</v>
      </c>
      <c r="O17" s="36">
        <v>7</v>
      </c>
      <c r="P17" s="36">
        <f t="shared" si="10"/>
        <v>3.3907753364177368E-2</v>
      </c>
      <c r="Q17" s="36">
        <f t="shared" si="11"/>
        <v>568</v>
      </c>
      <c r="R17" s="36">
        <f t="shared" si="12"/>
        <v>383</v>
      </c>
      <c r="S17" s="36">
        <f t="shared" si="13"/>
        <v>426</v>
      </c>
      <c r="T17" s="36">
        <f t="shared" si="14"/>
        <v>278</v>
      </c>
      <c r="U17" s="36">
        <f t="shared" si="15"/>
        <v>5475</v>
      </c>
      <c r="V17" s="36">
        <f t="shared" si="16"/>
        <v>3169</v>
      </c>
      <c r="W17" s="36">
        <f t="shared" si="17"/>
        <v>488</v>
      </c>
      <c r="X17" s="36">
        <f t="shared" si="18"/>
        <v>199</v>
      </c>
      <c r="Y17" s="36">
        <f t="shared" si="19"/>
        <v>242</v>
      </c>
      <c r="Z17" s="36">
        <f t="shared" si="20"/>
        <v>141</v>
      </c>
      <c r="AA17" s="36">
        <f t="shared" si="21"/>
        <v>497</v>
      </c>
      <c r="AB17" s="36">
        <f t="shared" si="22"/>
        <v>299</v>
      </c>
      <c r="AC17" s="36">
        <f t="shared" si="23"/>
        <v>248</v>
      </c>
      <c r="AD17" s="36">
        <f t="shared" si="24"/>
        <v>191</v>
      </c>
      <c r="AE17" s="36">
        <f t="shared" si="25"/>
        <v>743</v>
      </c>
      <c r="AF17" s="36">
        <f t="shared" si="26"/>
        <v>408</v>
      </c>
      <c r="AH17" s="36">
        <v>7</v>
      </c>
      <c r="AI17" s="36">
        <f t="shared" si="27"/>
        <v>377.33801169590646</v>
      </c>
      <c r="AJ17" s="36">
        <f t="shared" si="28"/>
        <v>75.845493562231766</v>
      </c>
    </row>
    <row r="18" spans="2:36" x14ac:dyDescent="0.15">
      <c r="B18" s="36">
        <v>8</v>
      </c>
      <c r="C18" s="36">
        <f t="shared" si="2"/>
        <v>86</v>
      </c>
      <c r="D18" s="36">
        <f t="shared" si="0"/>
        <v>1153</v>
      </c>
      <c r="E18" s="36">
        <f t="shared" si="3"/>
        <v>198</v>
      </c>
      <c r="F18" s="36">
        <f t="shared" si="1"/>
        <v>297</v>
      </c>
      <c r="G18" s="36">
        <f t="shared" si="4"/>
        <v>308</v>
      </c>
      <c r="H18" s="36">
        <f t="shared" si="5"/>
        <v>64</v>
      </c>
      <c r="I18" s="36">
        <f t="shared" si="6"/>
        <v>364</v>
      </c>
      <c r="J18" s="36">
        <f t="shared" si="7"/>
        <v>112</v>
      </c>
      <c r="K18" s="36">
        <f t="shared" si="8"/>
        <v>259</v>
      </c>
      <c r="L18" s="36">
        <f>ROUNDUP(金钱消耗!A15/K18,0)</f>
        <v>55</v>
      </c>
      <c r="M18" s="36">
        <f t="shared" si="9"/>
        <v>88</v>
      </c>
      <c r="O18" s="36">
        <v>8</v>
      </c>
      <c r="P18" s="36">
        <f t="shared" si="10"/>
        <v>3.6832744021296493E-2</v>
      </c>
      <c r="Q18" s="36">
        <f t="shared" si="11"/>
        <v>593</v>
      </c>
      <c r="R18" s="36">
        <f t="shared" si="12"/>
        <v>397</v>
      </c>
      <c r="S18" s="36">
        <f t="shared" si="13"/>
        <v>443</v>
      </c>
      <c r="T18" s="36">
        <f t="shared" si="14"/>
        <v>292</v>
      </c>
      <c r="U18" s="36">
        <f t="shared" si="15"/>
        <v>5691</v>
      </c>
      <c r="V18" s="36">
        <f t="shared" si="16"/>
        <v>3205</v>
      </c>
      <c r="W18" s="36">
        <f t="shared" si="17"/>
        <v>496</v>
      </c>
      <c r="X18" s="36">
        <f t="shared" si="18"/>
        <v>213</v>
      </c>
      <c r="Y18" s="36">
        <f t="shared" si="19"/>
        <v>247</v>
      </c>
      <c r="Z18" s="36">
        <f t="shared" si="20"/>
        <v>154</v>
      </c>
      <c r="AA18" s="36">
        <f t="shared" si="21"/>
        <v>507</v>
      </c>
      <c r="AB18" s="36">
        <f t="shared" si="22"/>
        <v>313</v>
      </c>
      <c r="AC18" s="36">
        <f t="shared" si="23"/>
        <v>252</v>
      </c>
      <c r="AD18" s="36">
        <f t="shared" si="24"/>
        <v>204</v>
      </c>
      <c r="AE18" s="36">
        <f t="shared" si="25"/>
        <v>759</v>
      </c>
      <c r="AF18" s="36">
        <f t="shared" si="26"/>
        <v>422</v>
      </c>
      <c r="AH18" s="36">
        <v>8</v>
      </c>
      <c r="AI18" s="36">
        <f t="shared" si="27"/>
        <v>395.1112359550562</v>
      </c>
      <c r="AJ18" s="36">
        <f t="shared" si="28"/>
        <v>80.008163265306123</v>
      </c>
    </row>
    <row r="19" spans="2:36" x14ac:dyDescent="0.15">
      <c r="B19" s="36">
        <v>9</v>
      </c>
      <c r="C19" s="36">
        <f t="shared" si="2"/>
        <v>94</v>
      </c>
      <c r="D19" s="36">
        <f t="shared" si="0"/>
        <v>1197</v>
      </c>
      <c r="E19" s="36">
        <f t="shared" si="3"/>
        <v>208</v>
      </c>
      <c r="F19" s="36">
        <f t="shared" si="1"/>
        <v>309</v>
      </c>
      <c r="G19" s="36">
        <f t="shared" si="4"/>
        <v>334</v>
      </c>
      <c r="H19" s="36">
        <f t="shared" si="5"/>
        <v>67</v>
      </c>
      <c r="I19" s="36">
        <f t="shared" si="6"/>
        <v>381</v>
      </c>
      <c r="J19" s="36">
        <f t="shared" si="7"/>
        <v>117</v>
      </c>
      <c r="K19" s="36">
        <f t="shared" si="8"/>
        <v>288</v>
      </c>
      <c r="L19" s="36">
        <f>ROUNDUP(金钱消耗!A16/K19,0)</f>
        <v>59</v>
      </c>
      <c r="M19" s="36">
        <f t="shared" si="9"/>
        <v>86</v>
      </c>
      <c r="O19" s="36">
        <v>9</v>
      </c>
      <c r="P19" s="36">
        <f t="shared" si="10"/>
        <v>4.0010053676148828E-2</v>
      </c>
      <c r="Q19" s="36">
        <f t="shared" si="11"/>
        <v>616</v>
      </c>
      <c r="R19" s="36">
        <f t="shared" si="12"/>
        <v>412</v>
      </c>
      <c r="S19" s="36">
        <f t="shared" si="13"/>
        <v>462</v>
      </c>
      <c r="T19" s="36">
        <f t="shared" si="14"/>
        <v>306</v>
      </c>
      <c r="U19" s="36">
        <f t="shared" si="15"/>
        <v>5908</v>
      </c>
      <c r="V19" s="36">
        <f t="shared" si="16"/>
        <v>3244</v>
      </c>
      <c r="W19" s="36">
        <f t="shared" si="17"/>
        <v>504</v>
      </c>
      <c r="X19" s="36">
        <f t="shared" si="18"/>
        <v>227</v>
      </c>
      <c r="Y19" s="36">
        <f t="shared" si="19"/>
        <v>250</v>
      </c>
      <c r="Z19" s="36">
        <f t="shared" si="20"/>
        <v>167</v>
      </c>
      <c r="AA19" s="36">
        <f t="shared" si="21"/>
        <v>515</v>
      </c>
      <c r="AB19" s="36">
        <f t="shared" si="22"/>
        <v>327</v>
      </c>
      <c r="AC19" s="36">
        <f t="shared" si="23"/>
        <v>256</v>
      </c>
      <c r="AD19" s="36">
        <f t="shared" si="24"/>
        <v>217</v>
      </c>
      <c r="AE19" s="36">
        <f t="shared" si="25"/>
        <v>772</v>
      </c>
      <c r="AF19" s="36">
        <f t="shared" si="26"/>
        <v>437</v>
      </c>
      <c r="AH19" s="36">
        <v>9</v>
      </c>
      <c r="AI19" s="36">
        <f t="shared" si="27"/>
        <v>410.22270270270269</v>
      </c>
      <c r="AJ19" s="36">
        <f t="shared" si="28"/>
        <v>84.171206225680933</v>
      </c>
    </row>
    <row r="20" spans="2:36" x14ac:dyDescent="0.15">
      <c r="B20" s="36">
        <v>10</v>
      </c>
      <c r="C20" s="36">
        <f t="shared" si="2"/>
        <v>102</v>
      </c>
      <c r="D20" s="36">
        <f t="shared" si="0"/>
        <v>1242</v>
      </c>
      <c r="E20" s="36">
        <f t="shared" si="3"/>
        <v>218</v>
      </c>
      <c r="F20" s="36">
        <f t="shared" si="1"/>
        <v>320</v>
      </c>
      <c r="G20" s="36">
        <f t="shared" si="4"/>
        <v>360</v>
      </c>
      <c r="H20" s="36">
        <f t="shared" si="5"/>
        <v>70</v>
      </c>
      <c r="I20" s="36">
        <f t="shared" si="6"/>
        <v>398</v>
      </c>
      <c r="J20" s="36">
        <f t="shared" si="7"/>
        <v>122</v>
      </c>
      <c r="K20" s="36">
        <f t="shared" si="8"/>
        <v>317</v>
      </c>
      <c r="L20" s="36">
        <f>ROUNDUP(金钱消耗!A17/K20,0)</f>
        <v>55</v>
      </c>
      <c r="M20" s="36">
        <f t="shared" si="9"/>
        <v>84</v>
      </c>
      <c r="O20" s="36">
        <v>10</v>
      </c>
      <c r="P20" s="36">
        <f t="shared" si="10"/>
        <v>4.3461448168041289E-2</v>
      </c>
      <c r="Q20" s="39">
        <f t="shared" si="11"/>
        <v>641</v>
      </c>
      <c r="R20" s="39">
        <f t="shared" si="12"/>
        <v>427</v>
      </c>
      <c r="S20" s="39">
        <f t="shared" si="13"/>
        <v>479</v>
      </c>
      <c r="T20" s="39">
        <f t="shared" si="14"/>
        <v>320</v>
      </c>
      <c r="U20" s="39">
        <f t="shared" si="15"/>
        <v>6128</v>
      </c>
      <c r="V20" s="39">
        <f t="shared" si="16"/>
        <v>3286</v>
      </c>
      <c r="W20" s="39">
        <f t="shared" si="17"/>
        <v>513</v>
      </c>
      <c r="X20" s="39">
        <f t="shared" si="18"/>
        <v>241</v>
      </c>
      <c r="Y20" s="39">
        <f t="shared" si="19"/>
        <v>255</v>
      </c>
      <c r="Z20" s="39">
        <f t="shared" si="20"/>
        <v>180</v>
      </c>
      <c r="AA20" s="39">
        <f t="shared" si="21"/>
        <v>525</v>
      </c>
      <c r="AB20" s="39">
        <f t="shared" si="22"/>
        <v>341</v>
      </c>
      <c r="AC20" s="39">
        <f t="shared" si="23"/>
        <v>260</v>
      </c>
      <c r="AD20" s="39">
        <f t="shared" si="24"/>
        <v>230</v>
      </c>
      <c r="AE20" s="39">
        <f t="shared" si="25"/>
        <v>787</v>
      </c>
      <c r="AF20" s="39">
        <f t="shared" si="26"/>
        <v>453</v>
      </c>
      <c r="AH20" s="36">
        <v>10</v>
      </c>
      <c r="AI20" s="36">
        <f t="shared" si="27"/>
        <v>427.55567117585849</v>
      </c>
      <c r="AJ20" s="36">
        <f t="shared" si="28"/>
        <v>88.334572490706321</v>
      </c>
    </row>
    <row r="21" spans="2:36" x14ac:dyDescent="0.15">
      <c r="B21" s="36">
        <v>11</v>
      </c>
      <c r="C21" s="36">
        <f t="shared" si="2"/>
        <v>112</v>
      </c>
      <c r="D21" s="36">
        <f t="shared" si="0"/>
        <v>1291</v>
      </c>
      <c r="E21" s="36">
        <f t="shared" si="3"/>
        <v>229</v>
      </c>
      <c r="F21" s="36">
        <f t="shared" si="1"/>
        <v>332</v>
      </c>
      <c r="G21" s="36">
        <f t="shared" si="4"/>
        <v>386</v>
      </c>
      <c r="H21" s="36">
        <f t="shared" si="5"/>
        <v>73</v>
      </c>
      <c r="I21" s="36">
        <f t="shared" si="6"/>
        <v>414</v>
      </c>
      <c r="J21" s="36">
        <f t="shared" si="7"/>
        <v>127</v>
      </c>
      <c r="K21" s="36">
        <f t="shared" si="8"/>
        <v>346</v>
      </c>
      <c r="L21" s="36">
        <f>ROUNDUP(金钱消耗!A18/K21,0)</f>
        <v>61</v>
      </c>
      <c r="M21" s="36">
        <f t="shared" si="9"/>
        <v>83</v>
      </c>
      <c r="O21" s="36">
        <v>11</v>
      </c>
      <c r="P21" s="36">
        <f t="shared" si="10"/>
        <v>4.721057092681101E-2</v>
      </c>
      <c r="Q21" s="36">
        <f t="shared" si="11"/>
        <v>664</v>
      </c>
      <c r="R21" s="36">
        <f t="shared" si="12"/>
        <v>443</v>
      </c>
      <c r="S21" s="36">
        <f t="shared" si="13"/>
        <v>498</v>
      </c>
      <c r="T21" s="36">
        <f t="shared" si="14"/>
        <v>335</v>
      </c>
      <c r="U21" s="36">
        <f t="shared" si="15"/>
        <v>6350</v>
      </c>
      <c r="V21" s="36">
        <f t="shared" si="16"/>
        <v>3331</v>
      </c>
      <c r="W21" s="36">
        <f t="shared" si="17"/>
        <v>520</v>
      </c>
      <c r="X21" s="36">
        <f t="shared" si="18"/>
        <v>255</v>
      </c>
      <c r="Y21" s="36">
        <f t="shared" si="19"/>
        <v>258</v>
      </c>
      <c r="Z21" s="36">
        <f t="shared" si="20"/>
        <v>193</v>
      </c>
      <c r="AA21" s="36">
        <f t="shared" si="21"/>
        <v>534</v>
      </c>
      <c r="AB21" s="36">
        <f t="shared" si="22"/>
        <v>356</v>
      </c>
      <c r="AC21" s="36">
        <f t="shared" si="23"/>
        <v>266</v>
      </c>
      <c r="AD21" s="36">
        <f t="shared" si="24"/>
        <v>243</v>
      </c>
      <c r="AE21" s="36">
        <f t="shared" si="25"/>
        <v>803</v>
      </c>
      <c r="AF21" s="36">
        <f t="shared" si="26"/>
        <v>468</v>
      </c>
      <c r="AH21" s="36">
        <v>11</v>
      </c>
      <c r="AI21" s="36">
        <f t="shared" si="27"/>
        <v>442.66666666666669</v>
      </c>
      <c r="AJ21" s="36">
        <f t="shared" si="28"/>
        <v>92.980496453900713</v>
      </c>
    </row>
    <row r="22" spans="2:36" x14ac:dyDescent="0.15">
      <c r="B22" s="36">
        <v>12</v>
      </c>
      <c r="C22" s="36">
        <f t="shared" si="2"/>
        <v>122</v>
      </c>
      <c r="D22" s="36">
        <f t="shared" si="0"/>
        <v>1339</v>
      </c>
      <c r="E22" s="36">
        <f t="shared" si="3"/>
        <v>239</v>
      </c>
      <c r="F22" s="36">
        <f t="shared" si="1"/>
        <v>344</v>
      </c>
      <c r="G22" s="36">
        <f t="shared" si="4"/>
        <v>412</v>
      </c>
      <c r="H22" s="36">
        <f t="shared" si="5"/>
        <v>76</v>
      </c>
      <c r="I22" s="36">
        <f t="shared" si="6"/>
        <v>430</v>
      </c>
      <c r="J22" s="36">
        <f t="shared" si="7"/>
        <v>132</v>
      </c>
      <c r="K22" s="36">
        <f t="shared" si="8"/>
        <v>374</v>
      </c>
      <c r="L22" s="36">
        <f>ROUNDUP(金钱消耗!A19/K22,0)</f>
        <v>62</v>
      </c>
      <c r="M22" s="36">
        <f t="shared" si="9"/>
        <v>81</v>
      </c>
      <c r="O22" s="36">
        <v>12</v>
      </c>
      <c r="P22" s="36">
        <f t="shared" si="10"/>
        <v>5.1283104939756574E-2</v>
      </c>
      <c r="Q22" s="36">
        <f t="shared" si="11"/>
        <v>689</v>
      </c>
      <c r="R22" s="36">
        <f t="shared" si="12"/>
        <v>459</v>
      </c>
      <c r="S22" s="36">
        <f t="shared" si="13"/>
        <v>516</v>
      </c>
      <c r="T22" s="36">
        <f t="shared" si="14"/>
        <v>350</v>
      </c>
      <c r="U22" s="36">
        <f t="shared" si="15"/>
        <v>6574</v>
      </c>
      <c r="V22" s="36">
        <f t="shared" si="16"/>
        <v>3381</v>
      </c>
      <c r="W22" s="36">
        <f t="shared" si="17"/>
        <v>529</v>
      </c>
      <c r="X22" s="36">
        <f t="shared" si="18"/>
        <v>270</v>
      </c>
      <c r="Y22" s="36">
        <f t="shared" si="19"/>
        <v>262</v>
      </c>
      <c r="Z22" s="36">
        <f t="shared" si="20"/>
        <v>206</v>
      </c>
      <c r="AA22" s="36">
        <f t="shared" si="21"/>
        <v>545</v>
      </c>
      <c r="AB22" s="36">
        <f t="shared" si="22"/>
        <v>370</v>
      </c>
      <c r="AC22" s="36">
        <f t="shared" si="23"/>
        <v>270</v>
      </c>
      <c r="AD22" s="36">
        <f t="shared" si="24"/>
        <v>256</v>
      </c>
      <c r="AE22" s="36">
        <f t="shared" si="25"/>
        <v>818</v>
      </c>
      <c r="AF22" s="36">
        <f t="shared" si="26"/>
        <v>484</v>
      </c>
      <c r="AH22" s="36">
        <v>12</v>
      </c>
      <c r="AI22" s="36">
        <f t="shared" si="27"/>
        <v>459.55566311713454</v>
      </c>
      <c r="AJ22" s="36">
        <f t="shared" si="28"/>
        <v>96.979626485568758</v>
      </c>
    </row>
    <row r="23" spans="2:36" x14ac:dyDescent="0.15">
      <c r="B23" s="36">
        <v>13</v>
      </c>
      <c r="C23" s="36">
        <f t="shared" si="2"/>
        <v>132</v>
      </c>
      <c r="D23" s="36">
        <f t="shared" si="0"/>
        <v>1387</v>
      </c>
      <c r="E23" s="36">
        <f t="shared" si="3"/>
        <v>250</v>
      </c>
      <c r="F23" s="36">
        <f t="shared" si="1"/>
        <v>356</v>
      </c>
      <c r="G23" s="36">
        <f>INT(Z23*1.2)</f>
        <v>262</v>
      </c>
      <c r="H23" s="36">
        <f t="shared" si="5"/>
        <v>78</v>
      </c>
      <c r="I23" s="36">
        <f t="shared" si="6"/>
        <v>446</v>
      </c>
      <c r="J23" s="36">
        <f t="shared" si="7"/>
        <v>137</v>
      </c>
      <c r="K23" s="36">
        <f t="shared" si="8"/>
        <v>402</v>
      </c>
      <c r="L23" s="36">
        <f>ROUNDUP(金钱消耗!A20/K23,0)</f>
        <v>67</v>
      </c>
      <c r="M23" s="36">
        <f t="shared" si="9"/>
        <v>79</v>
      </c>
      <c r="O23" s="36">
        <v>13</v>
      </c>
      <c r="P23" s="36">
        <f t="shared" si="10"/>
        <v>5.5706948690352018E-2</v>
      </c>
      <c r="Q23" s="36">
        <f t="shared" si="11"/>
        <v>713</v>
      </c>
      <c r="R23" s="36">
        <f t="shared" si="12"/>
        <v>475</v>
      </c>
      <c r="S23" s="36">
        <f t="shared" si="13"/>
        <v>534</v>
      </c>
      <c r="T23" s="36">
        <f t="shared" si="14"/>
        <v>365</v>
      </c>
      <c r="U23" s="36">
        <f t="shared" si="15"/>
        <v>6800</v>
      </c>
      <c r="V23" s="36">
        <f t="shared" si="16"/>
        <v>3434</v>
      </c>
      <c r="W23" s="36">
        <f t="shared" si="17"/>
        <v>536</v>
      </c>
      <c r="X23" s="36">
        <f t="shared" si="18"/>
        <v>284</v>
      </c>
      <c r="Y23" s="36">
        <f t="shared" si="19"/>
        <v>266</v>
      </c>
      <c r="Z23" s="36">
        <f t="shared" si="20"/>
        <v>219</v>
      </c>
      <c r="AA23" s="36">
        <f t="shared" si="21"/>
        <v>554</v>
      </c>
      <c r="AB23" s="36">
        <f t="shared" si="22"/>
        <v>385</v>
      </c>
      <c r="AC23" s="36">
        <f t="shared" si="23"/>
        <v>275</v>
      </c>
      <c r="AD23" s="36">
        <f t="shared" si="24"/>
        <v>270</v>
      </c>
      <c r="AE23" s="36">
        <f t="shared" si="25"/>
        <v>833</v>
      </c>
      <c r="AF23" s="36">
        <f t="shared" si="26"/>
        <v>501</v>
      </c>
      <c r="AH23" s="36">
        <v>13</v>
      </c>
      <c r="AI23" s="36">
        <f t="shared" si="27"/>
        <v>475.55565949485498</v>
      </c>
      <c r="AJ23" s="36">
        <f t="shared" si="28"/>
        <v>101.6260162601626</v>
      </c>
    </row>
    <row r="24" spans="2:36" x14ac:dyDescent="0.15">
      <c r="B24" s="36">
        <v>14</v>
      </c>
      <c r="C24" s="36">
        <f t="shared" si="2"/>
        <v>143</v>
      </c>
      <c r="D24" s="36">
        <f t="shared" si="0"/>
        <v>1438</v>
      </c>
      <c r="E24" s="36">
        <f t="shared" si="3"/>
        <v>261</v>
      </c>
      <c r="F24" s="36">
        <f t="shared" si="1"/>
        <v>369</v>
      </c>
      <c r="G24" s="36">
        <f t="shared" ref="G24:G60" si="29">INT(Z24*1.2)</f>
        <v>279</v>
      </c>
      <c r="H24" s="36">
        <f t="shared" si="5"/>
        <v>81</v>
      </c>
      <c r="I24" s="36">
        <f t="shared" si="6"/>
        <v>461</v>
      </c>
      <c r="J24" s="36">
        <f t="shared" si="7"/>
        <v>143</v>
      </c>
      <c r="K24" s="36">
        <f t="shared" si="8"/>
        <v>430</v>
      </c>
      <c r="L24" s="36">
        <f>ROUNDUP(金钱消耗!A21/K24,0)</f>
        <v>70</v>
      </c>
      <c r="M24" s="36">
        <f t="shared" si="9"/>
        <v>77</v>
      </c>
      <c r="O24" s="36">
        <v>14</v>
      </c>
      <c r="P24" s="36">
        <f t="shared" si="10"/>
        <v>6.0512407273993783E-2</v>
      </c>
      <c r="Q24" s="36">
        <f t="shared" si="11"/>
        <v>738</v>
      </c>
      <c r="R24" s="36">
        <f t="shared" si="12"/>
        <v>492</v>
      </c>
      <c r="S24" s="36">
        <f t="shared" si="13"/>
        <v>553</v>
      </c>
      <c r="T24" s="36">
        <f t="shared" si="14"/>
        <v>381</v>
      </c>
      <c r="U24" s="36">
        <f t="shared" si="15"/>
        <v>7028</v>
      </c>
      <c r="V24" s="36">
        <f t="shared" si="16"/>
        <v>3493</v>
      </c>
      <c r="W24" s="36">
        <f t="shared" si="17"/>
        <v>545</v>
      </c>
      <c r="X24" s="36">
        <f t="shared" si="18"/>
        <v>299</v>
      </c>
      <c r="Y24" s="36">
        <f t="shared" si="19"/>
        <v>270</v>
      </c>
      <c r="Z24" s="36">
        <f t="shared" si="20"/>
        <v>233</v>
      </c>
      <c r="AA24" s="36">
        <f t="shared" si="21"/>
        <v>563</v>
      </c>
      <c r="AB24" s="36">
        <f t="shared" si="22"/>
        <v>401</v>
      </c>
      <c r="AC24" s="36">
        <f t="shared" si="23"/>
        <v>281</v>
      </c>
      <c r="AD24" s="36">
        <f t="shared" si="24"/>
        <v>284</v>
      </c>
      <c r="AE24" s="36">
        <f t="shared" si="25"/>
        <v>848</v>
      </c>
      <c r="AF24" s="36">
        <f t="shared" si="26"/>
        <v>518</v>
      </c>
      <c r="AH24" s="36">
        <v>14</v>
      </c>
      <c r="AI24" s="36">
        <f t="shared" si="27"/>
        <v>492</v>
      </c>
      <c r="AJ24" s="36">
        <f t="shared" si="28"/>
        <v>106.10747663551402</v>
      </c>
    </row>
    <row r="25" spans="2:36" x14ac:dyDescent="0.15">
      <c r="B25" s="36">
        <v>15</v>
      </c>
      <c r="C25" s="36">
        <f t="shared" si="2"/>
        <v>155</v>
      </c>
      <c r="D25" s="36">
        <f t="shared" si="0"/>
        <v>1492</v>
      </c>
      <c r="E25" s="36">
        <f t="shared" si="3"/>
        <v>273</v>
      </c>
      <c r="F25" s="36">
        <f t="shared" si="1"/>
        <v>382</v>
      </c>
      <c r="G25" s="36">
        <f t="shared" si="29"/>
        <v>296</v>
      </c>
      <c r="H25" s="36">
        <f t="shared" si="5"/>
        <v>84</v>
      </c>
      <c r="I25" s="36">
        <f t="shared" si="6"/>
        <v>475</v>
      </c>
      <c r="J25" s="36">
        <f t="shared" si="7"/>
        <v>148</v>
      </c>
      <c r="K25" s="36">
        <f t="shared" si="8"/>
        <v>457</v>
      </c>
      <c r="L25" s="36">
        <f>ROUNDUP(金钱消耗!A22/K25,0)</f>
        <v>79</v>
      </c>
      <c r="M25" s="36">
        <f t="shared" si="9"/>
        <v>76</v>
      </c>
      <c r="O25" s="36">
        <v>15</v>
      </c>
      <c r="P25" s="36">
        <f t="shared" si="10"/>
        <v>6.5732399999999996E-2</v>
      </c>
      <c r="Q25" s="39">
        <f t="shared" si="11"/>
        <v>762</v>
      </c>
      <c r="R25" s="39">
        <f t="shared" si="12"/>
        <v>510</v>
      </c>
      <c r="S25" s="39">
        <f t="shared" si="13"/>
        <v>570</v>
      </c>
      <c r="T25" s="39">
        <f t="shared" si="14"/>
        <v>397</v>
      </c>
      <c r="U25" s="39">
        <f t="shared" si="15"/>
        <v>7258</v>
      </c>
      <c r="V25" s="39">
        <f t="shared" si="16"/>
        <v>3557</v>
      </c>
      <c r="W25" s="39">
        <f t="shared" si="17"/>
        <v>553</v>
      </c>
      <c r="X25" s="39">
        <f t="shared" si="18"/>
        <v>315</v>
      </c>
      <c r="Y25" s="39">
        <f t="shared" si="19"/>
        <v>275</v>
      </c>
      <c r="Z25" s="39">
        <f t="shared" si="20"/>
        <v>247</v>
      </c>
      <c r="AA25" s="39">
        <f t="shared" si="21"/>
        <v>573</v>
      </c>
      <c r="AB25" s="39">
        <f t="shared" si="22"/>
        <v>416</v>
      </c>
      <c r="AC25" s="39">
        <f t="shared" si="23"/>
        <v>285</v>
      </c>
      <c r="AD25" s="39">
        <f t="shared" si="24"/>
        <v>297</v>
      </c>
      <c r="AE25" s="39">
        <f t="shared" si="25"/>
        <v>865</v>
      </c>
      <c r="AF25" s="39">
        <f t="shared" si="26"/>
        <v>535</v>
      </c>
      <c r="AH25" s="36">
        <v>15</v>
      </c>
      <c r="AI25" s="36">
        <f t="shared" si="27"/>
        <v>507.55594405594405</v>
      </c>
      <c r="AJ25" s="36">
        <f t="shared" si="28"/>
        <v>111.23731343283582</v>
      </c>
    </row>
    <row r="26" spans="2:36" x14ac:dyDescent="0.15">
      <c r="B26" s="36">
        <v>16</v>
      </c>
      <c r="C26" s="36">
        <f t="shared" si="2"/>
        <v>167</v>
      </c>
      <c r="D26" s="36">
        <f t="shared" si="0"/>
        <v>1546</v>
      </c>
      <c r="E26" s="36">
        <f t="shared" si="3"/>
        <v>284</v>
      </c>
      <c r="F26" s="36">
        <f t="shared" si="1"/>
        <v>396</v>
      </c>
      <c r="G26" s="36">
        <f t="shared" si="29"/>
        <v>312</v>
      </c>
      <c r="H26" s="36">
        <f t="shared" si="5"/>
        <v>86</v>
      </c>
      <c r="I26" s="36">
        <f t="shared" si="6"/>
        <v>489</v>
      </c>
      <c r="J26" s="36">
        <f t="shared" si="7"/>
        <v>153</v>
      </c>
      <c r="K26" s="36">
        <f t="shared" si="8"/>
        <v>485</v>
      </c>
      <c r="L26" s="36">
        <f>ROUNDUP(金钱消耗!A23/K26,0)</f>
        <v>103</v>
      </c>
      <c r="M26" s="36">
        <f t="shared" si="9"/>
        <v>74</v>
      </c>
      <c r="O26" s="36">
        <v>16</v>
      </c>
      <c r="P26" s="36">
        <f t="shared" si="10"/>
        <v>7.1402685902018564E-2</v>
      </c>
      <c r="Q26" s="36">
        <f t="shared" si="11"/>
        <v>787</v>
      </c>
      <c r="R26" s="36">
        <f t="shared" si="12"/>
        <v>528</v>
      </c>
      <c r="S26" s="36">
        <f t="shared" si="13"/>
        <v>588</v>
      </c>
      <c r="T26" s="36">
        <f t="shared" si="14"/>
        <v>413</v>
      </c>
      <c r="U26" s="36">
        <f t="shared" si="15"/>
        <v>7490</v>
      </c>
      <c r="V26" s="36">
        <f t="shared" si="16"/>
        <v>3626</v>
      </c>
      <c r="W26" s="36">
        <f t="shared" si="17"/>
        <v>561</v>
      </c>
      <c r="X26" s="36">
        <f t="shared" si="18"/>
        <v>331</v>
      </c>
      <c r="Y26" s="36">
        <f t="shared" si="19"/>
        <v>278</v>
      </c>
      <c r="Z26" s="36">
        <f t="shared" si="20"/>
        <v>260</v>
      </c>
      <c r="AA26" s="36">
        <f t="shared" si="21"/>
        <v>582</v>
      </c>
      <c r="AB26" s="36">
        <f t="shared" si="22"/>
        <v>432</v>
      </c>
      <c r="AC26" s="36">
        <f t="shared" si="23"/>
        <v>290</v>
      </c>
      <c r="AD26" s="36">
        <f t="shared" si="24"/>
        <v>311</v>
      </c>
      <c r="AE26" s="36">
        <f t="shared" si="25"/>
        <v>881</v>
      </c>
      <c r="AF26" s="36">
        <f t="shared" si="26"/>
        <v>553</v>
      </c>
      <c r="AH26" s="36">
        <v>16</v>
      </c>
      <c r="AI26" s="36">
        <f t="shared" si="27"/>
        <v>523.55790363482674</v>
      </c>
      <c r="AJ26" s="36">
        <f t="shared" si="28"/>
        <v>115.71879483500717</v>
      </c>
    </row>
    <row r="27" spans="2:36" x14ac:dyDescent="0.15">
      <c r="B27" s="36">
        <v>17</v>
      </c>
      <c r="C27" s="36">
        <f t="shared" si="2"/>
        <v>180</v>
      </c>
      <c r="D27" s="36">
        <f t="shared" si="0"/>
        <v>1600</v>
      </c>
      <c r="E27" s="36">
        <f t="shared" si="3"/>
        <v>296</v>
      </c>
      <c r="F27" s="36">
        <f t="shared" si="1"/>
        <v>409</v>
      </c>
      <c r="G27" s="36">
        <f t="shared" si="29"/>
        <v>328</v>
      </c>
      <c r="H27" s="36">
        <f t="shared" si="5"/>
        <v>89</v>
      </c>
      <c r="I27" s="36">
        <f t="shared" si="6"/>
        <v>502</v>
      </c>
      <c r="J27" s="36">
        <f t="shared" si="7"/>
        <v>159</v>
      </c>
      <c r="K27" s="36">
        <f t="shared" si="8"/>
        <v>512</v>
      </c>
      <c r="L27" s="36">
        <f>ROUNDUP(金钱消耗!A24/K27,0)</f>
        <v>104</v>
      </c>
      <c r="M27" s="36">
        <f t="shared" si="9"/>
        <v>72</v>
      </c>
      <c r="O27" s="36">
        <v>17</v>
      </c>
      <c r="P27" s="36">
        <f t="shared" si="10"/>
        <v>7.7562108701680135E-2</v>
      </c>
      <c r="Q27" s="36">
        <f t="shared" si="11"/>
        <v>810</v>
      </c>
      <c r="R27" s="36">
        <f t="shared" si="12"/>
        <v>546</v>
      </c>
      <c r="S27" s="36">
        <f t="shared" si="13"/>
        <v>607</v>
      </c>
      <c r="T27" s="36">
        <f t="shared" si="14"/>
        <v>431</v>
      </c>
      <c r="U27" s="36">
        <f t="shared" si="15"/>
        <v>7723</v>
      </c>
      <c r="V27" s="36">
        <f t="shared" si="16"/>
        <v>3703</v>
      </c>
      <c r="W27" s="36">
        <f t="shared" si="17"/>
        <v>569</v>
      </c>
      <c r="X27" s="36">
        <f t="shared" si="18"/>
        <v>347</v>
      </c>
      <c r="Y27" s="36">
        <f t="shared" si="19"/>
        <v>282</v>
      </c>
      <c r="Z27" s="36">
        <f t="shared" si="20"/>
        <v>274</v>
      </c>
      <c r="AA27" s="36">
        <f t="shared" si="21"/>
        <v>591</v>
      </c>
      <c r="AB27" s="36">
        <f t="shared" si="22"/>
        <v>448</v>
      </c>
      <c r="AC27" s="36">
        <f t="shared" si="23"/>
        <v>293</v>
      </c>
      <c r="AD27" s="36">
        <f t="shared" si="24"/>
        <v>325</v>
      </c>
      <c r="AE27" s="36">
        <f t="shared" si="25"/>
        <v>896</v>
      </c>
      <c r="AF27" s="36">
        <f t="shared" si="26"/>
        <v>572</v>
      </c>
      <c r="AH27" s="36">
        <v>17</v>
      </c>
      <c r="AI27" s="36">
        <f t="shared" si="27"/>
        <v>538.228055783429</v>
      </c>
      <c r="AJ27" s="36">
        <f t="shared" si="28"/>
        <v>120.51719394773041</v>
      </c>
    </row>
    <row r="28" spans="2:36" x14ac:dyDescent="0.15">
      <c r="B28" s="36">
        <v>18</v>
      </c>
      <c r="C28" s="36">
        <f t="shared" si="2"/>
        <v>194</v>
      </c>
      <c r="D28" s="36">
        <f t="shared" si="0"/>
        <v>1660</v>
      </c>
      <c r="E28" s="36">
        <f t="shared" si="3"/>
        <v>308</v>
      </c>
      <c r="F28" s="36">
        <f t="shared" si="1"/>
        <v>424</v>
      </c>
      <c r="G28" s="36">
        <f t="shared" si="29"/>
        <v>346</v>
      </c>
      <c r="H28" s="36">
        <f t="shared" si="5"/>
        <v>91</v>
      </c>
      <c r="I28" s="36">
        <f t="shared" si="6"/>
        <v>516</v>
      </c>
      <c r="J28" s="36">
        <f t="shared" si="7"/>
        <v>165</v>
      </c>
      <c r="K28" s="36">
        <f t="shared" si="8"/>
        <v>539</v>
      </c>
      <c r="L28" s="36">
        <f>ROUNDUP(金钱消耗!A25/K28,0)</f>
        <v>123</v>
      </c>
      <c r="M28" s="36">
        <f t="shared" si="9"/>
        <v>71</v>
      </c>
      <c r="O28" s="36">
        <v>18</v>
      </c>
      <c r="P28" s="36">
        <f t="shared" si="10"/>
        <v>8.425286290359528E-2</v>
      </c>
      <c r="Q28" s="36">
        <f t="shared" si="11"/>
        <v>835</v>
      </c>
      <c r="R28" s="36">
        <f t="shared" si="12"/>
        <v>566</v>
      </c>
      <c r="S28" s="36">
        <f t="shared" si="13"/>
        <v>624</v>
      </c>
      <c r="T28" s="36">
        <f t="shared" si="14"/>
        <v>448</v>
      </c>
      <c r="U28" s="36">
        <f t="shared" si="15"/>
        <v>7959</v>
      </c>
      <c r="V28" s="36">
        <f t="shared" si="16"/>
        <v>3786</v>
      </c>
      <c r="W28" s="36">
        <f t="shared" si="17"/>
        <v>576</v>
      </c>
      <c r="X28" s="36">
        <f t="shared" si="18"/>
        <v>363</v>
      </c>
      <c r="Y28" s="36">
        <f t="shared" si="19"/>
        <v>286</v>
      </c>
      <c r="Z28" s="36">
        <f t="shared" si="20"/>
        <v>289</v>
      </c>
      <c r="AA28" s="36">
        <f t="shared" si="21"/>
        <v>600</v>
      </c>
      <c r="AB28" s="36">
        <f t="shared" si="22"/>
        <v>465</v>
      </c>
      <c r="AC28" s="36">
        <f t="shared" si="23"/>
        <v>299</v>
      </c>
      <c r="AD28" s="36">
        <f t="shared" si="24"/>
        <v>340</v>
      </c>
      <c r="AE28" s="36">
        <f t="shared" si="25"/>
        <v>912</v>
      </c>
      <c r="AF28" s="36">
        <f t="shared" si="26"/>
        <v>591</v>
      </c>
      <c r="AH28" s="36">
        <v>18</v>
      </c>
      <c r="AI28" s="36">
        <f t="shared" si="27"/>
        <v>553.79269261318507</v>
      </c>
      <c r="AJ28" s="36">
        <f t="shared" si="28"/>
        <v>125.48148148148148</v>
      </c>
    </row>
    <row r="29" spans="2:36" x14ac:dyDescent="0.15">
      <c r="B29" s="36">
        <v>19</v>
      </c>
      <c r="C29" s="36">
        <f t="shared" si="2"/>
        <v>208</v>
      </c>
      <c r="D29" s="36">
        <f t="shared" si="0"/>
        <v>1720</v>
      </c>
      <c r="E29" s="36">
        <f t="shared" si="3"/>
        <v>321</v>
      </c>
      <c r="F29" s="36">
        <f t="shared" si="1"/>
        <v>439</v>
      </c>
      <c r="G29" s="36">
        <f t="shared" si="29"/>
        <v>363</v>
      </c>
      <c r="H29" s="36">
        <f t="shared" si="5"/>
        <v>94</v>
      </c>
      <c r="I29" s="36">
        <f t="shared" si="6"/>
        <v>528</v>
      </c>
      <c r="J29" s="36">
        <f t="shared" si="7"/>
        <v>171</v>
      </c>
      <c r="K29" s="36">
        <f t="shared" si="8"/>
        <v>566</v>
      </c>
      <c r="L29" s="36">
        <f>ROUNDUP(金钱消耗!A26/K29,0)</f>
        <v>114</v>
      </c>
      <c r="M29" s="36">
        <f t="shared" si="9"/>
        <v>69</v>
      </c>
      <c r="O29" s="36">
        <v>19</v>
      </c>
      <c r="P29" s="36">
        <f t="shared" si="10"/>
        <v>9.1520782844552215E-2</v>
      </c>
      <c r="Q29" s="36">
        <f t="shared" si="11"/>
        <v>859</v>
      </c>
      <c r="R29" s="36">
        <f t="shared" si="12"/>
        <v>586</v>
      </c>
      <c r="S29" s="36">
        <f t="shared" si="13"/>
        <v>644</v>
      </c>
      <c r="T29" s="36">
        <f t="shared" si="14"/>
        <v>466</v>
      </c>
      <c r="U29" s="36">
        <f t="shared" si="15"/>
        <v>8198</v>
      </c>
      <c r="V29" s="36">
        <f t="shared" si="16"/>
        <v>3878</v>
      </c>
      <c r="W29" s="36">
        <f t="shared" si="17"/>
        <v>584</v>
      </c>
      <c r="X29" s="36">
        <f t="shared" si="18"/>
        <v>380</v>
      </c>
      <c r="Y29" s="36">
        <f t="shared" si="19"/>
        <v>291</v>
      </c>
      <c r="Z29" s="36">
        <f t="shared" si="20"/>
        <v>303</v>
      </c>
      <c r="AA29" s="36">
        <f t="shared" si="21"/>
        <v>611</v>
      </c>
      <c r="AB29" s="36">
        <f t="shared" si="22"/>
        <v>482</v>
      </c>
      <c r="AC29" s="36">
        <f t="shared" si="23"/>
        <v>303</v>
      </c>
      <c r="AD29" s="36">
        <f t="shared" si="24"/>
        <v>354</v>
      </c>
      <c r="AE29" s="36">
        <f t="shared" si="25"/>
        <v>930</v>
      </c>
      <c r="AF29" s="36">
        <f t="shared" si="26"/>
        <v>612</v>
      </c>
      <c r="AH29" s="36">
        <v>19</v>
      </c>
      <c r="AI29" s="36">
        <f t="shared" si="27"/>
        <v>568.47534668721107</v>
      </c>
      <c r="AJ29" s="36">
        <f t="shared" si="28"/>
        <v>130.92884371029226</v>
      </c>
    </row>
    <row r="30" spans="2:36" x14ac:dyDescent="0.15">
      <c r="B30" s="36">
        <v>20</v>
      </c>
      <c r="C30" s="36">
        <f t="shared" si="2"/>
        <v>223</v>
      </c>
      <c r="D30" s="36">
        <f t="shared" si="0"/>
        <v>1782</v>
      </c>
      <c r="E30" s="36">
        <f t="shared" si="3"/>
        <v>334</v>
      </c>
      <c r="F30" s="36">
        <f t="shared" si="1"/>
        <v>455</v>
      </c>
      <c r="G30" s="36">
        <f t="shared" si="29"/>
        <v>381</v>
      </c>
      <c r="H30" s="36">
        <f t="shared" si="5"/>
        <v>97</v>
      </c>
      <c r="I30" s="36">
        <f t="shared" si="6"/>
        <v>541</v>
      </c>
      <c r="J30" s="36">
        <f t="shared" si="7"/>
        <v>177</v>
      </c>
      <c r="K30" s="36">
        <f t="shared" si="8"/>
        <v>592</v>
      </c>
      <c r="L30" s="36">
        <f>ROUNDUP(金钱消耗!A27/K30,0)</f>
        <v>147</v>
      </c>
      <c r="M30" s="36">
        <f t="shared" si="9"/>
        <v>67</v>
      </c>
      <c r="O30" s="36">
        <v>20</v>
      </c>
      <c r="P30" s="36">
        <f t="shared" si="10"/>
        <v>9.9415656677017877E-2</v>
      </c>
      <c r="Q30" s="39">
        <f t="shared" si="11"/>
        <v>884</v>
      </c>
      <c r="R30" s="39">
        <f t="shared" si="12"/>
        <v>607</v>
      </c>
      <c r="S30" s="39">
        <f t="shared" si="13"/>
        <v>661</v>
      </c>
      <c r="T30" s="39">
        <f t="shared" si="14"/>
        <v>485</v>
      </c>
      <c r="U30" s="39">
        <f t="shared" si="15"/>
        <v>8438</v>
      </c>
      <c r="V30" s="39">
        <f t="shared" si="16"/>
        <v>3978</v>
      </c>
      <c r="W30" s="39">
        <f t="shared" si="17"/>
        <v>594</v>
      </c>
      <c r="X30" s="39">
        <f t="shared" si="18"/>
        <v>398</v>
      </c>
      <c r="Y30" s="39">
        <f t="shared" si="19"/>
        <v>295</v>
      </c>
      <c r="Z30" s="39">
        <f t="shared" si="20"/>
        <v>318</v>
      </c>
      <c r="AA30" s="39">
        <f t="shared" si="21"/>
        <v>620</v>
      </c>
      <c r="AB30" s="39">
        <f t="shared" si="22"/>
        <v>500</v>
      </c>
      <c r="AC30" s="39">
        <f t="shared" si="23"/>
        <v>308</v>
      </c>
      <c r="AD30" s="39">
        <f t="shared" si="24"/>
        <v>369</v>
      </c>
      <c r="AE30" s="39">
        <f t="shared" si="25"/>
        <v>947</v>
      </c>
      <c r="AF30" s="39">
        <f t="shared" si="26"/>
        <v>633</v>
      </c>
      <c r="AH30" s="36">
        <v>20</v>
      </c>
      <c r="AI30" s="36">
        <f t="shared" si="27"/>
        <v>583.61165048543694</v>
      </c>
      <c r="AJ30" s="36">
        <f t="shared" si="28"/>
        <v>136.21001221001222</v>
      </c>
    </row>
    <row r="31" spans="2:36" x14ac:dyDescent="0.15">
      <c r="B31" s="36">
        <v>21</v>
      </c>
      <c r="C31" s="36">
        <f t="shared" si="2"/>
        <v>238</v>
      </c>
      <c r="D31" s="36">
        <f t="shared" si="0"/>
        <v>1850</v>
      </c>
      <c r="E31" s="36">
        <f t="shared" si="3"/>
        <v>348</v>
      </c>
      <c r="F31" s="36">
        <f t="shared" si="1"/>
        <v>472</v>
      </c>
      <c r="G31" s="36">
        <f t="shared" si="29"/>
        <v>399</v>
      </c>
      <c r="H31" s="36">
        <f t="shared" si="5"/>
        <v>100</v>
      </c>
      <c r="I31" s="36">
        <f t="shared" si="6"/>
        <v>552</v>
      </c>
      <c r="J31" s="36">
        <f t="shared" si="7"/>
        <v>183</v>
      </c>
      <c r="K31" s="36">
        <f t="shared" si="8"/>
        <v>619</v>
      </c>
      <c r="L31" s="36">
        <f>ROUNDUP(金钱消耗!A28/K31,0)</f>
        <v>161</v>
      </c>
      <c r="M31" s="36">
        <f t="shared" si="9"/>
        <v>66</v>
      </c>
      <c r="O31" s="36">
        <v>21</v>
      </c>
      <c r="P31" s="36">
        <f t="shared" si="10"/>
        <v>0.1079915674378544</v>
      </c>
      <c r="Q31" s="36">
        <f t="shared" si="11"/>
        <v>908</v>
      </c>
      <c r="R31" s="36">
        <f t="shared" si="12"/>
        <v>630</v>
      </c>
      <c r="S31" s="36">
        <f t="shared" si="13"/>
        <v>679</v>
      </c>
      <c r="T31" s="36">
        <f t="shared" si="14"/>
        <v>505</v>
      </c>
      <c r="U31" s="36">
        <f t="shared" si="15"/>
        <v>8679</v>
      </c>
      <c r="V31" s="36">
        <f t="shared" si="16"/>
        <v>4089</v>
      </c>
      <c r="W31" s="36">
        <f t="shared" si="17"/>
        <v>600</v>
      </c>
      <c r="X31" s="36">
        <f t="shared" si="18"/>
        <v>415</v>
      </c>
      <c r="Y31" s="36">
        <f t="shared" si="19"/>
        <v>298</v>
      </c>
      <c r="Z31" s="36">
        <f t="shared" si="20"/>
        <v>333</v>
      </c>
      <c r="AA31" s="36">
        <f t="shared" si="21"/>
        <v>629</v>
      </c>
      <c r="AB31" s="36">
        <f t="shared" si="22"/>
        <v>518</v>
      </c>
      <c r="AC31" s="36">
        <f t="shared" si="23"/>
        <v>314</v>
      </c>
      <c r="AD31" s="36">
        <f t="shared" si="24"/>
        <v>384</v>
      </c>
      <c r="AE31" s="36">
        <f t="shared" si="25"/>
        <v>964</v>
      </c>
      <c r="AF31" s="36">
        <f t="shared" si="26"/>
        <v>655</v>
      </c>
      <c r="AH31" s="36">
        <v>21</v>
      </c>
      <c r="AI31" s="36">
        <f t="shared" si="27"/>
        <v>597.43768115942032</v>
      </c>
      <c r="AJ31" s="36">
        <f t="shared" si="28"/>
        <v>141.97420867526378</v>
      </c>
    </row>
    <row r="32" spans="2:36" x14ac:dyDescent="0.15">
      <c r="B32" s="36">
        <v>22</v>
      </c>
      <c r="C32" s="36">
        <f t="shared" si="2"/>
        <v>254</v>
      </c>
      <c r="D32" s="36">
        <f t="shared" si="0"/>
        <v>1919</v>
      </c>
      <c r="E32" s="36">
        <f t="shared" si="3"/>
        <v>362</v>
      </c>
      <c r="F32" s="36">
        <f t="shared" si="1"/>
        <v>489</v>
      </c>
      <c r="G32" s="36">
        <f t="shared" si="29"/>
        <v>417</v>
      </c>
      <c r="H32" s="36">
        <f t="shared" si="5"/>
        <v>102</v>
      </c>
      <c r="I32" s="36">
        <f t="shared" si="6"/>
        <v>565</v>
      </c>
      <c r="J32" s="36">
        <f t="shared" si="7"/>
        <v>189</v>
      </c>
      <c r="K32" s="36">
        <f t="shared" si="8"/>
        <v>646</v>
      </c>
      <c r="L32" s="36">
        <f>ROUNDUP(金钱消耗!A29/K32,0)</f>
        <v>167</v>
      </c>
      <c r="M32" s="36">
        <f t="shared" si="9"/>
        <v>64</v>
      </c>
      <c r="O32" s="36">
        <v>22</v>
      </c>
      <c r="P32" s="36">
        <f t="shared" si="10"/>
        <v>0.11730726353870803</v>
      </c>
      <c r="Q32" s="36">
        <f t="shared" si="11"/>
        <v>931</v>
      </c>
      <c r="R32" s="36">
        <f t="shared" si="12"/>
        <v>653</v>
      </c>
      <c r="S32" s="36">
        <f t="shared" si="13"/>
        <v>698</v>
      </c>
      <c r="T32" s="36">
        <f t="shared" si="14"/>
        <v>525</v>
      </c>
      <c r="U32" s="36">
        <f t="shared" si="15"/>
        <v>8923</v>
      </c>
      <c r="V32" s="36">
        <f t="shared" si="16"/>
        <v>4210</v>
      </c>
      <c r="W32" s="36">
        <f t="shared" si="17"/>
        <v>609</v>
      </c>
      <c r="X32" s="36">
        <f t="shared" si="18"/>
        <v>434</v>
      </c>
      <c r="Y32" s="36">
        <f t="shared" si="19"/>
        <v>302</v>
      </c>
      <c r="Z32" s="36">
        <f t="shared" si="20"/>
        <v>348</v>
      </c>
      <c r="AA32" s="36">
        <f t="shared" si="21"/>
        <v>638</v>
      </c>
      <c r="AB32" s="36">
        <f t="shared" si="22"/>
        <v>537</v>
      </c>
      <c r="AC32" s="36">
        <f t="shared" si="23"/>
        <v>318</v>
      </c>
      <c r="AD32" s="36">
        <f t="shared" si="24"/>
        <v>400</v>
      </c>
      <c r="AE32" s="36">
        <f t="shared" si="25"/>
        <v>982</v>
      </c>
      <c r="AF32" s="36">
        <f t="shared" si="26"/>
        <v>678</v>
      </c>
      <c r="AH32" s="36">
        <v>22</v>
      </c>
      <c r="AI32" s="36">
        <f t="shared" si="27"/>
        <v>610.39507042253524</v>
      </c>
      <c r="AJ32" s="36">
        <f t="shared" si="28"/>
        <v>147.73844419391207</v>
      </c>
    </row>
    <row r="33" spans="2:36" x14ac:dyDescent="0.15">
      <c r="B33" s="36">
        <v>23</v>
      </c>
      <c r="C33" s="36">
        <f t="shared" si="2"/>
        <v>270</v>
      </c>
      <c r="D33" s="36">
        <f t="shared" si="0"/>
        <v>1990</v>
      </c>
      <c r="E33" s="36">
        <f t="shared" si="3"/>
        <v>377</v>
      </c>
      <c r="F33" s="36">
        <f t="shared" si="1"/>
        <v>507</v>
      </c>
      <c r="G33" s="36">
        <f t="shared" si="29"/>
        <v>436</v>
      </c>
      <c r="H33" s="36">
        <f t="shared" si="5"/>
        <v>105</v>
      </c>
      <c r="I33" s="36">
        <f t="shared" si="6"/>
        <v>576</v>
      </c>
      <c r="J33" s="36">
        <f t="shared" si="7"/>
        <v>196</v>
      </c>
      <c r="K33" s="36">
        <f t="shared" si="8"/>
        <v>672</v>
      </c>
      <c r="L33" s="36">
        <f>ROUNDUP(金钱消耗!A30/K33,0)</f>
        <v>181</v>
      </c>
      <c r="M33" s="36">
        <f t="shared" si="9"/>
        <v>62</v>
      </c>
      <c r="O33" s="36">
        <v>23</v>
      </c>
      <c r="P33" s="36">
        <f t="shared" si="10"/>
        <v>0.1274265612160774</v>
      </c>
      <c r="Q33" s="36">
        <f t="shared" si="11"/>
        <v>955</v>
      </c>
      <c r="R33" s="36">
        <f t="shared" si="12"/>
        <v>677</v>
      </c>
      <c r="S33" s="36">
        <f t="shared" si="13"/>
        <v>715</v>
      </c>
      <c r="T33" s="36">
        <f t="shared" si="14"/>
        <v>547</v>
      </c>
      <c r="U33" s="36">
        <f t="shared" si="15"/>
        <v>9169</v>
      </c>
      <c r="V33" s="36">
        <f t="shared" si="16"/>
        <v>4344</v>
      </c>
      <c r="W33" s="36">
        <f t="shared" si="17"/>
        <v>616</v>
      </c>
      <c r="X33" s="36">
        <f t="shared" si="18"/>
        <v>453</v>
      </c>
      <c r="Y33" s="36">
        <f t="shared" si="19"/>
        <v>307</v>
      </c>
      <c r="Z33" s="36">
        <f t="shared" si="20"/>
        <v>364</v>
      </c>
      <c r="AA33" s="36">
        <f t="shared" si="21"/>
        <v>648</v>
      </c>
      <c r="AB33" s="36">
        <f t="shared" si="22"/>
        <v>557</v>
      </c>
      <c r="AC33" s="36">
        <f t="shared" si="23"/>
        <v>323</v>
      </c>
      <c r="AD33" s="36">
        <f t="shared" si="24"/>
        <v>416</v>
      </c>
      <c r="AE33" s="36">
        <f t="shared" si="25"/>
        <v>998</v>
      </c>
      <c r="AF33" s="36">
        <f t="shared" si="26"/>
        <v>702</v>
      </c>
      <c r="AH33" s="36">
        <v>23</v>
      </c>
      <c r="AI33" s="36">
        <f t="shared" si="27"/>
        <v>623.82010943912451</v>
      </c>
      <c r="AJ33" s="36">
        <f t="shared" si="28"/>
        <v>153.81926406926408</v>
      </c>
    </row>
    <row r="34" spans="2:36" x14ac:dyDescent="0.15">
      <c r="B34" s="36">
        <v>24</v>
      </c>
      <c r="C34" s="36">
        <f t="shared" si="2"/>
        <v>287</v>
      </c>
      <c r="D34" s="36">
        <f t="shared" si="0"/>
        <v>2066</v>
      </c>
      <c r="E34" s="36">
        <f t="shared" si="3"/>
        <v>393</v>
      </c>
      <c r="F34" s="36">
        <f t="shared" si="1"/>
        <v>527</v>
      </c>
      <c r="G34" s="36">
        <f t="shared" si="29"/>
        <v>456</v>
      </c>
      <c r="H34" s="36">
        <f t="shared" si="5"/>
        <v>108</v>
      </c>
      <c r="I34" s="36">
        <f t="shared" si="6"/>
        <v>587</v>
      </c>
      <c r="J34" s="36">
        <f t="shared" si="7"/>
        <v>203</v>
      </c>
      <c r="K34" s="36">
        <f t="shared" si="8"/>
        <v>698</v>
      </c>
      <c r="L34" s="36">
        <f>ROUNDUP(金钱消耗!A31/K34,0)</f>
        <v>188</v>
      </c>
      <c r="M34" s="36">
        <f t="shared" si="9"/>
        <v>60</v>
      </c>
      <c r="O34" s="36">
        <v>24</v>
      </c>
      <c r="P34" s="36">
        <f t="shared" si="10"/>
        <v>0.13841878169800453</v>
      </c>
      <c r="Q34" s="36">
        <f t="shared" si="11"/>
        <v>980</v>
      </c>
      <c r="R34" s="36">
        <f t="shared" si="12"/>
        <v>703</v>
      </c>
      <c r="S34" s="36">
        <f t="shared" si="13"/>
        <v>734</v>
      </c>
      <c r="T34" s="36">
        <f t="shared" si="14"/>
        <v>569</v>
      </c>
      <c r="U34" s="36">
        <f t="shared" si="15"/>
        <v>9417</v>
      </c>
      <c r="V34" s="36">
        <f t="shared" si="16"/>
        <v>4491</v>
      </c>
      <c r="W34" s="36">
        <f t="shared" si="17"/>
        <v>625</v>
      </c>
      <c r="X34" s="36">
        <f t="shared" si="18"/>
        <v>473</v>
      </c>
      <c r="Y34" s="36">
        <f t="shared" si="19"/>
        <v>311</v>
      </c>
      <c r="Z34" s="36">
        <f t="shared" si="20"/>
        <v>380</v>
      </c>
      <c r="AA34" s="36">
        <f t="shared" si="21"/>
        <v>657</v>
      </c>
      <c r="AB34" s="36">
        <f t="shared" si="22"/>
        <v>577</v>
      </c>
      <c r="AC34" s="36">
        <f t="shared" si="23"/>
        <v>327</v>
      </c>
      <c r="AD34" s="36">
        <f t="shared" si="24"/>
        <v>432</v>
      </c>
      <c r="AE34" s="36">
        <f t="shared" si="25"/>
        <v>1016</v>
      </c>
      <c r="AF34" s="36">
        <f t="shared" si="26"/>
        <v>727</v>
      </c>
      <c r="AH34" s="36">
        <v>24</v>
      </c>
      <c r="AI34" s="36">
        <f t="shared" si="27"/>
        <v>637.29263437292639</v>
      </c>
      <c r="AJ34" s="36">
        <f t="shared" si="28"/>
        <v>160.54989604989606</v>
      </c>
    </row>
    <row r="35" spans="2:36" x14ac:dyDescent="0.15">
      <c r="B35" s="36">
        <v>25</v>
      </c>
      <c r="C35" s="36">
        <f t="shared" si="2"/>
        <v>304</v>
      </c>
      <c r="D35" s="36">
        <f t="shared" si="0"/>
        <v>2146</v>
      </c>
      <c r="E35" s="36">
        <f t="shared" si="3"/>
        <v>409</v>
      </c>
      <c r="F35" s="36">
        <f t="shared" si="1"/>
        <v>547</v>
      </c>
      <c r="G35" s="36">
        <f t="shared" si="29"/>
        <v>475</v>
      </c>
      <c r="H35" s="36">
        <f t="shared" si="5"/>
        <v>111</v>
      </c>
      <c r="I35" s="36">
        <f t="shared" si="6"/>
        <v>598</v>
      </c>
      <c r="J35" s="36">
        <f t="shared" si="7"/>
        <v>210</v>
      </c>
      <c r="K35" s="36">
        <f t="shared" si="8"/>
        <v>724</v>
      </c>
      <c r="L35" s="36">
        <f>ROUNDUP(金钱消耗!A32/K35,0)</f>
        <v>204</v>
      </c>
      <c r="M35" s="36">
        <f t="shared" si="9"/>
        <v>59</v>
      </c>
      <c r="O35" s="36">
        <v>25</v>
      </c>
      <c r="P35" s="36">
        <f t="shared" si="10"/>
        <v>0.15035922608215568</v>
      </c>
      <c r="Q35" s="39">
        <f t="shared" si="11"/>
        <v>1004</v>
      </c>
      <c r="R35" s="39">
        <f t="shared" si="12"/>
        <v>730</v>
      </c>
      <c r="S35" s="39">
        <f t="shared" si="13"/>
        <v>752</v>
      </c>
      <c r="T35" s="39">
        <f t="shared" si="14"/>
        <v>593</v>
      </c>
      <c r="U35" s="39">
        <f t="shared" si="15"/>
        <v>9667</v>
      </c>
      <c r="V35" s="39">
        <f t="shared" si="16"/>
        <v>4653</v>
      </c>
      <c r="W35" s="39">
        <f t="shared" si="17"/>
        <v>633</v>
      </c>
      <c r="X35" s="39">
        <f t="shared" si="18"/>
        <v>494</v>
      </c>
      <c r="Y35" s="39">
        <f t="shared" si="19"/>
        <v>315</v>
      </c>
      <c r="Z35" s="39">
        <f t="shared" si="20"/>
        <v>396</v>
      </c>
      <c r="AA35" s="39">
        <f t="shared" si="21"/>
        <v>666</v>
      </c>
      <c r="AB35" s="39">
        <f t="shared" si="22"/>
        <v>599</v>
      </c>
      <c r="AC35" s="39">
        <f t="shared" si="23"/>
        <v>333</v>
      </c>
      <c r="AD35" s="39">
        <f t="shared" si="24"/>
        <v>449</v>
      </c>
      <c r="AE35" s="39">
        <f t="shared" si="25"/>
        <v>1034</v>
      </c>
      <c r="AF35" s="39">
        <f t="shared" si="26"/>
        <v>754</v>
      </c>
      <c r="AH35" s="36">
        <v>25</v>
      </c>
      <c r="AI35" s="36">
        <f t="shared" si="27"/>
        <v>649.91360412637005</v>
      </c>
      <c r="AJ35" s="36">
        <f t="shared" si="28"/>
        <v>166.94710578842316</v>
      </c>
    </row>
    <row r="36" spans="2:36" x14ac:dyDescent="0.15">
      <c r="B36" s="36">
        <v>26</v>
      </c>
      <c r="C36" s="36">
        <f t="shared" si="2"/>
        <v>322</v>
      </c>
      <c r="D36" s="36">
        <f t="shared" si="0"/>
        <v>2233</v>
      </c>
      <c r="E36" s="36">
        <f t="shared" si="3"/>
        <v>426</v>
      </c>
      <c r="F36" s="36">
        <f t="shared" si="1"/>
        <v>570</v>
      </c>
      <c r="G36" s="36">
        <f t="shared" si="29"/>
        <v>494</v>
      </c>
      <c r="H36" s="36">
        <f t="shared" si="5"/>
        <v>114</v>
      </c>
      <c r="I36" s="36">
        <f t="shared" si="6"/>
        <v>607</v>
      </c>
      <c r="J36" s="36">
        <f t="shared" si="7"/>
        <v>218</v>
      </c>
      <c r="K36" s="36">
        <f t="shared" si="8"/>
        <v>750</v>
      </c>
      <c r="L36" s="36">
        <f>ROUNDUP(金钱消耗!A33/K36,0)</f>
        <v>208</v>
      </c>
      <c r="M36" s="36">
        <f t="shared" si="9"/>
        <v>57</v>
      </c>
      <c r="O36" s="36">
        <v>26</v>
      </c>
      <c r="P36" s="36">
        <f t="shared" si="10"/>
        <v>0.16332969117839535</v>
      </c>
      <c r="Q36" s="36">
        <f t="shared" si="11"/>
        <v>1029</v>
      </c>
      <c r="R36" s="36">
        <f t="shared" si="12"/>
        <v>760</v>
      </c>
      <c r="S36" s="36">
        <f t="shared" si="13"/>
        <v>770</v>
      </c>
      <c r="T36" s="36">
        <f t="shared" si="14"/>
        <v>617</v>
      </c>
      <c r="U36" s="36">
        <f t="shared" si="15"/>
        <v>9919</v>
      </c>
      <c r="V36" s="36">
        <f t="shared" si="16"/>
        <v>4832</v>
      </c>
      <c r="W36" s="36">
        <f t="shared" si="17"/>
        <v>641</v>
      </c>
      <c r="X36" s="36">
        <f t="shared" si="18"/>
        <v>515</v>
      </c>
      <c r="Y36" s="36">
        <f t="shared" si="19"/>
        <v>318</v>
      </c>
      <c r="Z36" s="36">
        <f t="shared" si="20"/>
        <v>412</v>
      </c>
      <c r="AA36" s="36">
        <f t="shared" si="21"/>
        <v>677</v>
      </c>
      <c r="AB36" s="36">
        <f t="shared" si="22"/>
        <v>621</v>
      </c>
      <c r="AC36" s="36">
        <f t="shared" si="23"/>
        <v>336</v>
      </c>
      <c r="AD36" s="36">
        <f t="shared" si="24"/>
        <v>465</v>
      </c>
      <c r="AE36" s="36">
        <f t="shared" si="25"/>
        <v>1052</v>
      </c>
      <c r="AF36" s="36">
        <f t="shared" si="26"/>
        <v>782</v>
      </c>
      <c r="AH36" s="36">
        <v>26</v>
      </c>
      <c r="AI36" s="36">
        <f t="shared" si="27"/>
        <v>662.18949343339591</v>
      </c>
      <c r="AJ36" s="36">
        <f t="shared" si="28"/>
        <v>173.99424736337488</v>
      </c>
    </row>
    <row r="37" spans="2:36" x14ac:dyDescent="0.15">
      <c r="B37" s="36">
        <v>27</v>
      </c>
      <c r="C37" s="36">
        <f t="shared" si="2"/>
        <v>340</v>
      </c>
      <c r="D37" s="36">
        <f t="shared" si="0"/>
        <v>2322</v>
      </c>
      <c r="E37" s="36">
        <f t="shared" si="3"/>
        <v>444</v>
      </c>
      <c r="F37" s="36">
        <f t="shared" si="1"/>
        <v>592</v>
      </c>
      <c r="G37" s="36">
        <f t="shared" si="29"/>
        <v>516</v>
      </c>
      <c r="H37" s="36">
        <f t="shared" si="5"/>
        <v>118</v>
      </c>
      <c r="I37" s="36">
        <f t="shared" si="6"/>
        <v>618</v>
      </c>
      <c r="J37" s="36">
        <f t="shared" si="7"/>
        <v>226</v>
      </c>
      <c r="K37" s="36">
        <f t="shared" si="8"/>
        <v>776</v>
      </c>
      <c r="L37" s="36">
        <f>ROUNDUP(金钱消耗!A34/K37,0)</f>
        <v>232</v>
      </c>
      <c r="M37" s="36">
        <f t="shared" si="9"/>
        <v>55</v>
      </c>
      <c r="O37" s="36">
        <v>27</v>
      </c>
      <c r="P37" s="36">
        <f t="shared" si="10"/>
        <v>0.17741902984958194</v>
      </c>
      <c r="Q37" s="36">
        <f t="shared" si="11"/>
        <v>1053</v>
      </c>
      <c r="R37" s="36">
        <f t="shared" si="12"/>
        <v>790</v>
      </c>
      <c r="S37" s="36">
        <f t="shared" si="13"/>
        <v>788</v>
      </c>
      <c r="T37" s="36">
        <f t="shared" si="14"/>
        <v>643</v>
      </c>
      <c r="U37" s="36">
        <f t="shared" si="15"/>
        <v>10173</v>
      </c>
      <c r="V37" s="36">
        <f t="shared" si="16"/>
        <v>5028</v>
      </c>
      <c r="W37" s="36">
        <f t="shared" si="17"/>
        <v>649</v>
      </c>
      <c r="X37" s="36">
        <f t="shared" si="18"/>
        <v>538</v>
      </c>
      <c r="Y37" s="36">
        <f t="shared" si="19"/>
        <v>323</v>
      </c>
      <c r="Z37" s="36">
        <f t="shared" si="20"/>
        <v>430</v>
      </c>
      <c r="AA37" s="36">
        <f t="shared" si="21"/>
        <v>686</v>
      </c>
      <c r="AB37" s="36">
        <f t="shared" si="22"/>
        <v>644</v>
      </c>
      <c r="AC37" s="36">
        <f t="shared" si="23"/>
        <v>341</v>
      </c>
      <c r="AD37" s="36">
        <f t="shared" si="24"/>
        <v>483</v>
      </c>
      <c r="AE37" s="36">
        <f t="shared" si="25"/>
        <v>1070</v>
      </c>
      <c r="AF37" s="36">
        <f t="shared" si="26"/>
        <v>812</v>
      </c>
      <c r="AH37" s="36">
        <v>27</v>
      </c>
      <c r="AI37" s="36">
        <f t="shared" si="27"/>
        <v>674.04802431610938</v>
      </c>
      <c r="AJ37" s="36">
        <f t="shared" si="28"/>
        <v>181.35786568537259</v>
      </c>
    </row>
    <row r="38" spans="2:36" x14ac:dyDescent="0.15">
      <c r="B38" s="36">
        <v>28</v>
      </c>
      <c r="C38" s="36">
        <f t="shared" si="2"/>
        <v>359</v>
      </c>
      <c r="D38" s="36">
        <f t="shared" si="0"/>
        <v>2419</v>
      </c>
      <c r="E38" s="36">
        <f t="shared" si="3"/>
        <v>463</v>
      </c>
      <c r="F38" s="36">
        <f t="shared" si="1"/>
        <v>617</v>
      </c>
      <c r="G38" s="36">
        <f t="shared" si="29"/>
        <v>537</v>
      </c>
      <c r="H38" s="36">
        <f t="shared" si="5"/>
        <v>121</v>
      </c>
      <c r="I38" s="36">
        <f t="shared" si="6"/>
        <v>627</v>
      </c>
      <c r="J38" s="36">
        <f t="shared" si="7"/>
        <v>234</v>
      </c>
      <c r="K38" s="36">
        <f t="shared" si="8"/>
        <v>802</v>
      </c>
      <c r="L38" s="36">
        <f>ROUNDUP(金钱消耗!A35/K38,0)</f>
        <v>244</v>
      </c>
      <c r="M38" s="36">
        <f t="shared" si="9"/>
        <v>54</v>
      </c>
      <c r="O38" s="36">
        <v>28</v>
      </c>
      <c r="P38" s="36">
        <f t="shared" si="10"/>
        <v>0.19272375968914188</v>
      </c>
      <c r="Q38" s="36">
        <f t="shared" si="11"/>
        <v>1077</v>
      </c>
      <c r="R38" s="36">
        <f t="shared" si="12"/>
        <v>823</v>
      </c>
      <c r="S38" s="36">
        <f t="shared" si="13"/>
        <v>806</v>
      </c>
      <c r="T38" s="36">
        <f t="shared" si="14"/>
        <v>671</v>
      </c>
      <c r="U38" s="36">
        <f t="shared" si="15"/>
        <v>10429</v>
      </c>
      <c r="V38" s="36">
        <f t="shared" si="16"/>
        <v>5245</v>
      </c>
      <c r="W38" s="36">
        <f t="shared" si="17"/>
        <v>657</v>
      </c>
      <c r="X38" s="36">
        <f t="shared" si="18"/>
        <v>561</v>
      </c>
      <c r="Y38" s="36">
        <f t="shared" si="19"/>
        <v>327</v>
      </c>
      <c r="Z38" s="36">
        <f t="shared" si="20"/>
        <v>448</v>
      </c>
      <c r="AA38" s="36">
        <f t="shared" si="21"/>
        <v>696</v>
      </c>
      <c r="AB38" s="36">
        <f t="shared" si="22"/>
        <v>669</v>
      </c>
      <c r="AC38" s="36">
        <f t="shared" si="23"/>
        <v>347</v>
      </c>
      <c r="AD38" s="36">
        <f t="shared" si="24"/>
        <v>501</v>
      </c>
      <c r="AE38" s="36">
        <f t="shared" si="25"/>
        <v>1088</v>
      </c>
      <c r="AF38" s="36">
        <f t="shared" si="26"/>
        <v>844</v>
      </c>
      <c r="AH38" s="36">
        <v>28</v>
      </c>
      <c r="AI38" s="36">
        <f t="shared" si="27"/>
        <v>684.72786304604483</v>
      </c>
      <c r="AJ38" s="36">
        <f t="shared" si="28"/>
        <v>189.0379188712522</v>
      </c>
    </row>
    <row r="39" spans="2:36" x14ac:dyDescent="0.15">
      <c r="B39" s="36">
        <v>29</v>
      </c>
      <c r="C39" s="36">
        <f t="shared" si="2"/>
        <v>379</v>
      </c>
      <c r="D39" s="36">
        <f t="shared" si="0"/>
        <v>2522</v>
      </c>
      <c r="E39" s="36">
        <f t="shared" si="3"/>
        <v>483</v>
      </c>
      <c r="F39" s="36">
        <f t="shared" si="1"/>
        <v>643</v>
      </c>
      <c r="G39" s="36">
        <f t="shared" si="29"/>
        <v>559</v>
      </c>
      <c r="H39" s="36">
        <f t="shared" si="5"/>
        <v>125</v>
      </c>
      <c r="I39" s="36">
        <f t="shared" si="6"/>
        <v>637</v>
      </c>
      <c r="J39" s="36">
        <f t="shared" si="7"/>
        <v>243</v>
      </c>
      <c r="K39" s="36">
        <f t="shared" si="8"/>
        <v>828</v>
      </c>
      <c r="L39" s="36">
        <f>ROUNDUP(金钱消耗!A36/K39,0)</f>
        <v>262</v>
      </c>
      <c r="M39" s="36">
        <f t="shared" si="9"/>
        <v>52</v>
      </c>
      <c r="O39" s="36">
        <v>29</v>
      </c>
      <c r="P39" s="36">
        <f t="shared" si="10"/>
        <v>0.209348724205109</v>
      </c>
      <c r="Q39" s="36">
        <f t="shared" si="11"/>
        <v>1101</v>
      </c>
      <c r="R39" s="36">
        <f t="shared" si="12"/>
        <v>858</v>
      </c>
      <c r="S39" s="36">
        <f t="shared" si="13"/>
        <v>825</v>
      </c>
      <c r="T39" s="36">
        <f t="shared" si="14"/>
        <v>700</v>
      </c>
      <c r="U39" s="36">
        <f t="shared" si="15"/>
        <v>10686</v>
      </c>
      <c r="V39" s="36">
        <f t="shared" si="16"/>
        <v>5485</v>
      </c>
      <c r="W39" s="36">
        <f t="shared" si="17"/>
        <v>665</v>
      </c>
      <c r="X39" s="36">
        <f t="shared" si="18"/>
        <v>586</v>
      </c>
      <c r="Y39" s="36">
        <f t="shared" si="19"/>
        <v>331</v>
      </c>
      <c r="Z39" s="36">
        <f t="shared" si="20"/>
        <v>466</v>
      </c>
      <c r="AA39" s="36">
        <f t="shared" si="21"/>
        <v>704</v>
      </c>
      <c r="AB39" s="36">
        <f t="shared" si="22"/>
        <v>694</v>
      </c>
      <c r="AC39" s="36">
        <f t="shared" si="23"/>
        <v>351</v>
      </c>
      <c r="AD39" s="36">
        <f t="shared" si="24"/>
        <v>520</v>
      </c>
      <c r="AE39" s="36">
        <f t="shared" si="25"/>
        <v>1108</v>
      </c>
      <c r="AF39" s="36">
        <f t="shared" si="26"/>
        <v>878</v>
      </c>
      <c r="AH39" s="36">
        <v>29</v>
      </c>
      <c r="AI39" s="36">
        <f t="shared" si="27"/>
        <v>695.06938073394497</v>
      </c>
      <c r="AJ39" s="36">
        <f t="shared" si="28"/>
        <v>197.20118343195267</v>
      </c>
    </row>
    <row r="40" spans="2:36" x14ac:dyDescent="0.15">
      <c r="B40" s="36">
        <v>30</v>
      </c>
      <c r="C40" s="36">
        <f t="shared" si="2"/>
        <v>399</v>
      </c>
      <c r="D40" s="36">
        <f t="shared" si="0"/>
        <v>2632</v>
      </c>
      <c r="E40" s="36">
        <f t="shared" si="3"/>
        <v>504</v>
      </c>
      <c r="F40" s="36">
        <f t="shared" si="1"/>
        <v>672</v>
      </c>
      <c r="G40" s="36">
        <f t="shared" si="29"/>
        <v>582</v>
      </c>
      <c r="H40" s="36">
        <f t="shared" si="5"/>
        <v>128</v>
      </c>
      <c r="I40" s="36">
        <f t="shared" si="6"/>
        <v>646</v>
      </c>
      <c r="J40" s="36">
        <f t="shared" si="7"/>
        <v>252</v>
      </c>
      <c r="K40" s="36">
        <f t="shared" si="8"/>
        <v>854</v>
      </c>
      <c r="L40" s="36">
        <f>ROUNDUP(金钱消耗!A37/K40,0)</f>
        <v>284</v>
      </c>
      <c r="M40" s="36">
        <f t="shared" si="9"/>
        <v>50</v>
      </c>
      <c r="O40" s="36">
        <v>30</v>
      </c>
      <c r="P40" s="36">
        <f t="shared" si="10"/>
        <v>0.22740781104000007</v>
      </c>
      <c r="Q40" s="39">
        <f t="shared" si="11"/>
        <v>1126</v>
      </c>
      <c r="R40" s="39">
        <f t="shared" si="12"/>
        <v>896</v>
      </c>
      <c r="S40" s="39">
        <f t="shared" si="13"/>
        <v>843</v>
      </c>
      <c r="T40" s="39">
        <f t="shared" si="14"/>
        <v>731</v>
      </c>
      <c r="U40" s="39">
        <f t="shared" si="15"/>
        <v>10946</v>
      </c>
      <c r="V40" s="39">
        <f t="shared" si="16"/>
        <v>5749</v>
      </c>
      <c r="W40" s="39">
        <f t="shared" si="17"/>
        <v>674</v>
      </c>
      <c r="X40" s="39">
        <f t="shared" si="18"/>
        <v>612</v>
      </c>
      <c r="Y40" s="39">
        <f t="shared" si="19"/>
        <v>335</v>
      </c>
      <c r="Z40" s="39">
        <f t="shared" si="20"/>
        <v>485</v>
      </c>
      <c r="AA40" s="39">
        <f t="shared" si="21"/>
        <v>714</v>
      </c>
      <c r="AB40" s="39">
        <f t="shared" si="22"/>
        <v>721</v>
      </c>
      <c r="AC40" s="39">
        <f t="shared" si="23"/>
        <v>356</v>
      </c>
      <c r="AD40" s="39">
        <f t="shared" si="24"/>
        <v>539</v>
      </c>
      <c r="AE40" s="39">
        <f t="shared" si="25"/>
        <v>1127</v>
      </c>
      <c r="AF40" s="39">
        <f t="shared" si="26"/>
        <v>915</v>
      </c>
      <c r="AH40" s="36">
        <v>30</v>
      </c>
      <c r="AI40" s="36">
        <f t="shared" si="27"/>
        <v>705.15906562847613</v>
      </c>
      <c r="AJ40" s="36">
        <f t="shared" si="28"/>
        <v>205.68097165991904</v>
      </c>
    </row>
    <row r="41" spans="2:36" x14ac:dyDescent="0.15">
      <c r="B41" s="36">
        <v>31</v>
      </c>
      <c r="C41" s="36">
        <f t="shared" si="2"/>
        <v>419</v>
      </c>
      <c r="D41" s="36">
        <f t="shared" si="0"/>
        <v>2749</v>
      </c>
      <c r="E41" s="36">
        <f t="shared" si="3"/>
        <v>527</v>
      </c>
      <c r="F41" s="36">
        <f t="shared" si="1"/>
        <v>702</v>
      </c>
      <c r="G41" s="36">
        <f t="shared" si="29"/>
        <v>604</v>
      </c>
      <c r="H41" s="36">
        <f t="shared" si="5"/>
        <v>132</v>
      </c>
      <c r="I41" s="36">
        <f t="shared" si="6"/>
        <v>655</v>
      </c>
      <c r="J41" s="36">
        <f t="shared" si="7"/>
        <v>261</v>
      </c>
      <c r="K41" s="36">
        <f t="shared" si="8"/>
        <v>879</v>
      </c>
      <c r="L41" s="36">
        <f>ROUNDUP(金钱消耗!A38/K41,0)</f>
        <v>303</v>
      </c>
      <c r="M41" s="36">
        <f t="shared" si="9"/>
        <v>49</v>
      </c>
      <c r="O41" s="36">
        <v>31</v>
      </c>
      <c r="P41" s="36">
        <f t="shared" si="10"/>
        <v>0.24702473214662354</v>
      </c>
      <c r="Q41" s="36">
        <f t="shared" si="11"/>
        <v>1150</v>
      </c>
      <c r="R41" s="36">
        <f t="shared" si="12"/>
        <v>936</v>
      </c>
      <c r="S41" s="36">
        <f t="shared" si="13"/>
        <v>861</v>
      </c>
      <c r="T41" s="36">
        <f t="shared" si="14"/>
        <v>764</v>
      </c>
      <c r="U41" s="36">
        <f t="shared" si="15"/>
        <v>11209</v>
      </c>
      <c r="V41" s="36">
        <f t="shared" si="16"/>
        <v>6040</v>
      </c>
      <c r="W41" s="36">
        <f t="shared" si="17"/>
        <v>681</v>
      </c>
      <c r="X41" s="36">
        <f t="shared" si="18"/>
        <v>639</v>
      </c>
      <c r="Y41" s="36">
        <f t="shared" si="19"/>
        <v>339</v>
      </c>
      <c r="Z41" s="36">
        <f t="shared" si="20"/>
        <v>504</v>
      </c>
      <c r="AA41" s="36">
        <f t="shared" si="21"/>
        <v>723</v>
      </c>
      <c r="AB41" s="36">
        <f t="shared" si="22"/>
        <v>749</v>
      </c>
      <c r="AC41" s="36">
        <f t="shared" si="23"/>
        <v>360</v>
      </c>
      <c r="AD41" s="36">
        <f t="shared" si="24"/>
        <v>559</v>
      </c>
      <c r="AE41" s="36">
        <f t="shared" si="25"/>
        <v>1146</v>
      </c>
      <c r="AF41" s="36">
        <f t="shared" si="26"/>
        <v>954</v>
      </c>
      <c r="AH41" s="36">
        <v>31</v>
      </c>
      <c r="AI41" s="36">
        <f t="shared" si="27"/>
        <v>714.09287257019434</v>
      </c>
      <c r="AJ41" s="36">
        <f t="shared" si="28"/>
        <v>215.12703330751356</v>
      </c>
    </row>
    <row r="42" spans="2:36" x14ac:dyDescent="0.15">
      <c r="B42" s="36">
        <v>32</v>
      </c>
      <c r="C42" s="36">
        <f t="shared" si="2"/>
        <v>440</v>
      </c>
      <c r="D42" s="36">
        <f t="shared" si="0"/>
        <v>2875</v>
      </c>
      <c r="E42" s="36">
        <f t="shared" si="3"/>
        <v>551</v>
      </c>
      <c r="F42" s="36">
        <f t="shared" si="1"/>
        <v>734</v>
      </c>
      <c r="G42" s="36">
        <f t="shared" si="29"/>
        <v>630</v>
      </c>
      <c r="H42" s="36">
        <f t="shared" si="5"/>
        <v>136</v>
      </c>
      <c r="I42" s="36">
        <f t="shared" si="6"/>
        <v>666</v>
      </c>
      <c r="J42" s="36">
        <f t="shared" si="7"/>
        <v>271</v>
      </c>
      <c r="K42" s="36">
        <f t="shared" si="8"/>
        <v>905</v>
      </c>
      <c r="L42" s="36">
        <f>ROUNDUP(金钱消耗!A39/K42,0)</f>
        <v>337</v>
      </c>
      <c r="M42" s="36">
        <f t="shared" si="9"/>
        <v>47</v>
      </c>
      <c r="O42" s="36">
        <v>32</v>
      </c>
      <c r="P42" s="36">
        <f t="shared" si="10"/>
        <v>0.26833387126433267</v>
      </c>
      <c r="Q42" s="36">
        <f t="shared" si="11"/>
        <v>1175</v>
      </c>
      <c r="R42" s="36">
        <f t="shared" si="12"/>
        <v>979</v>
      </c>
      <c r="S42" s="36">
        <f t="shared" si="13"/>
        <v>879</v>
      </c>
      <c r="T42" s="36">
        <f t="shared" si="14"/>
        <v>799</v>
      </c>
      <c r="U42" s="36">
        <f t="shared" si="15"/>
        <v>11473</v>
      </c>
      <c r="V42" s="36">
        <f t="shared" si="16"/>
        <v>6362</v>
      </c>
      <c r="W42" s="36">
        <f t="shared" si="17"/>
        <v>690</v>
      </c>
      <c r="X42" s="36">
        <f t="shared" si="18"/>
        <v>668</v>
      </c>
      <c r="Y42" s="36">
        <f t="shared" si="19"/>
        <v>343</v>
      </c>
      <c r="Z42" s="36">
        <f t="shared" si="20"/>
        <v>525</v>
      </c>
      <c r="AA42" s="36">
        <f t="shared" si="21"/>
        <v>733</v>
      </c>
      <c r="AB42" s="36">
        <f t="shared" si="22"/>
        <v>779</v>
      </c>
      <c r="AC42" s="36">
        <f t="shared" si="23"/>
        <v>366</v>
      </c>
      <c r="AD42" s="36">
        <f t="shared" si="24"/>
        <v>581</v>
      </c>
      <c r="AE42" s="36">
        <f t="shared" si="25"/>
        <v>1164</v>
      </c>
      <c r="AF42" s="36">
        <f t="shared" si="26"/>
        <v>995</v>
      </c>
      <c r="AH42" s="36">
        <v>32</v>
      </c>
      <c r="AI42" s="36">
        <f t="shared" si="27"/>
        <v>723.21896280775275</v>
      </c>
      <c r="AJ42" s="36">
        <f t="shared" si="28"/>
        <v>224.88962962962964</v>
      </c>
    </row>
    <row r="43" spans="2:36" x14ac:dyDescent="0.15">
      <c r="B43" s="36">
        <v>33</v>
      </c>
      <c r="C43" s="36">
        <f t="shared" si="2"/>
        <v>461</v>
      </c>
      <c r="D43" s="36">
        <f t="shared" ref="D43:D60" si="30">INT(R43^2/(R43+F43)*5+(B43-1)*2.5)</f>
        <v>3005</v>
      </c>
      <c r="E43" s="36">
        <f t="shared" si="3"/>
        <v>577</v>
      </c>
      <c r="F43" s="36">
        <f t="shared" ref="F43:F60" si="31">INT(R43*3/4)</f>
        <v>768</v>
      </c>
      <c r="G43" s="36">
        <f t="shared" si="29"/>
        <v>655</v>
      </c>
      <c r="H43" s="36">
        <f t="shared" si="5"/>
        <v>141</v>
      </c>
      <c r="I43" s="36">
        <f t="shared" si="6"/>
        <v>674</v>
      </c>
      <c r="J43" s="36">
        <f t="shared" si="7"/>
        <v>282</v>
      </c>
      <c r="K43" s="36">
        <f t="shared" ref="K43:K60" si="32">INT($L$8*B43^$L$7)</f>
        <v>930</v>
      </c>
      <c r="L43" s="36">
        <f>ROUNDUP(金钱消耗!A40/K43,0)</f>
        <v>386</v>
      </c>
      <c r="M43" s="36">
        <f t="shared" si="9"/>
        <v>45</v>
      </c>
      <c r="O43" s="36">
        <v>33</v>
      </c>
      <c r="P43" s="36">
        <f t="shared" si="10"/>
        <v>0.2914812045012784</v>
      </c>
      <c r="Q43" s="36">
        <f t="shared" si="11"/>
        <v>1197</v>
      </c>
      <c r="R43" s="36">
        <f t="shared" si="12"/>
        <v>1024</v>
      </c>
      <c r="S43" s="36">
        <f t="shared" si="13"/>
        <v>897</v>
      </c>
      <c r="T43" s="36">
        <f t="shared" si="14"/>
        <v>837</v>
      </c>
      <c r="U43" s="36">
        <f t="shared" si="15"/>
        <v>11738</v>
      </c>
      <c r="V43" s="36">
        <f t="shared" si="16"/>
        <v>6717</v>
      </c>
      <c r="W43" s="36">
        <f t="shared" si="17"/>
        <v>697</v>
      </c>
      <c r="X43" s="36">
        <f t="shared" si="18"/>
        <v>698</v>
      </c>
      <c r="Y43" s="36">
        <f t="shared" si="19"/>
        <v>347</v>
      </c>
      <c r="Z43" s="36">
        <f t="shared" si="20"/>
        <v>546</v>
      </c>
      <c r="AA43" s="36">
        <f t="shared" si="21"/>
        <v>741</v>
      </c>
      <c r="AB43" s="36">
        <f t="shared" si="22"/>
        <v>810</v>
      </c>
      <c r="AC43" s="36">
        <f t="shared" si="23"/>
        <v>370</v>
      </c>
      <c r="AD43" s="36">
        <f t="shared" si="24"/>
        <v>602</v>
      </c>
      <c r="AE43" s="36">
        <f t="shared" si="25"/>
        <v>1184</v>
      </c>
      <c r="AF43" s="36">
        <f t="shared" si="26"/>
        <v>1040</v>
      </c>
      <c r="AH43" s="36">
        <v>33</v>
      </c>
      <c r="AI43" s="36">
        <f t="shared" si="27"/>
        <v>729.16488549618316</v>
      </c>
      <c r="AJ43" s="36">
        <f t="shared" si="28"/>
        <v>235.45190947666194</v>
      </c>
    </row>
    <row r="44" spans="2:36" x14ac:dyDescent="0.15">
      <c r="B44" s="36">
        <v>34</v>
      </c>
      <c r="C44" s="36">
        <f t="shared" si="2"/>
        <v>483</v>
      </c>
      <c r="D44" s="36">
        <f t="shared" si="30"/>
        <v>3151</v>
      </c>
      <c r="E44" s="36">
        <f t="shared" si="3"/>
        <v>605</v>
      </c>
      <c r="F44" s="36">
        <f t="shared" si="31"/>
        <v>805</v>
      </c>
      <c r="G44" s="36">
        <f t="shared" si="29"/>
        <v>681</v>
      </c>
      <c r="H44" s="36">
        <f t="shared" si="5"/>
        <v>145</v>
      </c>
      <c r="I44" s="36">
        <f t="shared" si="6"/>
        <v>683</v>
      </c>
      <c r="J44" s="36">
        <f t="shared" si="7"/>
        <v>294</v>
      </c>
      <c r="K44" s="36">
        <f t="shared" si="32"/>
        <v>955</v>
      </c>
      <c r="L44" s="36">
        <f>ROUNDUP(金钱消耗!A41/K44,0)</f>
        <v>418</v>
      </c>
      <c r="M44" s="36">
        <f t="shared" si="9"/>
        <v>43</v>
      </c>
      <c r="O44" s="36">
        <v>34</v>
      </c>
      <c r="P44" s="36">
        <f t="shared" si="10"/>
        <v>0.31662530032901298</v>
      </c>
      <c r="Q44" s="36">
        <f t="shared" si="11"/>
        <v>1222</v>
      </c>
      <c r="R44" s="36">
        <f t="shared" si="12"/>
        <v>1074</v>
      </c>
      <c r="S44" s="36">
        <f t="shared" si="13"/>
        <v>916</v>
      </c>
      <c r="T44" s="36">
        <f t="shared" si="14"/>
        <v>878</v>
      </c>
      <c r="U44" s="36">
        <f t="shared" si="15"/>
        <v>12006</v>
      </c>
      <c r="V44" s="36">
        <f t="shared" si="16"/>
        <v>7109</v>
      </c>
      <c r="W44" s="36">
        <f t="shared" si="17"/>
        <v>706</v>
      </c>
      <c r="X44" s="36">
        <f t="shared" si="18"/>
        <v>730</v>
      </c>
      <c r="Y44" s="36">
        <f t="shared" si="19"/>
        <v>351</v>
      </c>
      <c r="Z44" s="36">
        <f t="shared" si="20"/>
        <v>568</v>
      </c>
      <c r="AA44" s="36">
        <f t="shared" si="21"/>
        <v>752</v>
      </c>
      <c r="AB44" s="36">
        <f t="shared" si="22"/>
        <v>845</v>
      </c>
      <c r="AC44" s="36">
        <f t="shared" si="23"/>
        <v>374</v>
      </c>
      <c r="AD44" s="36">
        <f t="shared" si="24"/>
        <v>625</v>
      </c>
      <c r="AE44" s="36">
        <f t="shared" si="25"/>
        <v>1203</v>
      </c>
      <c r="AF44" s="36">
        <f t="shared" si="26"/>
        <v>1087</v>
      </c>
      <c r="AH44" s="36">
        <v>34</v>
      </c>
      <c r="AI44" s="36">
        <f t="shared" si="27"/>
        <v>736.69659595461269</v>
      </c>
      <c r="AJ44" s="36">
        <f t="shared" si="28"/>
        <v>246.81389076196899</v>
      </c>
    </row>
    <row r="45" spans="2:36" x14ac:dyDescent="0.15">
      <c r="B45" s="36">
        <v>35</v>
      </c>
      <c r="C45" s="36">
        <f t="shared" si="2"/>
        <v>505</v>
      </c>
      <c r="D45" s="36">
        <f t="shared" si="30"/>
        <v>3307</v>
      </c>
      <c r="E45" s="36">
        <f t="shared" si="3"/>
        <v>633</v>
      </c>
      <c r="F45" s="36">
        <f t="shared" si="31"/>
        <v>846</v>
      </c>
      <c r="G45" s="36">
        <f t="shared" si="29"/>
        <v>709</v>
      </c>
      <c r="H45" s="36">
        <f t="shared" si="5"/>
        <v>150</v>
      </c>
      <c r="I45" s="36">
        <f t="shared" si="6"/>
        <v>692</v>
      </c>
      <c r="J45" s="36">
        <f t="shared" si="7"/>
        <v>306</v>
      </c>
      <c r="K45" s="36">
        <f t="shared" si="32"/>
        <v>981</v>
      </c>
      <c r="L45" s="36">
        <f>ROUNDUP(金钱消耗!A42/K45,0)</f>
        <v>482</v>
      </c>
      <c r="M45" s="36">
        <f t="shared" si="9"/>
        <v>42</v>
      </c>
      <c r="O45" s="36">
        <v>35</v>
      </c>
      <c r="P45" s="36">
        <f t="shared" si="10"/>
        <v>0.34393840583981133</v>
      </c>
      <c r="Q45" s="39">
        <f t="shared" si="11"/>
        <v>1246</v>
      </c>
      <c r="R45" s="39">
        <f t="shared" si="12"/>
        <v>1128</v>
      </c>
      <c r="S45" s="39">
        <f t="shared" si="13"/>
        <v>933</v>
      </c>
      <c r="T45" s="39">
        <f t="shared" si="14"/>
        <v>920</v>
      </c>
      <c r="U45" s="39">
        <f t="shared" si="15"/>
        <v>12276</v>
      </c>
      <c r="V45" s="39">
        <f t="shared" si="16"/>
        <v>7542</v>
      </c>
      <c r="W45" s="39">
        <f t="shared" si="17"/>
        <v>714</v>
      </c>
      <c r="X45" s="39">
        <f t="shared" si="18"/>
        <v>764</v>
      </c>
      <c r="Y45" s="39">
        <f t="shared" si="19"/>
        <v>356</v>
      </c>
      <c r="Z45" s="39">
        <f t="shared" si="20"/>
        <v>591</v>
      </c>
      <c r="AA45" s="39">
        <f t="shared" si="21"/>
        <v>761</v>
      </c>
      <c r="AB45" s="39">
        <f t="shared" si="22"/>
        <v>880</v>
      </c>
      <c r="AC45" s="39">
        <f t="shared" si="23"/>
        <v>380</v>
      </c>
      <c r="AD45" s="39">
        <f t="shared" si="24"/>
        <v>649</v>
      </c>
      <c r="AE45" s="39">
        <f t="shared" si="25"/>
        <v>1223</v>
      </c>
      <c r="AF45" s="39">
        <f t="shared" si="26"/>
        <v>1139</v>
      </c>
      <c r="AH45" s="36">
        <v>35</v>
      </c>
      <c r="AI45" s="36">
        <f t="shared" si="27"/>
        <v>742.12045889101341</v>
      </c>
      <c r="AJ45" s="36">
        <f t="shared" si="28"/>
        <v>258.00965872504827</v>
      </c>
    </row>
    <row r="46" spans="2:36" x14ac:dyDescent="0.15">
      <c r="B46" s="36">
        <v>36</v>
      </c>
      <c r="C46" s="36">
        <f t="shared" si="2"/>
        <v>528</v>
      </c>
      <c r="D46" s="36">
        <f t="shared" si="30"/>
        <v>3476</v>
      </c>
      <c r="E46" s="36">
        <f t="shared" si="3"/>
        <v>665</v>
      </c>
      <c r="F46" s="36">
        <f t="shared" si="31"/>
        <v>889</v>
      </c>
      <c r="G46" s="36">
        <f t="shared" si="29"/>
        <v>738</v>
      </c>
      <c r="H46" s="36">
        <f t="shared" si="5"/>
        <v>155</v>
      </c>
      <c r="I46" s="36">
        <f t="shared" si="6"/>
        <v>700</v>
      </c>
      <c r="J46" s="36">
        <f t="shared" si="7"/>
        <v>319</v>
      </c>
      <c r="K46" s="36">
        <f t="shared" si="32"/>
        <v>1006</v>
      </c>
      <c r="L46" s="36">
        <f>ROUNDUP(金钱消耗!A43/K46,0)</f>
        <v>522</v>
      </c>
      <c r="M46" s="36">
        <f t="shared" si="9"/>
        <v>40</v>
      </c>
      <c r="O46" s="36">
        <v>36</v>
      </c>
      <c r="P46" s="36">
        <f t="shared" si="10"/>
        <v>0.37360762670800113</v>
      </c>
      <c r="Q46" s="36">
        <f t="shared" si="11"/>
        <v>1271</v>
      </c>
      <c r="R46" s="36">
        <f t="shared" si="12"/>
        <v>1186</v>
      </c>
      <c r="S46" s="36">
        <f t="shared" si="13"/>
        <v>952</v>
      </c>
      <c r="T46" s="36">
        <f t="shared" si="14"/>
        <v>967</v>
      </c>
      <c r="U46" s="36">
        <f t="shared" si="15"/>
        <v>12549</v>
      </c>
      <c r="V46" s="36">
        <f t="shared" si="16"/>
        <v>8020</v>
      </c>
      <c r="W46" s="36">
        <f t="shared" si="17"/>
        <v>722</v>
      </c>
      <c r="X46" s="36">
        <f t="shared" si="18"/>
        <v>800</v>
      </c>
      <c r="Y46" s="36">
        <f t="shared" si="19"/>
        <v>359</v>
      </c>
      <c r="Z46" s="36">
        <f t="shared" si="20"/>
        <v>615</v>
      </c>
      <c r="AA46" s="36">
        <f t="shared" si="21"/>
        <v>771</v>
      </c>
      <c r="AB46" s="36">
        <f t="shared" si="22"/>
        <v>919</v>
      </c>
      <c r="AC46" s="36">
        <f t="shared" si="23"/>
        <v>384</v>
      </c>
      <c r="AD46" s="36">
        <f t="shared" si="24"/>
        <v>674</v>
      </c>
      <c r="AE46" s="36">
        <f t="shared" si="25"/>
        <v>1243</v>
      </c>
      <c r="AF46" s="36">
        <f t="shared" si="26"/>
        <v>1195</v>
      </c>
      <c r="AH46" s="36">
        <v>36</v>
      </c>
      <c r="AI46" s="36">
        <f t="shared" si="27"/>
        <v>747.88935185185187</v>
      </c>
      <c r="AJ46" s="36">
        <f t="shared" si="28"/>
        <v>270.97120098039215</v>
      </c>
    </row>
    <row r="47" spans="2:36" x14ac:dyDescent="0.15">
      <c r="B47" s="36">
        <v>37</v>
      </c>
      <c r="C47" s="36">
        <f t="shared" si="2"/>
        <v>551</v>
      </c>
      <c r="D47" s="36">
        <f t="shared" si="30"/>
        <v>3659</v>
      </c>
      <c r="E47" s="36">
        <f t="shared" si="3"/>
        <v>699</v>
      </c>
      <c r="F47" s="36">
        <f t="shared" si="31"/>
        <v>936</v>
      </c>
      <c r="G47" s="36">
        <f t="shared" si="29"/>
        <v>768</v>
      </c>
      <c r="H47" s="36">
        <f t="shared" si="5"/>
        <v>160</v>
      </c>
      <c r="I47" s="36">
        <f t="shared" si="6"/>
        <v>709</v>
      </c>
      <c r="J47" s="36">
        <f t="shared" si="7"/>
        <v>332</v>
      </c>
      <c r="K47" s="36">
        <f t="shared" si="32"/>
        <v>1031</v>
      </c>
      <c r="L47" s="36">
        <f>ROUNDUP(金钱消耗!A44/K47,0)</f>
        <v>597</v>
      </c>
      <c r="M47" s="36">
        <f t="shared" si="9"/>
        <v>38</v>
      </c>
      <c r="O47" s="36">
        <v>37</v>
      </c>
      <c r="P47" s="36">
        <f t="shared" si="10"/>
        <v>0.40583620893851446</v>
      </c>
      <c r="Q47" s="36">
        <f t="shared" si="11"/>
        <v>1295</v>
      </c>
      <c r="R47" s="36">
        <f t="shared" si="12"/>
        <v>1249</v>
      </c>
      <c r="S47" s="36">
        <f t="shared" si="13"/>
        <v>969</v>
      </c>
      <c r="T47" s="36">
        <f t="shared" si="14"/>
        <v>1017</v>
      </c>
      <c r="U47" s="36">
        <f t="shared" si="15"/>
        <v>12822</v>
      </c>
      <c r="V47" s="36">
        <f t="shared" si="16"/>
        <v>8547</v>
      </c>
      <c r="W47" s="36">
        <f t="shared" si="17"/>
        <v>730</v>
      </c>
      <c r="X47" s="36">
        <f t="shared" si="18"/>
        <v>839</v>
      </c>
      <c r="Y47" s="36">
        <f t="shared" si="19"/>
        <v>363</v>
      </c>
      <c r="Z47" s="36">
        <f t="shared" si="20"/>
        <v>640</v>
      </c>
      <c r="AA47" s="36">
        <f t="shared" si="21"/>
        <v>779</v>
      </c>
      <c r="AB47" s="36">
        <f t="shared" si="22"/>
        <v>959</v>
      </c>
      <c r="AC47" s="36">
        <f t="shared" si="23"/>
        <v>389</v>
      </c>
      <c r="AD47" s="36">
        <f t="shared" si="24"/>
        <v>700</v>
      </c>
      <c r="AE47" s="36">
        <f t="shared" si="25"/>
        <v>1263</v>
      </c>
      <c r="AF47" s="36">
        <f t="shared" si="26"/>
        <v>1255</v>
      </c>
      <c r="AH47" s="36">
        <v>37</v>
      </c>
      <c r="AI47" s="36">
        <f t="shared" si="27"/>
        <v>751.692066337965</v>
      </c>
      <c r="AJ47" s="36">
        <f t="shared" si="28"/>
        <v>284.73251748251749</v>
      </c>
    </row>
    <row r="48" spans="2:36" x14ac:dyDescent="0.15">
      <c r="B48" s="36">
        <v>38</v>
      </c>
      <c r="C48" s="36">
        <f t="shared" si="2"/>
        <v>574</v>
      </c>
      <c r="D48" s="36">
        <f t="shared" si="30"/>
        <v>3856</v>
      </c>
      <c r="E48" s="36">
        <f t="shared" si="3"/>
        <v>736</v>
      </c>
      <c r="F48" s="36">
        <f t="shared" si="31"/>
        <v>987</v>
      </c>
      <c r="G48" s="36">
        <f t="shared" si="29"/>
        <v>799</v>
      </c>
      <c r="H48" s="36">
        <f t="shared" si="5"/>
        <v>166</v>
      </c>
      <c r="I48" s="36">
        <f t="shared" si="6"/>
        <v>718</v>
      </c>
      <c r="J48" s="36">
        <f t="shared" si="7"/>
        <v>347</v>
      </c>
      <c r="K48" s="36">
        <f t="shared" si="32"/>
        <v>1056</v>
      </c>
      <c r="L48" s="36">
        <f>ROUNDUP(金钱消耗!A45/K48,0)</f>
        <v>711</v>
      </c>
      <c r="M48" s="36">
        <f t="shared" si="9"/>
        <v>37</v>
      </c>
      <c r="O48" s="36">
        <v>38</v>
      </c>
      <c r="P48" s="36">
        <f t="shared" si="10"/>
        <v>0.44084493118314128</v>
      </c>
      <c r="Q48" s="36">
        <f t="shared" si="11"/>
        <v>1320</v>
      </c>
      <c r="R48" s="36">
        <f t="shared" si="12"/>
        <v>1317</v>
      </c>
      <c r="S48" s="36">
        <f t="shared" si="13"/>
        <v>988</v>
      </c>
      <c r="T48" s="36">
        <f t="shared" si="14"/>
        <v>1071</v>
      </c>
      <c r="U48" s="36">
        <f t="shared" si="15"/>
        <v>13097</v>
      </c>
      <c r="V48" s="36">
        <f t="shared" si="16"/>
        <v>9129</v>
      </c>
      <c r="W48" s="36">
        <f t="shared" si="17"/>
        <v>739</v>
      </c>
      <c r="X48" s="36">
        <f t="shared" si="18"/>
        <v>880</v>
      </c>
      <c r="Y48" s="36">
        <f t="shared" si="19"/>
        <v>367</v>
      </c>
      <c r="Z48" s="36">
        <f t="shared" si="20"/>
        <v>666</v>
      </c>
      <c r="AA48" s="36">
        <f t="shared" si="21"/>
        <v>789</v>
      </c>
      <c r="AB48" s="36">
        <f t="shared" si="22"/>
        <v>1002</v>
      </c>
      <c r="AC48" s="36">
        <f t="shared" si="23"/>
        <v>393</v>
      </c>
      <c r="AD48" s="36">
        <f t="shared" si="24"/>
        <v>728</v>
      </c>
      <c r="AE48" s="36">
        <f t="shared" si="25"/>
        <v>1284</v>
      </c>
      <c r="AF48" s="36">
        <f t="shared" si="26"/>
        <v>1321</v>
      </c>
      <c r="AH48" s="36">
        <v>38</v>
      </c>
      <c r="AI48" s="36">
        <f t="shared" si="27"/>
        <v>755.26657997399218</v>
      </c>
      <c r="AJ48" s="36">
        <f t="shared" si="28"/>
        <v>299.77642501383508</v>
      </c>
    </row>
    <row r="49" spans="2:36" x14ac:dyDescent="0.15">
      <c r="B49" s="36">
        <v>39</v>
      </c>
      <c r="C49" s="36">
        <f t="shared" si="2"/>
        <v>599</v>
      </c>
      <c r="D49" s="36">
        <f t="shared" si="30"/>
        <v>4069</v>
      </c>
      <c r="E49" s="36">
        <f t="shared" si="3"/>
        <v>775</v>
      </c>
      <c r="F49" s="36">
        <f t="shared" si="31"/>
        <v>1043</v>
      </c>
      <c r="G49" s="36">
        <f t="shared" si="29"/>
        <v>834</v>
      </c>
      <c r="H49" s="36">
        <f t="shared" si="5"/>
        <v>172</v>
      </c>
      <c r="I49" s="36">
        <f t="shared" si="6"/>
        <v>727</v>
      </c>
      <c r="J49" s="36">
        <f t="shared" si="7"/>
        <v>363</v>
      </c>
      <c r="K49" s="36">
        <f t="shared" si="32"/>
        <v>1081</v>
      </c>
      <c r="L49" s="36">
        <f>ROUNDUP(金钱消耗!A46/K49,0)</f>
        <v>832</v>
      </c>
      <c r="M49" s="36">
        <f t="shared" si="9"/>
        <v>35</v>
      </c>
      <c r="O49" s="36">
        <v>39</v>
      </c>
      <c r="P49" s="36">
        <f t="shared" si="10"/>
        <v>0.47887361716241655</v>
      </c>
      <c r="Q49" s="36">
        <f t="shared" si="11"/>
        <v>1343</v>
      </c>
      <c r="R49" s="36">
        <f t="shared" si="12"/>
        <v>1391</v>
      </c>
      <c r="S49" s="36">
        <f t="shared" si="13"/>
        <v>1006</v>
      </c>
      <c r="T49" s="36">
        <f t="shared" si="14"/>
        <v>1129</v>
      </c>
      <c r="U49" s="36">
        <f t="shared" si="15"/>
        <v>13375</v>
      </c>
      <c r="V49" s="36">
        <f t="shared" si="16"/>
        <v>9772</v>
      </c>
      <c r="W49" s="36">
        <f t="shared" si="17"/>
        <v>746</v>
      </c>
      <c r="X49" s="36">
        <f t="shared" si="18"/>
        <v>924</v>
      </c>
      <c r="Y49" s="36">
        <f t="shared" si="19"/>
        <v>372</v>
      </c>
      <c r="Z49" s="36">
        <f t="shared" si="20"/>
        <v>695</v>
      </c>
      <c r="AA49" s="36">
        <f t="shared" si="21"/>
        <v>799</v>
      </c>
      <c r="AB49" s="36">
        <f t="shared" si="22"/>
        <v>1049</v>
      </c>
      <c r="AC49" s="36">
        <f t="shared" si="23"/>
        <v>399</v>
      </c>
      <c r="AD49" s="36">
        <f t="shared" si="24"/>
        <v>758</v>
      </c>
      <c r="AE49" s="36">
        <f t="shared" si="25"/>
        <v>1305</v>
      </c>
      <c r="AF49" s="36">
        <f t="shared" si="26"/>
        <v>1391</v>
      </c>
      <c r="AH49" s="36">
        <v>39</v>
      </c>
      <c r="AI49" s="36">
        <f t="shared" si="27"/>
        <v>755.93000838222963</v>
      </c>
      <c r="AJ49" s="36">
        <f t="shared" si="28"/>
        <v>315.45430672268907</v>
      </c>
    </row>
    <row r="50" spans="2:36" x14ac:dyDescent="0.15">
      <c r="B50" s="36">
        <v>40</v>
      </c>
      <c r="C50" s="36">
        <f t="shared" si="2"/>
        <v>623</v>
      </c>
      <c r="D50" s="36">
        <f t="shared" si="30"/>
        <v>4300</v>
      </c>
      <c r="E50" s="36">
        <f t="shared" si="3"/>
        <v>818</v>
      </c>
      <c r="F50" s="36">
        <f t="shared" si="31"/>
        <v>1103</v>
      </c>
      <c r="G50" s="36">
        <f t="shared" si="29"/>
        <v>868</v>
      </c>
      <c r="H50" s="36">
        <f t="shared" si="5"/>
        <v>179</v>
      </c>
      <c r="I50" s="36">
        <f t="shared" si="6"/>
        <v>735</v>
      </c>
      <c r="J50" s="36">
        <f t="shared" si="7"/>
        <v>379</v>
      </c>
      <c r="K50" s="36">
        <f t="shared" si="32"/>
        <v>1106</v>
      </c>
      <c r="L50" s="36">
        <f>ROUNDUP(金钱消耗!A47/K50,0)</f>
        <v>1020</v>
      </c>
      <c r="M50" s="36">
        <f t="shared" si="9"/>
        <v>33</v>
      </c>
      <c r="O50" s="36">
        <v>40</v>
      </c>
      <c r="P50" s="36">
        <f t="shared" si="10"/>
        <v>0.52018277855382589</v>
      </c>
      <c r="Q50" s="39">
        <f t="shared" si="11"/>
        <v>1368</v>
      </c>
      <c r="R50" s="39">
        <f t="shared" si="12"/>
        <v>1471</v>
      </c>
      <c r="S50" s="39">
        <f t="shared" si="13"/>
        <v>1024</v>
      </c>
      <c r="T50" s="39">
        <f t="shared" si="14"/>
        <v>1192</v>
      </c>
      <c r="U50" s="39">
        <f t="shared" si="15"/>
        <v>13655</v>
      </c>
      <c r="V50" s="39">
        <f t="shared" si="16"/>
        <v>10483</v>
      </c>
      <c r="W50" s="39">
        <f t="shared" si="17"/>
        <v>755</v>
      </c>
      <c r="X50" s="39">
        <f t="shared" si="18"/>
        <v>971</v>
      </c>
      <c r="Y50" s="39">
        <f t="shared" si="19"/>
        <v>376</v>
      </c>
      <c r="Z50" s="39">
        <f t="shared" si="20"/>
        <v>724</v>
      </c>
      <c r="AA50" s="39">
        <f t="shared" si="21"/>
        <v>808</v>
      </c>
      <c r="AB50" s="39">
        <f t="shared" si="22"/>
        <v>1099</v>
      </c>
      <c r="AC50" s="39">
        <f t="shared" si="23"/>
        <v>403</v>
      </c>
      <c r="AD50" s="39">
        <f t="shared" si="24"/>
        <v>788</v>
      </c>
      <c r="AE50" s="39">
        <f t="shared" si="25"/>
        <v>1327</v>
      </c>
      <c r="AF50" s="39">
        <f t="shared" si="26"/>
        <v>1469</v>
      </c>
      <c r="AH50" s="36">
        <v>40</v>
      </c>
      <c r="AI50" s="36">
        <f t="shared" si="27"/>
        <v>757.3549170376366</v>
      </c>
      <c r="AJ50" s="36">
        <f t="shared" si="28"/>
        <v>332.89751243781092</v>
      </c>
    </row>
    <row r="51" spans="2:36" x14ac:dyDescent="0.15">
      <c r="B51" s="36">
        <v>41</v>
      </c>
      <c r="C51" s="36">
        <f t="shared" si="2"/>
        <v>648</v>
      </c>
      <c r="D51" s="36">
        <f t="shared" si="30"/>
        <v>4552</v>
      </c>
      <c r="E51" s="36">
        <f t="shared" si="3"/>
        <v>864</v>
      </c>
      <c r="F51" s="36">
        <f t="shared" si="31"/>
        <v>1168</v>
      </c>
      <c r="G51" s="36">
        <f t="shared" si="29"/>
        <v>904</v>
      </c>
      <c r="H51" s="36">
        <f t="shared" si="5"/>
        <v>186</v>
      </c>
      <c r="I51" s="36">
        <f t="shared" si="6"/>
        <v>744</v>
      </c>
      <c r="J51" s="36">
        <f t="shared" si="7"/>
        <v>398</v>
      </c>
      <c r="K51" s="36">
        <f t="shared" si="32"/>
        <v>1131</v>
      </c>
      <c r="L51" s="36">
        <f>ROUNDUP(金钱消耗!A48/K51,0)</f>
        <v>1251</v>
      </c>
      <c r="M51" s="36">
        <f t="shared" si="9"/>
        <v>32</v>
      </c>
      <c r="O51" s="36">
        <v>41</v>
      </c>
      <c r="P51" s="36">
        <f t="shared" si="10"/>
        <v>0.565055399600777</v>
      </c>
      <c r="Q51" s="36">
        <f t="shared" si="11"/>
        <v>1392</v>
      </c>
      <c r="R51" s="36">
        <f t="shared" si="12"/>
        <v>1558</v>
      </c>
      <c r="S51" s="36">
        <f t="shared" si="13"/>
        <v>1043</v>
      </c>
      <c r="T51" s="36">
        <f t="shared" si="14"/>
        <v>1261</v>
      </c>
      <c r="U51" s="36">
        <f t="shared" si="15"/>
        <v>13936</v>
      </c>
      <c r="V51" s="36">
        <f t="shared" si="16"/>
        <v>11266</v>
      </c>
      <c r="W51" s="36">
        <f t="shared" si="17"/>
        <v>762</v>
      </c>
      <c r="X51" s="36">
        <f t="shared" si="18"/>
        <v>1021</v>
      </c>
      <c r="Y51" s="36">
        <f t="shared" si="19"/>
        <v>378</v>
      </c>
      <c r="Z51" s="36">
        <f t="shared" si="20"/>
        <v>754</v>
      </c>
      <c r="AA51" s="36">
        <f t="shared" si="21"/>
        <v>818</v>
      </c>
      <c r="AB51" s="36">
        <f t="shared" si="22"/>
        <v>1153</v>
      </c>
      <c r="AC51" s="36">
        <f t="shared" si="23"/>
        <v>408</v>
      </c>
      <c r="AD51" s="36">
        <f t="shared" si="24"/>
        <v>821</v>
      </c>
      <c r="AE51" s="36">
        <f t="shared" si="25"/>
        <v>1348</v>
      </c>
      <c r="AF51" s="36">
        <f t="shared" si="26"/>
        <v>1552</v>
      </c>
      <c r="AH51" s="36">
        <v>41</v>
      </c>
      <c r="AI51" s="36">
        <f t="shared" si="27"/>
        <v>756.9</v>
      </c>
      <c r="AJ51" s="36">
        <f t="shared" si="28"/>
        <v>351.29223529411763</v>
      </c>
    </row>
    <row r="52" spans="2:36" x14ac:dyDescent="0.15">
      <c r="B52" s="36">
        <v>42</v>
      </c>
      <c r="C52" s="36">
        <f t="shared" si="2"/>
        <v>673</v>
      </c>
      <c r="D52" s="36">
        <f t="shared" si="30"/>
        <v>4826</v>
      </c>
      <c r="E52" s="36">
        <f t="shared" si="3"/>
        <v>913</v>
      </c>
      <c r="F52" s="36">
        <f t="shared" si="31"/>
        <v>1239</v>
      </c>
      <c r="G52" s="36">
        <f t="shared" si="29"/>
        <v>945</v>
      </c>
      <c r="H52" s="36">
        <f t="shared" si="5"/>
        <v>193</v>
      </c>
      <c r="I52" s="36">
        <f t="shared" si="6"/>
        <v>753</v>
      </c>
      <c r="J52" s="36">
        <f t="shared" si="7"/>
        <v>417</v>
      </c>
      <c r="K52" s="36">
        <f t="shared" si="32"/>
        <v>1156</v>
      </c>
      <c r="L52" s="36">
        <f>ROUNDUP(金钱消耗!A49/K52,0)</f>
        <v>1519</v>
      </c>
      <c r="M52" s="36">
        <f t="shared" si="9"/>
        <v>30</v>
      </c>
      <c r="O52" s="36">
        <v>42</v>
      </c>
      <c r="P52" s="36">
        <f t="shared" si="10"/>
        <v>0.6137988756676136</v>
      </c>
      <c r="Q52" s="36">
        <f t="shared" si="11"/>
        <v>1417</v>
      </c>
      <c r="R52" s="36">
        <f t="shared" si="12"/>
        <v>1653</v>
      </c>
      <c r="S52" s="36">
        <f t="shared" si="13"/>
        <v>1060</v>
      </c>
      <c r="T52" s="36">
        <f t="shared" si="14"/>
        <v>1334</v>
      </c>
      <c r="U52" s="36">
        <f t="shared" si="15"/>
        <v>14220</v>
      </c>
      <c r="V52" s="36">
        <f t="shared" si="16"/>
        <v>12132</v>
      </c>
      <c r="W52" s="36">
        <f t="shared" si="17"/>
        <v>771</v>
      </c>
      <c r="X52" s="36">
        <f t="shared" si="18"/>
        <v>1076</v>
      </c>
      <c r="Y52" s="36">
        <f t="shared" si="19"/>
        <v>383</v>
      </c>
      <c r="Z52" s="36">
        <f t="shared" si="20"/>
        <v>788</v>
      </c>
      <c r="AA52" s="36">
        <f t="shared" si="21"/>
        <v>827</v>
      </c>
      <c r="AB52" s="36">
        <f t="shared" si="22"/>
        <v>1210</v>
      </c>
      <c r="AC52" s="36">
        <f t="shared" si="23"/>
        <v>413</v>
      </c>
      <c r="AD52" s="36">
        <f t="shared" si="24"/>
        <v>856</v>
      </c>
      <c r="AE52" s="36">
        <f t="shared" si="25"/>
        <v>1367</v>
      </c>
      <c r="AF52" s="36">
        <f t="shared" si="26"/>
        <v>1642</v>
      </c>
      <c r="AH52" s="36">
        <v>42</v>
      </c>
      <c r="AI52" s="36">
        <f t="shared" si="27"/>
        <v>755.98230421686742</v>
      </c>
      <c r="AJ52" s="36">
        <f t="shared" si="28"/>
        <v>370.96973742768137</v>
      </c>
    </row>
    <row r="53" spans="2:36" x14ac:dyDescent="0.15">
      <c r="B53" s="36">
        <v>43</v>
      </c>
      <c r="C53" s="36">
        <f t="shared" si="2"/>
        <v>699</v>
      </c>
      <c r="D53" s="36">
        <f t="shared" si="30"/>
        <v>5122</v>
      </c>
      <c r="E53" s="36">
        <f t="shared" si="3"/>
        <v>967</v>
      </c>
      <c r="F53" s="36">
        <f t="shared" si="31"/>
        <v>1317</v>
      </c>
      <c r="G53" s="36">
        <f t="shared" si="29"/>
        <v>987</v>
      </c>
      <c r="H53" s="36">
        <f t="shared" si="5"/>
        <v>201</v>
      </c>
      <c r="I53" s="36">
        <f t="shared" si="6"/>
        <v>762</v>
      </c>
      <c r="J53" s="36">
        <f t="shared" si="7"/>
        <v>438</v>
      </c>
      <c r="K53" s="36">
        <f t="shared" si="32"/>
        <v>1180</v>
      </c>
      <c r="L53" s="36">
        <f>ROUNDUP(金钱消耗!A50/K53,0)</f>
        <v>1891</v>
      </c>
      <c r="M53" s="36">
        <f t="shared" si="9"/>
        <v>28</v>
      </c>
      <c r="O53" s="36">
        <v>43</v>
      </c>
      <c r="P53" s="36">
        <f t="shared" si="10"/>
        <v>0.6667471190205555</v>
      </c>
      <c r="Q53" s="36">
        <f t="shared" si="11"/>
        <v>1441</v>
      </c>
      <c r="R53" s="36">
        <f t="shared" si="12"/>
        <v>1756</v>
      </c>
      <c r="S53" s="36">
        <f t="shared" si="13"/>
        <v>1078</v>
      </c>
      <c r="T53" s="36">
        <f t="shared" si="14"/>
        <v>1414</v>
      </c>
      <c r="U53" s="36">
        <f t="shared" si="15"/>
        <v>14507</v>
      </c>
      <c r="V53" s="36">
        <f t="shared" si="16"/>
        <v>13088</v>
      </c>
      <c r="W53" s="36">
        <f t="shared" si="17"/>
        <v>779</v>
      </c>
      <c r="X53" s="36">
        <f t="shared" si="18"/>
        <v>1134</v>
      </c>
      <c r="Y53" s="36">
        <f t="shared" si="19"/>
        <v>388</v>
      </c>
      <c r="Z53" s="36">
        <f t="shared" si="20"/>
        <v>823</v>
      </c>
      <c r="AA53" s="36">
        <f t="shared" si="21"/>
        <v>837</v>
      </c>
      <c r="AB53" s="36">
        <f t="shared" si="22"/>
        <v>1273</v>
      </c>
      <c r="AC53" s="36">
        <f t="shared" si="23"/>
        <v>417</v>
      </c>
      <c r="AD53" s="36">
        <f t="shared" si="24"/>
        <v>893</v>
      </c>
      <c r="AE53" s="36">
        <f t="shared" si="25"/>
        <v>1388</v>
      </c>
      <c r="AF53" s="36">
        <f t="shared" si="26"/>
        <v>1740</v>
      </c>
      <c r="AH53" s="36">
        <v>43</v>
      </c>
      <c r="AI53" s="36">
        <f t="shared" si="27"/>
        <v>752.89376359680932</v>
      </c>
      <c r="AJ53" s="36">
        <f t="shared" si="28"/>
        <v>392.72952540949183</v>
      </c>
    </row>
    <row r="54" spans="2:36" x14ac:dyDescent="0.15">
      <c r="B54" s="36">
        <v>44</v>
      </c>
      <c r="C54" s="36">
        <f t="shared" si="2"/>
        <v>726</v>
      </c>
      <c r="D54" s="36">
        <f t="shared" si="30"/>
        <v>5448</v>
      </c>
      <c r="E54" s="36">
        <f t="shared" si="3"/>
        <v>1027</v>
      </c>
      <c r="F54" s="36">
        <f t="shared" si="31"/>
        <v>1401</v>
      </c>
      <c r="G54" s="36">
        <f t="shared" si="29"/>
        <v>1032</v>
      </c>
      <c r="H54" s="36">
        <f t="shared" si="5"/>
        <v>210</v>
      </c>
      <c r="I54" s="36">
        <f t="shared" si="6"/>
        <v>770</v>
      </c>
      <c r="J54" s="36">
        <f t="shared" si="7"/>
        <v>460</v>
      </c>
      <c r="K54" s="36">
        <f t="shared" si="32"/>
        <v>1205</v>
      </c>
      <c r="L54" s="36">
        <f>ROUNDUP(金钱消耗!A51/K54,0)</f>
        <v>2589</v>
      </c>
      <c r="M54" s="36">
        <f t="shared" si="9"/>
        <v>26</v>
      </c>
      <c r="O54" s="36">
        <v>44</v>
      </c>
      <c r="P54" s="36">
        <f t="shared" si="10"/>
        <v>0.7242628462599946</v>
      </c>
      <c r="Q54" s="36">
        <f t="shared" si="11"/>
        <v>1465</v>
      </c>
      <c r="R54" s="36">
        <f t="shared" si="12"/>
        <v>1869</v>
      </c>
      <c r="S54" s="36">
        <f t="shared" si="13"/>
        <v>1097</v>
      </c>
      <c r="T54" s="36">
        <f t="shared" si="14"/>
        <v>1502</v>
      </c>
      <c r="U54" s="36">
        <f t="shared" si="15"/>
        <v>14795</v>
      </c>
      <c r="V54" s="36">
        <f t="shared" si="16"/>
        <v>14143</v>
      </c>
      <c r="W54" s="36">
        <f t="shared" si="17"/>
        <v>787</v>
      </c>
      <c r="X54" s="36">
        <f t="shared" si="18"/>
        <v>1196</v>
      </c>
      <c r="Y54" s="36">
        <f t="shared" si="19"/>
        <v>392</v>
      </c>
      <c r="Z54" s="36">
        <f t="shared" si="20"/>
        <v>860</v>
      </c>
      <c r="AA54" s="36">
        <f t="shared" si="21"/>
        <v>846</v>
      </c>
      <c r="AB54" s="36">
        <f t="shared" si="22"/>
        <v>1339</v>
      </c>
      <c r="AC54" s="36">
        <f t="shared" si="23"/>
        <v>422</v>
      </c>
      <c r="AD54" s="36">
        <f t="shared" si="24"/>
        <v>932</v>
      </c>
      <c r="AE54" s="36">
        <f t="shared" si="25"/>
        <v>1411</v>
      </c>
      <c r="AF54" s="36">
        <f t="shared" si="26"/>
        <v>1848</v>
      </c>
      <c r="AH54" s="36">
        <v>44</v>
      </c>
      <c r="AI54" s="36">
        <f t="shared" si="27"/>
        <v>748.85729239357988</v>
      </c>
      <c r="AJ54" s="36">
        <f t="shared" si="28"/>
        <v>417.05377619612494</v>
      </c>
    </row>
    <row r="55" spans="2:36" x14ac:dyDescent="0.15">
      <c r="B55" s="36">
        <v>45</v>
      </c>
      <c r="C55" s="36">
        <f t="shared" si="2"/>
        <v>752</v>
      </c>
      <c r="D55" s="36">
        <f t="shared" si="30"/>
        <v>5798</v>
      </c>
      <c r="E55" s="36">
        <f t="shared" si="3"/>
        <v>1091</v>
      </c>
      <c r="F55" s="36">
        <f t="shared" si="31"/>
        <v>1493</v>
      </c>
      <c r="G55" s="36">
        <f t="shared" si="29"/>
        <v>1080</v>
      </c>
      <c r="H55" s="36">
        <f t="shared" si="5"/>
        <v>219</v>
      </c>
      <c r="I55" s="36">
        <f t="shared" si="6"/>
        <v>779</v>
      </c>
      <c r="J55" s="36">
        <f t="shared" si="7"/>
        <v>484</v>
      </c>
      <c r="K55" s="36">
        <f t="shared" si="32"/>
        <v>1230</v>
      </c>
      <c r="L55" s="36">
        <f>ROUNDUP(金钱消耗!A52/K55,0)</f>
        <v>1254</v>
      </c>
      <c r="M55" s="36">
        <f t="shared" si="9"/>
        <v>25</v>
      </c>
      <c r="O55" s="36">
        <v>45</v>
      </c>
      <c r="P55" s="36">
        <f t="shared" si="10"/>
        <v>0.78674006307398425</v>
      </c>
      <c r="Q55" s="39">
        <f t="shared" si="11"/>
        <v>1489</v>
      </c>
      <c r="R55" s="39">
        <f t="shared" si="12"/>
        <v>1991</v>
      </c>
      <c r="S55" s="39">
        <f t="shared" si="13"/>
        <v>1115</v>
      </c>
      <c r="T55" s="39">
        <f t="shared" si="14"/>
        <v>1597</v>
      </c>
      <c r="U55" s="39">
        <f t="shared" si="15"/>
        <v>15084</v>
      </c>
      <c r="V55" s="39">
        <f t="shared" si="16"/>
        <v>15307</v>
      </c>
      <c r="W55" s="39">
        <f t="shared" si="17"/>
        <v>795</v>
      </c>
      <c r="X55" s="39">
        <f t="shared" si="18"/>
        <v>1264</v>
      </c>
      <c r="Y55" s="39">
        <f t="shared" si="19"/>
        <v>396</v>
      </c>
      <c r="Z55" s="39">
        <f t="shared" si="20"/>
        <v>900</v>
      </c>
      <c r="AA55" s="39">
        <f t="shared" si="21"/>
        <v>855</v>
      </c>
      <c r="AB55" s="39">
        <f t="shared" si="22"/>
        <v>1411</v>
      </c>
      <c r="AC55" s="39">
        <f t="shared" si="23"/>
        <v>426</v>
      </c>
      <c r="AD55" s="39">
        <f t="shared" si="24"/>
        <v>974</v>
      </c>
      <c r="AE55" s="39">
        <f t="shared" si="25"/>
        <v>1433</v>
      </c>
      <c r="AF55" s="39">
        <f t="shared" si="26"/>
        <v>1966</v>
      </c>
      <c r="AH55" s="36">
        <v>45</v>
      </c>
      <c r="AI55" s="36">
        <f t="shared" si="27"/>
        <v>743.50134138162309</v>
      </c>
      <c r="AJ55" s="36">
        <f t="shared" si="28"/>
        <v>442.81287202380952</v>
      </c>
    </row>
    <row r="56" spans="2:36" x14ac:dyDescent="0.15">
      <c r="B56" s="36">
        <v>46</v>
      </c>
      <c r="C56" s="36">
        <f t="shared" si="2"/>
        <v>779</v>
      </c>
      <c r="D56" s="36">
        <f t="shared" si="30"/>
        <v>6185</v>
      </c>
      <c r="E56" s="36">
        <f t="shared" si="3"/>
        <v>1161</v>
      </c>
      <c r="F56" s="36">
        <f t="shared" si="31"/>
        <v>1593</v>
      </c>
      <c r="G56" s="36">
        <f t="shared" si="29"/>
        <v>1129</v>
      </c>
      <c r="H56" s="36">
        <f t="shared" si="5"/>
        <v>229</v>
      </c>
      <c r="I56" s="36">
        <f t="shared" si="6"/>
        <v>788</v>
      </c>
      <c r="J56" s="36">
        <f t="shared" si="7"/>
        <v>510</v>
      </c>
      <c r="K56" s="36">
        <f t="shared" si="32"/>
        <v>1254</v>
      </c>
      <c r="L56" s="36">
        <f>ROUNDUP(金钱消耗!A53/K56,0)</f>
        <v>1672</v>
      </c>
      <c r="M56" s="36">
        <f t="shared" si="9"/>
        <v>23</v>
      </c>
      <c r="O56" s="36">
        <v>46</v>
      </c>
      <c r="P56" s="36">
        <f t="shared" si="10"/>
        <v>0.85460676333445906</v>
      </c>
      <c r="Q56" s="36">
        <f t="shared" si="11"/>
        <v>1513</v>
      </c>
      <c r="R56" s="36">
        <f t="shared" si="12"/>
        <v>2125</v>
      </c>
      <c r="S56" s="36">
        <f t="shared" si="13"/>
        <v>1134</v>
      </c>
      <c r="T56" s="36">
        <f t="shared" si="14"/>
        <v>1701</v>
      </c>
      <c r="U56" s="36">
        <f t="shared" si="15"/>
        <v>15376</v>
      </c>
      <c r="V56" s="36">
        <f t="shared" si="16"/>
        <v>16592</v>
      </c>
      <c r="W56" s="36">
        <f t="shared" si="17"/>
        <v>803</v>
      </c>
      <c r="X56" s="36">
        <f t="shared" si="18"/>
        <v>1337</v>
      </c>
      <c r="Y56" s="36">
        <f t="shared" si="19"/>
        <v>399</v>
      </c>
      <c r="Z56" s="36">
        <f t="shared" si="20"/>
        <v>941</v>
      </c>
      <c r="AA56" s="36">
        <f t="shared" si="21"/>
        <v>864</v>
      </c>
      <c r="AB56" s="36">
        <f t="shared" si="22"/>
        <v>1489</v>
      </c>
      <c r="AC56" s="36">
        <f t="shared" si="23"/>
        <v>432</v>
      </c>
      <c r="AD56" s="36">
        <f t="shared" si="24"/>
        <v>1020</v>
      </c>
      <c r="AE56" s="36">
        <f t="shared" si="25"/>
        <v>1454</v>
      </c>
      <c r="AF56" s="36">
        <f t="shared" si="26"/>
        <v>2093</v>
      </c>
      <c r="AH56" s="36">
        <v>46</v>
      </c>
      <c r="AI56" s="36">
        <f t="shared" si="27"/>
        <v>737.01513200257568</v>
      </c>
      <c r="AJ56" s="36">
        <f t="shared" si="28"/>
        <v>470.97169811320754</v>
      </c>
    </row>
    <row r="57" spans="2:36" x14ac:dyDescent="0.15">
      <c r="B57" s="36">
        <v>47</v>
      </c>
      <c r="C57" s="36">
        <f t="shared" si="2"/>
        <v>807</v>
      </c>
      <c r="D57" s="36">
        <f t="shared" si="30"/>
        <v>6601</v>
      </c>
      <c r="E57" s="36">
        <f t="shared" si="3"/>
        <v>1235</v>
      </c>
      <c r="F57" s="36">
        <f t="shared" si="31"/>
        <v>1702</v>
      </c>
      <c r="G57" s="36">
        <f t="shared" si="29"/>
        <v>1184</v>
      </c>
      <c r="H57" s="36">
        <f t="shared" si="5"/>
        <v>240</v>
      </c>
      <c r="I57" s="36">
        <f t="shared" si="6"/>
        <v>796</v>
      </c>
      <c r="J57" s="36">
        <f t="shared" si="7"/>
        <v>539</v>
      </c>
      <c r="K57" s="36">
        <f t="shared" si="32"/>
        <v>1279</v>
      </c>
      <c r="L57" s="36">
        <f>ROUNDUP(金钱消耗!A54/K57,0)</f>
        <v>1074</v>
      </c>
      <c r="M57" s="36">
        <f t="shared" si="9"/>
        <v>21</v>
      </c>
      <c r="O57" s="36">
        <v>47</v>
      </c>
      <c r="P57" s="36">
        <f t="shared" si="10"/>
        <v>0.92832786102608533</v>
      </c>
      <c r="Q57" s="36">
        <f t="shared" si="11"/>
        <v>1537</v>
      </c>
      <c r="R57" s="36">
        <f t="shared" si="12"/>
        <v>2270</v>
      </c>
      <c r="S57" s="36">
        <f t="shared" si="13"/>
        <v>1151</v>
      </c>
      <c r="T57" s="36">
        <f t="shared" si="14"/>
        <v>1812</v>
      </c>
      <c r="U57" s="36">
        <f t="shared" si="15"/>
        <v>15670</v>
      </c>
      <c r="V57" s="36">
        <f t="shared" si="16"/>
        <v>18010</v>
      </c>
      <c r="W57" s="36">
        <f t="shared" si="17"/>
        <v>811</v>
      </c>
      <c r="X57" s="36">
        <f t="shared" si="18"/>
        <v>1415</v>
      </c>
      <c r="Y57" s="36">
        <f t="shared" si="19"/>
        <v>403</v>
      </c>
      <c r="Z57" s="36">
        <f t="shared" si="20"/>
        <v>987</v>
      </c>
      <c r="AA57" s="36">
        <f t="shared" si="21"/>
        <v>874</v>
      </c>
      <c r="AB57" s="36">
        <f t="shared" si="22"/>
        <v>1574</v>
      </c>
      <c r="AC57" s="36">
        <f t="shared" si="23"/>
        <v>436</v>
      </c>
      <c r="AD57" s="36">
        <f t="shared" si="24"/>
        <v>1067</v>
      </c>
      <c r="AE57" s="36">
        <f t="shared" si="25"/>
        <v>1477</v>
      </c>
      <c r="AF57" s="36">
        <f t="shared" si="26"/>
        <v>2234</v>
      </c>
      <c r="AH57" s="36">
        <v>47</v>
      </c>
      <c r="AI57" s="36">
        <f t="shared" si="27"/>
        <v>729.35134300710092</v>
      </c>
      <c r="AJ57" s="36">
        <f t="shared" si="28"/>
        <v>500.56613062028225</v>
      </c>
    </row>
    <row r="58" spans="2:36" x14ac:dyDescent="0.15">
      <c r="B58" s="36">
        <v>48</v>
      </c>
      <c r="C58" s="36">
        <f t="shared" si="2"/>
        <v>835</v>
      </c>
      <c r="D58" s="36">
        <f t="shared" si="30"/>
        <v>7063</v>
      </c>
      <c r="E58" s="36">
        <f t="shared" si="3"/>
        <v>1317</v>
      </c>
      <c r="F58" s="36">
        <f t="shared" si="31"/>
        <v>1823</v>
      </c>
      <c r="G58" s="36">
        <f t="shared" si="29"/>
        <v>1243</v>
      </c>
      <c r="H58" s="36">
        <f t="shared" si="5"/>
        <v>252</v>
      </c>
      <c r="I58" s="36">
        <f t="shared" si="6"/>
        <v>805</v>
      </c>
      <c r="J58" s="36">
        <f t="shared" si="7"/>
        <v>569</v>
      </c>
      <c r="K58" s="36">
        <f t="shared" si="32"/>
        <v>1303</v>
      </c>
      <c r="L58" s="36">
        <f>ROUNDUP(金钱消耗!A55/K58,0)</f>
        <v>1427</v>
      </c>
      <c r="M58" s="36">
        <f t="shared" si="9"/>
        <v>20</v>
      </c>
      <c r="O58" s="36">
        <v>48</v>
      </c>
      <c r="P58" s="36">
        <f t="shared" si="10"/>
        <v>1.0084083750926229</v>
      </c>
      <c r="Q58" s="36">
        <f t="shared" si="11"/>
        <v>1562</v>
      </c>
      <c r="R58" s="36">
        <f t="shared" si="12"/>
        <v>2431</v>
      </c>
      <c r="S58" s="36">
        <f t="shared" si="13"/>
        <v>1169</v>
      </c>
      <c r="T58" s="36">
        <f t="shared" si="14"/>
        <v>1934</v>
      </c>
      <c r="U58" s="36">
        <f t="shared" si="15"/>
        <v>15966</v>
      </c>
      <c r="V58" s="36">
        <f t="shared" si="16"/>
        <v>19576</v>
      </c>
      <c r="W58" s="36">
        <f t="shared" si="17"/>
        <v>820</v>
      </c>
      <c r="X58" s="36">
        <f t="shared" si="18"/>
        <v>1501</v>
      </c>
      <c r="Y58" s="36">
        <f t="shared" si="19"/>
        <v>408</v>
      </c>
      <c r="Z58" s="36">
        <f t="shared" si="20"/>
        <v>1036</v>
      </c>
      <c r="AA58" s="36">
        <f t="shared" si="21"/>
        <v>883</v>
      </c>
      <c r="AB58" s="36">
        <f t="shared" si="22"/>
        <v>1665</v>
      </c>
      <c r="AC58" s="36">
        <f t="shared" si="23"/>
        <v>441</v>
      </c>
      <c r="AD58" s="36">
        <f t="shared" si="24"/>
        <v>1119</v>
      </c>
      <c r="AE58" s="36">
        <f t="shared" si="25"/>
        <v>1500</v>
      </c>
      <c r="AF58" s="36">
        <f t="shared" si="26"/>
        <v>2387</v>
      </c>
      <c r="AH58" s="36">
        <v>48</v>
      </c>
      <c r="AI58" s="36">
        <f t="shared" si="27"/>
        <v>720.78109305760711</v>
      </c>
      <c r="AJ58" s="36">
        <f t="shared" si="28"/>
        <v>533.52476161181175</v>
      </c>
    </row>
    <row r="59" spans="2:36" x14ac:dyDescent="0.15">
      <c r="B59" s="36">
        <v>49</v>
      </c>
      <c r="C59" s="36">
        <f t="shared" si="2"/>
        <v>863</v>
      </c>
      <c r="D59" s="36">
        <f t="shared" si="30"/>
        <v>7564</v>
      </c>
      <c r="E59" s="36">
        <f t="shared" si="3"/>
        <v>1408</v>
      </c>
      <c r="F59" s="36">
        <f t="shared" si="31"/>
        <v>1953</v>
      </c>
      <c r="G59" s="36">
        <f t="shared" si="29"/>
        <v>1304</v>
      </c>
      <c r="H59" s="36">
        <f t="shared" si="5"/>
        <v>264</v>
      </c>
      <c r="I59" s="36">
        <f t="shared" si="6"/>
        <v>815</v>
      </c>
      <c r="J59" s="36">
        <f t="shared" si="7"/>
        <v>603</v>
      </c>
      <c r="K59" s="36">
        <f t="shared" si="32"/>
        <v>1328</v>
      </c>
      <c r="L59" s="36">
        <f>ROUNDUP(金钱消耗!A56/K59,0)</f>
        <v>2010</v>
      </c>
      <c r="M59" s="36">
        <f t="shared" si="9"/>
        <v>18</v>
      </c>
      <c r="O59" s="36">
        <v>49</v>
      </c>
      <c r="P59" s="36">
        <f t="shared" si="10"/>
        <v>1.0953968890182539</v>
      </c>
      <c r="Q59" s="36">
        <f t="shared" si="11"/>
        <v>1586</v>
      </c>
      <c r="R59" s="36">
        <f t="shared" si="12"/>
        <v>2605</v>
      </c>
      <c r="S59" s="36">
        <f t="shared" si="13"/>
        <v>1188</v>
      </c>
      <c r="T59" s="36">
        <f t="shared" si="14"/>
        <v>2069</v>
      </c>
      <c r="U59" s="36">
        <f t="shared" si="15"/>
        <v>16264</v>
      </c>
      <c r="V59" s="36">
        <f t="shared" si="16"/>
        <v>21303</v>
      </c>
      <c r="W59" s="36">
        <f t="shared" si="17"/>
        <v>827</v>
      </c>
      <c r="X59" s="36">
        <f t="shared" si="18"/>
        <v>1592</v>
      </c>
      <c r="Y59" s="36">
        <f t="shared" si="19"/>
        <v>411</v>
      </c>
      <c r="Z59" s="36">
        <f t="shared" si="20"/>
        <v>1087</v>
      </c>
      <c r="AA59" s="36">
        <f t="shared" si="21"/>
        <v>893</v>
      </c>
      <c r="AB59" s="36">
        <f t="shared" si="22"/>
        <v>1765</v>
      </c>
      <c r="AC59" s="36">
        <f t="shared" si="23"/>
        <v>447</v>
      </c>
      <c r="AD59" s="36">
        <f t="shared" si="24"/>
        <v>1176</v>
      </c>
      <c r="AE59" s="36">
        <f t="shared" si="25"/>
        <v>1523</v>
      </c>
      <c r="AF59" s="36">
        <f t="shared" si="26"/>
        <v>2555</v>
      </c>
      <c r="AH59" s="36">
        <v>49</v>
      </c>
      <c r="AI59" s="36">
        <f t="shared" si="27"/>
        <v>710.76462277479516</v>
      </c>
      <c r="AJ59" s="36">
        <f t="shared" si="28"/>
        <v>570.16508484325573</v>
      </c>
    </row>
    <row r="60" spans="2:36" x14ac:dyDescent="0.15">
      <c r="B60" s="36">
        <v>50</v>
      </c>
      <c r="C60" s="36">
        <f t="shared" si="2"/>
        <v>892</v>
      </c>
      <c r="D60" s="36">
        <f t="shared" si="30"/>
        <v>8108</v>
      </c>
      <c r="E60" s="36">
        <f t="shared" si="3"/>
        <v>1504</v>
      </c>
      <c r="F60" s="36">
        <f t="shared" si="31"/>
        <v>2096</v>
      </c>
      <c r="G60" s="36">
        <f t="shared" si="29"/>
        <v>1371</v>
      </c>
      <c r="H60" s="36">
        <f t="shared" si="5"/>
        <v>278</v>
      </c>
      <c r="I60" s="36">
        <f t="shared" si="6"/>
        <v>823</v>
      </c>
      <c r="J60" s="36">
        <f t="shared" si="7"/>
        <v>639</v>
      </c>
      <c r="K60" s="36">
        <f t="shared" si="32"/>
        <v>1352</v>
      </c>
      <c r="L60" s="36">
        <f>ROUNDUP(金钱消耗!A57/K60,0)</f>
        <v>2549</v>
      </c>
      <c r="M60" s="36">
        <f t="shared" si="9"/>
        <v>16</v>
      </c>
      <c r="O60" s="36">
        <v>50</v>
      </c>
      <c r="P60" s="36">
        <f>$Q$1^(O60/$Q$2+$Q$3)*1.9/100-$Q$4</f>
        <v>1.1898893088434113</v>
      </c>
      <c r="Q60" s="39">
        <f t="shared" si="11"/>
        <v>1610</v>
      </c>
      <c r="R60" s="39">
        <f t="shared" si="12"/>
        <v>2795</v>
      </c>
      <c r="S60" s="39">
        <f t="shared" si="13"/>
        <v>1205</v>
      </c>
      <c r="T60" s="39">
        <f t="shared" si="14"/>
        <v>2213</v>
      </c>
      <c r="U60" s="39">
        <f t="shared" si="15"/>
        <v>16564</v>
      </c>
      <c r="V60" s="39">
        <f t="shared" si="16"/>
        <v>23209</v>
      </c>
      <c r="W60" s="39">
        <f t="shared" si="17"/>
        <v>836</v>
      </c>
      <c r="X60" s="39">
        <f t="shared" si="18"/>
        <v>1693</v>
      </c>
      <c r="Y60" s="39">
        <f t="shared" si="19"/>
        <v>416</v>
      </c>
      <c r="Z60" s="39">
        <f>INT(P60*Y60)+49+O60*12</f>
        <v>1143</v>
      </c>
      <c r="AA60" s="39">
        <f t="shared" si="21"/>
        <v>903</v>
      </c>
      <c r="AB60" s="39">
        <f t="shared" si="22"/>
        <v>1873</v>
      </c>
      <c r="AC60" s="39">
        <f t="shared" si="23"/>
        <v>451</v>
      </c>
      <c r="AD60" s="39">
        <f t="shared" si="24"/>
        <v>1235</v>
      </c>
      <c r="AE60" s="39">
        <f t="shared" si="25"/>
        <v>1546</v>
      </c>
      <c r="AF60" s="39">
        <f t="shared" si="26"/>
        <v>2738</v>
      </c>
      <c r="AH60" s="36">
        <v>50</v>
      </c>
      <c r="AI60" s="36">
        <f t="shared" si="27"/>
        <v>699.43335132218021</v>
      </c>
      <c r="AJ60" s="36">
        <f t="shared" si="28"/>
        <v>608.55959106806563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2:AT119"/>
  <sheetViews>
    <sheetView topLeftCell="A49" zoomScaleNormal="100" workbookViewId="0">
      <selection activeCell="P70" sqref="P70"/>
    </sheetView>
  </sheetViews>
  <sheetFormatPr defaultRowHeight="12" x14ac:dyDescent="0.15"/>
  <cols>
    <col min="1" max="16384" width="9" style="36"/>
  </cols>
  <sheetData>
    <row r="2" spans="2:46" x14ac:dyDescent="0.15">
      <c r="B2" s="160" t="s">
        <v>348</v>
      </c>
      <c r="C2" s="76" t="s">
        <v>334</v>
      </c>
      <c r="D2" s="163" t="s">
        <v>391</v>
      </c>
      <c r="E2" s="163"/>
      <c r="F2" s="163"/>
      <c r="G2" s="163"/>
      <c r="H2" s="163"/>
      <c r="I2" s="163"/>
      <c r="J2" s="163"/>
      <c r="K2" s="163"/>
      <c r="L2" s="163"/>
      <c r="M2" s="163"/>
      <c r="P2" s="83" t="s">
        <v>372</v>
      </c>
      <c r="Q2" s="84" t="s">
        <v>373</v>
      </c>
      <c r="R2" s="81" t="s">
        <v>334</v>
      </c>
      <c r="S2" s="76" t="s">
        <v>345</v>
      </c>
      <c r="T2" s="76" t="s">
        <v>346</v>
      </c>
      <c r="U2" s="76" t="s">
        <v>367</v>
      </c>
      <c r="V2" s="76" t="s">
        <v>365</v>
      </c>
      <c r="W2" s="76" t="s">
        <v>362</v>
      </c>
      <c r="X2" s="37" t="s">
        <v>364</v>
      </c>
      <c r="Y2" s="37" t="s">
        <v>398</v>
      </c>
      <c r="Z2" s="37" t="s">
        <v>400</v>
      </c>
      <c r="AA2" s="37" t="s">
        <v>368</v>
      </c>
      <c r="AB2" s="37" t="s">
        <v>366</v>
      </c>
      <c r="AC2" s="37" t="s">
        <v>352</v>
      </c>
      <c r="AE2" s="83" t="s">
        <v>372</v>
      </c>
      <c r="AF2" s="81" t="s">
        <v>334</v>
      </c>
      <c r="AG2" s="76" t="s">
        <v>345</v>
      </c>
      <c r="AH2" s="76" t="s">
        <v>346</v>
      </c>
      <c r="AI2" s="76" t="s">
        <v>367</v>
      </c>
      <c r="AJ2" s="76" t="s">
        <v>365</v>
      </c>
      <c r="AK2" s="76" t="s">
        <v>362</v>
      </c>
      <c r="AL2" s="37" t="s">
        <v>364</v>
      </c>
      <c r="AM2" s="37" t="s">
        <v>398</v>
      </c>
      <c r="AN2" s="37" t="s">
        <v>400</v>
      </c>
      <c r="AO2" s="37" t="s">
        <v>368</v>
      </c>
      <c r="AP2" s="37" t="s">
        <v>366</v>
      </c>
      <c r="AQ2" s="37" t="s">
        <v>352</v>
      </c>
      <c r="AS2" s="36" t="s">
        <v>374</v>
      </c>
      <c r="AT2" s="36">
        <v>10</v>
      </c>
    </row>
    <row r="3" spans="2:46" x14ac:dyDescent="0.15">
      <c r="B3" s="161"/>
      <c r="C3" s="38"/>
      <c r="D3" s="78" t="s">
        <v>335</v>
      </c>
      <c r="E3" s="78" t="s">
        <v>336</v>
      </c>
      <c r="F3" s="78" t="s">
        <v>337</v>
      </c>
      <c r="G3" s="78" t="s">
        <v>338</v>
      </c>
      <c r="H3" s="78" t="s">
        <v>339</v>
      </c>
      <c r="I3" s="78" t="s">
        <v>340</v>
      </c>
      <c r="J3" s="78" t="s">
        <v>341</v>
      </c>
      <c r="K3" s="78" t="s">
        <v>342</v>
      </c>
      <c r="L3" s="78" t="s">
        <v>343</v>
      </c>
      <c r="M3" s="78" t="s">
        <v>344</v>
      </c>
      <c r="P3" s="83">
        <v>1</v>
      </c>
      <c r="Q3" s="84">
        <f>COUNTA(R3:AC3)</f>
        <v>1</v>
      </c>
      <c r="R3" s="78">
        <v>1</v>
      </c>
      <c r="AE3" s="83">
        <v>1</v>
      </c>
      <c r="AF3" s="86">
        <v>1</v>
      </c>
      <c r="AS3" s="36" t="s">
        <v>375</v>
      </c>
      <c r="AT3" s="36">
        <v>0</v>
      </c>
    </row>
    <row r="4" spans="2:46" x14ac:dyDescent="0.15">
      <c r="B4" s="161"/>
      <c r="C4" s="38" t="s">
        <v>371</v>
      </c>
      <c r="D4" s="78">
        <v>1</v>
      </c>
      <c r="E4" s="78">
        <v>4</v>
      </c>
      <c r="F4" s="78">
        <v>7</v>
      </c>
      <c r="G4" s="78">
        <v>10</v>
      </c>
      <c r="H4" s="78">
        <v>13</v>
      </c>
      <c r="I4" s="78">
        <v>16</v>
      </c>
      <c r="J4" s="78">
        <v>19</v>
      </c>
      <c r="K4" s="78">
        <v>22</v>
      </c>
      <c r="L4" s="78">
        <v>25</v>
      </c>
      <c r="M4" s="78">
        <v>28</v>
      </c>
      <c r="P4" s="83">
        <v>2</v>
      </c>
      <c r="Q4" s="84">
        <f t="shared" ref="Q4:Q52" si="0">COUNTA(R4:AC4)</f>
        <v>1</v>
      </c>
      <c r="X4" s="77">
        <v>2</v>
      </c>
      <c r="AE4" s="83">
        <v>2</v>
      </c>
      <c r="AL4" s="86">
        <v>1</v>
      </c>
    </row>
    <row r="5" spans="2:46" x14ac:dyDescent="0.15">
      <c r="B5" s="161"/>
      <c r="C5" s="87" t="s">
        <v>385</v>
      </c>
      <c r="D5" s="87">
        <v>103</v>
      </c>
      <c r="E5" s="87">
        <v>106</v>
      </c>
      <c r="F5" s="87">
        <v>109</v>
      </c>
      <c r="G5" s="87">
        <v>112</v>
      </c>
      <c r="H5" s="87">
        <v>115</v>
      </c>
      <c r="I5" s="87">
        <v>118</v>
      </c>
      <c r="J5" s="87">
        <v>121</v>
      </c>
      <c r="K5" s="87">
        <v>124</v>
      </c>
      <c r="L5" s="87">
        <v>127</v>
      </c>
      <c r="M5" s="87">
        <v>130</v>
      </c>
      <c r="P5" s="83">
        <v>3</v>
      </c>
      <c r="Q5" s="84">
        <f t="shared" si="0"/>
        <v>1</v>
      </c>
      <c r="V5" s="78">
        <v>3</v>
      </c>
      <c r="AE5" s="83">
        <v>3</v>
      </c>
      <c r="AJ5" s="86">
        <v>1</v>
      </c>
    </row>
    <row r="6" spans="2:46" x14ac:dyDescent="0.15">
      <c r="B6" s="161"/>
      <c r="C6" s="38" t="s">
        <v>332</v>
      </c>
      <c r="D6" s="38" t="s">
        <v>386</v>
      </c>
      <c r="E6" s="38" t="s">
        <v>386</v>
      </c>
      <c r="F6" s="38" t="s">
        <v>386</v>
      </c>
      <c r="G6" s="38" t="s">
        <v>386</v>
      </c>
      <c r="H6" s="38" t="s">
        <v>386</v>
      </c>
      <c r="I6" s="38" t="s">
        <v>386</v>
      </c>
      <c r="J6" s="38" t="s">
        <v>386</v>
      </c>
      <c r="K6" s="38" t="s">
        <v>386</v>
      </c>
      <c r="L6" s="38" t="s">
        <v>386</v>
      </c>
      <c r="M6" s="38" t="s">
        <v>386</v>
      </c>
      <c r="P6" s="83">
        <v>4</v>
      </c>
      <c r="Q6" s="84">
        <f t="shared" si="0"/>
        <v>2</v>
      </c>
      <c r="R6" s="82">
        <v>4</v>
      </c>
      <c r="AA6" s="77">
        <v>4</v>
      </c>
      <c r="AE6" s="83">
        <v>4</v>
      </c>
      <c r="AF6" s="86">
        <v>2</v>
      </c>
      <c r="AO6" s="86">
        <v>1</v>
      </c>
    </row>
    <row r="7" spans="2:46" x14ac:dyDescent="0.15">
      <c r="B7" s="161"/>
      <c r="C7" s="38" t="s">
        <v>358</v>
      </c>
      <c r="D7" s="38">
        <f>INT(VLOOKUP(D4,怪物属性!$O:$AE,17,FALSE)/11)+2</f>
        <v>62</v>
      </c>
      <c r="E7" s="38">
        <f>INT(VLOOKUP(E4,怪物属性!$O:$AE,17,FALSE)/11)+2</f>
        <v>65</v>
      </c>
      <c r="F7" s="38">
        <f>INT(VLOOKUP(F4,怪物属性!$O:$AE,17,FALSE)/11)+2</f>
        <v>69</v>
      </c>
      <c r="G7" s="38">
        <f>INT(VLOOKUP(G4,怪物属性!$O:$AE,17,FALSE)/11)+2</f>
        <v>73</v>
      </c>
      <c r="H7" s="38">
        <f>INT(VLOOKUP(H4,怪物属性!$O:$AE,17,FALSE)/11)+2</f>
        <v>77</v>
      </c>
      <c r="I7" s="38">
        <f>INT(VLOOKUP(I4,怪物属性!$O:$AE,17,FALSE)/11)+2</f>
        <v>82</v>
      </c>
      <c r="J7" s="38">
        <f>INT(VLOOKUP(J4,怪物属性!$O:$AE,17,FALSE)/11)+2</f>
        <v>86</v>
      </c>
      <c r="K7" s="38">
        <f>INT(VLOOKUP(K4,怪物属性!$O:$AE,17,FALSE)/11)+2</f>
        <v>91</v>
      </c>
      <c r="L7" s="38">
        <f>INT(VLOOKUP(L4,怪物属性!$O:$AE,17,FALSE)/11)+2</f>
        <v>96</v>
      </c>
      <c r="M7" s="38">
        <f>INT(VLOOKUP(M4,怪物属性!$O:$AE,17,FALSE)/11)+2</f>
        <v>100</v>
      </c>
      <c r="P7" s="83">
        <v>5</v>
      </c>
      <c r="Q7" s="84">
        <f t="shared" si="0"/>
        <v>1</v>
      </c>
      <c r="U7" s="78">
        <v>5</v>
      </c>
      <c r="AE7" s="83">
        <v>5</v>
      </c>
      <c r="AI7" s="86">
        <v>1</v>
      </c>
    </row>
    <row r="8" spans="2:46" x14ac:dyDescent="0.15">
      <c r="B8" s="162"/>
      <c r="C8" s="38" t="s">
        <v>360</v>
      </c>
      <c r="D8" s="38">
        <v>1</v>
      </c>
      <c r="E8" s="38">
        <v>1</v>
      </c>
      <c r="F8" s="38">
        <v>1</v>
      </c>
      <c r="G8" s="38">
        <v>1</v>
      </c>
      <c r="H8" s="38">
        <v>1</v>
      </c>
      <c r="I8" s="38">
        <v>1</v>
      </c>
      <c r="J8" s="38">
        <v>1</v>
      </c>
      <c r="K8" s="38">
        <v>1</v>
      </c>
      <c r="L8" s="38">
        <v>1</v>
      </c>
      <c r="M8" s="38">
        <v>1</v>
      </c>
      <c r="P8" s="83">
        <v>6</v>
      </c>
      <c r="Q8" s="84">
        <f t="shared" si="0"/>
        <v>1</v>
      </c>
      <c r="Y8" s="77">
        <v>6</v>
      </c>
      <c r="AE8" s="83">
        <v>6</v>
      </c>
      <c r="AM8" s="86">
        <v>1</v>
      </c>
    </row>
    <row r="9" spans="2:46" x14ac:dyDescent="0.15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P9" s="83">
        <v>7</v>
      </c>
      <c r="Q9" s="84">
        <f t="shared" si="0"/>
        <v>5</v>
      </c>
      <c r="R9" s="82">
        <v>7</v>
      </c>
      <c r="T9" s="78">
        <v>7</v>
      </c>
      <c r="V9" s="78">
        <v>7</v>
      </c>
      <c r="X9" s="77">
        <v>7</v>
      </c>
      <c r="AA9" s="77">
        <v>7</v>
      </c>
      <c r="AE9" s="83">
        <v>7</v>
      </c>
      <c r="AF9" s="86">
        <v>3</v>
      </c>
      <c r="AH9" s="86">
        <v>1</v>
      </c>
      <c r="AJ9" s="86">
        <v>2</v>
      </c>
      <c r="AL9" s="86">
        <v>2</v>
      </c>
      <c r="AO9" s="86">
        <v>2</v>
      </c>
    </row>
    <row r="10" spans="2:46" x14ac:dyDescent="0.15"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P10" s="83">
        <v>8</v>
      </c>
      <c r="Q10" s="84">
        <f t="shared" si="0"/>
        <v>3</v>
      </c>
      <c r="U10" s="78">
        <v>8</v>
      </c>
      <c r="W10" s="78">
        <v>8</v>
      </c>
      <c r="AB10" s="77">
        <v>8</v>
      </c>
      <c r="AE10" s="83">
        <v>8</v>
      </c>
      <c r="AI10" s="86">
        <v>2</v>
      </c>
      <c r="AK10" s="86">
        <v>1</v>
      </c>
      <c r="AP10" s="86">
        <v>1</v>
      </c>
    </row>
    <row r="11" spans="2:46" x14ac:dyDescent="0.15">
      <c r="P11" s="83">
        <v>9</v>
      </c>
      <c r="Q11" s="84">
        <f t="shared" si="0"/>
        <v>1</v>
      </c>
      <c r="AC11" s="77">
        <v>9</v>
      </c>
      <c r="AE11" s="83">
        <v>9</v>
      </c>
      <c r="AQ11" s="86">
        <v>1</v>
      </c>
    </row>
    <row r="12" spans="2:46" x14ac:dyDescent="0.15">
      <c r="B12" s="160" t="s">
        <v>348</v>
      </c>
      <c r="C12" s="76" t="s">
        <v>345</v>
      </c>
      <c r="D12" s="163" t="s">
        <v>376</v>
      </c>
      <c r="E12" s="163"/>
      <c r="F12" s="163"/>
      <c r="G12" s="163"/>
      <c r="H12" s="163"/>
      <c r="I12" s="163"/>
      <c r="J12" s="163"/>
      <c r="K12" s="163"/>
      <c r="L12" s="163"/>
      <c r="M12" s="163"/>
      <c r="P12" s="83">
        <v>10</v>
      </c>
      <c r="Q12" s="84">
        <f t="shared" si="0"/>
        <v>4</v>
      </c>
      <c r="R12" s="82">
        <v>10</v>
      </c>
      <c r="S12" s="78">
        <v>10</v>
      </c>
      <c r="Y12" s="77">
        <v>10</v>
      </c>
      <c r="AA12" s="77">
        <v>10</v>
      </c>
      <c r="AE12" s="83">
        <v>10</v>
      </c>
      <c r="AF12" s="86">
        <v>4</v>
      </c>
      <c r="AG12" s="86">
        <v>1</v>
      </c>
      <c r="AM12" s="86">
        <v>2</v>
      </c>
      <c r="AO12" s="85">
        <v>3</v>
      </c>
    </row>
    <row r="13" spans="2:46" x14ac:dyDescent="0.15">
      <c r="B13" s="161"/>
      <c r="C13" s="38"/>
      <c r="D13" s="78" t="s">
        <v>335</v>
      </c>
      <c r="E13" s="78" t="s">
        <v>336</v>
      </c>
      <c r="F13" s="78" t="s">
        <v>337</v>
      </c>
      <c r="G13" s="78" t="s">
        <v>338</v>
      </c>
      <c r="H13" s="78" t="s">
        <v>339</v>
      </c>
      <c r="I13" s="78" t="s">
        <v>340</v>
      </c>
      <c r="J13" s="78" t="s">
        <v>341</v>
      </c>
      <c r="K13" s="78" t="s">
        <v>342</v>
      </c>
      <c r="L13" s="78" t="s">
        <v>343</v>
      </c>
      <c r="M13" s="78" t="s">
        <v>344</v>
      </c>
      <c r="P13" s="83">
        <v>11</v>
      </c>
      <c r="Q13" s="84">
        <f t="shared" si="0"/>
        <v>5</v>
      </c>
      <c r="T13" s="78">
        <v>11</v>
      </c>
      <c r="U13" s="78">
        <v>11</v>
      </c>
      <c r="V13" s="78">
        <v>11</v>
      </c>
      <c r="Z13" s="77">
        <v>11</v>
      </c>
      <c r="AB13" s="77">
        <v>11</v>
      </c>
      <c r="AE13" s="83">
        <v>11</v>
      </c>
      <c r="AH13" s="85">
        <v>2</v>
      </c>
      <c r="AI13" s="85">
        <v>3</v>
      </c>
      <c r="AJ13" s="85">
        <v>3</v>
      </c>
      <c r="AN13" s="85">
        <v>1</v>
      </c>
      <c r="AP13" s="85">
        <v>2</v>
      </c>
    </row>
    <row r="14" spans="2:46" x14ac:dyDescent="0.15">
      <c r="B14" s="161"/>
      <c r="C14" s="38" t="s">
        <v>371</v>
      </c>
      <c r="D14" s="78">
        <v>10</v>
      </c>
      <c r="E14" s="78">
        <v>13</v>
      </c>
      <c r="F14" s="78">
        <v>16</v>
      </c>
      <c r="G14" s="78">
        <v>19</v>
      </c>
      <c r="H14" s="78">
        <v>22</v>
      </c>
      <c r="I14" s="78">
        <v>25</v>
      </c>
      <c r="J14" s="78">
        <v>28</v>
      </c>
      <c r="K14" s="78">
        <v>31</v>
      </c>
      <c r="L14" s="78">
        <v>34</v>
      </c>
      <c r="M14" s="78">
        <v>37</v>
      </c>
      <c r="P14" s="83">
        <v>12</v>
      </c>
      <c r="Q14" s="84">
        <f t="shared" si="0"/>
        <v>3</v>
      </c>
      <c r="W14" s="78">
        <v>12</v>
      </c>
      <c r="X14" s="77">
        <v>12</v>
      </c>
      <c r="AC14" s="77">
        <v>12</v>
      </c>
      <c r="AE14" s="83">
        <v>12</v>
      </c>
      <c r="AK14" s="85">
        <v>2</v>
      </c>
      <c r="AL14" s="85">
        <v>3</v>
      </c>
      <c r="AQ14" s="85">
        <v>2</v>
      </c>
    </row>
    <row r="15" spans="2:46" x14ac:dyDescent="0.15">
      <c r="B15" s="161"/>
      <c r="C15" s="87" t="s">
        <v>381</v>
      </c>
      <c r="D15" s="87">
        <v>1</v>
      </c>
      <c r="E15" s="87">
        <v>2</v>
      </c>
      <c r="F15" s="87">
        <v>3</v>
      </c>
      <c r="G15" s="87">
        <v>4</v>
      </c>
      <c r="H15" s="87">
        <v>5</v>
      </c>
      <c r="I15" s="87">
        <v>6</v>
      </c>
      <c r="J15" s="87">
        <v>7</v>
      </c>
      <c r="K15" s="87">
        <v>8</v>
      </c>
      <c r="L15" s="87">
        <v>9</v>
      </c>
      <c r="M15" s="87">
        <v>10</v>
      </c>
      <c r="P15" s="83">
        <v>13</v>
      </c>
      <c r="Q15" s="84">
        <f t="shared" si="0"/>
        <v>3</v>
      </c>
      <c r="R15" s="82">
        <v>13</v>
      </c>
      <c r="S15" s="78">
        <v>13</v>
      </c>
      <c r="AA15" s="77">
        <v>13</v>
      </c>
      <c r="AE15" s="83">
        <v>13</v>
      </c>
      <c r="AF15" s="85">
        <v>5</v>
      </c>
      <c r="AG15" s="85">
        <v>2</v>
      </c>
      <c r="AO15" s="85">
        <v>4</v>
      </c>
    </row>
    <row r="16" spans="2:46" x14ac:dyDescent="0.15">
      <c r="B16" s="161"/>
      <c r="C16" s="38" t="s">
        <v>332</v>
      </c>
      <c r="D16" s="38" t="s">
        <v>245</v>
      </c>
      <c r="E16" s="38" t="s">
        <v>245</v>
      </c>
      <c r="F16" s="38" t="s">
        <v>245</v>
      </c>
      <c r="G16" s="38" t="s">
        <v>245</v>
      </c>
      <c r="H16" s="38" t="s">
        <v>245</v>
      </c>
      <c r="I16" s="38" t="s">
        <v>245</v>
      </c>
      <c r="J16" s="38" t="s">
        <v>245</v>
      </c>
      <c r="K16" s="38" t="s">
        <v>245</v>
      </c>
      <c r="L16" s="38" t="s">
        <v>245</v>
      </c>
      <c r="M16" s="38" t="s">
        <v>245</v>
      </c>
      <c r="P16" s="83">
        <v>14</v>
      </c>
      <c r="Q16" s="84">
        <f t="shared" si="0"/>
        <v>4</v>
      </c>
      <c r="U16" s="78">
        <v>14</v>
      </c>
      <c r="Y16" s="77">
        <v>14</v>
      </c>
      <c r="Z16" s="77">
        <v>14</v>
      </c>
      <c r="AB16" s="77">
        <v>14</v>
      </c>
      <c r="AE16" s="83">
        <v>14</v>
      </c>
      <c r="AI16" s="85">
        <v>4</v>
      </c>
      <c r="AM16" s="85">
        <v>3</v>
      </c>
      <c r="AN16" s="85">
        <v>2</v>
      </c>
      <c r="AP16" s="85">
        <v>3</v>
      </c>
    </row>
    <row r="17" spans="2:43" x14ac:dyDescent="0.15">
      <c r="B17" s="161"/>
      <c r="C17" s="38" t="s">
        <v>358</v>
      </c>
      <c r="D17" s="38">
        <f>INT(VLOOKUP(D14,怪物属性!$O:$AE,17,FALSE)/11)+2</f>
        <v>73</v>
      </c>
      <c r="E17" s="38">
        <f>INT(VLOOKUP(E14,怪物属性!$O:$AE,17,FALSE)/11)+2</f>
        <v>77</v>
      </c>
      <c r="F17" s="38">
        <f>INT(VLOOKUP(F14,怪物属性!$O:$AE,17,FALSE)/11)+2</f>
        <v>82</v>
      </c>
      <c r="G17" s="38">
        <f>INT(VLOOKUP(G14,怪物属性!$O:$AE,17,FALSE)/11)+2</f>
        <v>86</v>
      </c>
      <c r="H17" s="38">
        <f>INT(VLOOKUP(H14,怪物属性!$O:$AE,17,FALSE)/11)+2</f>
        <v>91</v>
      </c>
      <c r="I17" s="38">
        <f>INT(VLOOKUP(I14,怪物属性!$O:$AE,17,FALSE)/11)+2</f>
        <v>96</v>
      </c>
      <c r="J17" s="38">
        <f>INT(VLOOKUP(J14,怪物属性!$O:$AE,17,FALSE)/11)+2</f>
        <v>100</v>
      </c>
      <c r="K17" s="38">
        <f>INT(VLOOKUP(K14,怪物属性!$O:$AE,17,FALSE)/11)+2</f>
        <v>106</v>
      </c>
      <c r="L17" s="38">
        <f>INT(VLOOKUP(L14,怪物属性!$O:$AE,17,FALSE)/11)+2</f>
        <v>111</v>
      </c>
      <c r="M17" s="38">
        <f>INT(VLOOKUP(M14,怪物属性!$O:$AE,17,FALSE)/11)+2</f>
        <v>116</v>
      </c>
      <c r="P17" s="83">
        <v>15</v>
      </c>
      <c r="Q17" s="84">
        <f t="shared" si="0"/>
        <v>3</v>
      </c>
      <c r="T17" s="78">
        <v>15</v>
      </c>
      <c r="V17" s="78">
        <v>15</v>
      </c>
      <c r="AC17" s="77">
        <v>15</v>
      </c>
      <c r="AE17" s="83">
        <v>15</v>
      </c>
      <c r="AH17" s="85">
        <v>3</v>
      </c>
      <c r="AJ17" s="85">
        <v>4</v>
      </c>
      <c r="AQ17" s="85">
        <v>3</v>
      </c>
    </row>
    <row r="18" spans="2:43" x14ac:dyDescent="0.15">
      <c r="B18" s="162"/>
      <c r="C18" s="38" t="s">
        <v>360</v>
      </c>
      <c r="D18" s="38">
        <v>3</v>
      </c>
      <c r="E18" s="38">
        <v>3</v>
      </c>
      <c r="F18" s="38">
        <v>3</v>
      </c>
      <c r="G18" s="38">
        <v>3</v>
      </c>
      <c r="H18" s="38">
        <v>3</v>
      </c>
      <c r="I18" s="38">
        <v>3</v>
      </c>
      <c r="J18" s="38">
        <v>3</v>
      </c>
      <c r="K18" s="38">
        <v>3</v>
      </c>
      <c r="L18" s="38">
        <v>3</v>
      </c>
      <c r="M18" s="38">
        <v>3</v>
      </c>
      <c r="P18" s="83">
        <v>16</v>
      </c>
      <c r="Q18" s="84">
        <f t="shared" si="0"/>
        <v>4</v>
      </c>
      <c r="R18" s="82">
        <v>16</v>
      </c>
      <c r="S18" s="78">
        <v>16</v>
      </c>
      <c r="W18" s="78">
        <v>16</v>
      </c>
      <c r="AA18" s="77">
        <v>16</v>
      </c>
      <c r="AE18" s="83">
        <v>16</v>
      </c>
      <c r="AF18" s="85">
        <v>6</v>
      </c>
      <c r="AG18" s="85">
        <v>3</v>
      </c>
      <c r="AK18" s="85">
        <v>3</v>
      </c>
      <c r="AO18" s="85">
        <v>5</v>
      </c>
    </row>
    <row r="19" spans="2:43" x14ac:dyDescent="0.15"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P19" s="83">
        <v>17</v>
      </c>
      <c r="Q19" s="84">
        <f t="shared" si="0"/>
        <v>4</v>
      </c>
      <c r="U19" s="78">
        <v>17</v>
      </c>
      <c r="X19" s="77">
        <v>17</v>
      </c>
      <c r="Z19" s="77">
        <v>17</v>
      </c>
      <c r="AB19" s="77">
        <v>17</v>
      </c>
      <c r="AE19" s="83">
        <v>17</v>
      </c>
      <c r="AI19" s="85">
        <v>5</v>
      </c>
      <c r="AL19" s="85">
        <v>4</v>
      </c>
      <c r="AN19" s="85">
        <v>3</v>
      </c>
      <c r="AP19" s="85">
        <v>4</v>
      </c>
    </row>
    <row r="20" spans="2:43" x14ac:dyDescent="0.15"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P20" s="83">
        <v>18</v>
      </c>
      <c r="Q20" s="84">
        <f t="shared" si="0"/>
        <v>2</v>
      </c>
      <c r="Y20" s="77">
        <v>18</v>
      </c>
      <c r="AC20" s="77">
        <v>18</v>
      </c>
      <c r="AE20" s="83">
        <v>18</v>
      </c>
      <c r="AM20" s="85">
        <v>4</v>
      </c>
      <c r="AQ20" s="85">
        <v>4</v>
      </c>
    </row>
    <row r="21" spans="2:43" x14ac:dyDescent="0.15">
      <c r="P21" s="83">
        <v>19</v>
      </c>
      <c r="Q21" s="84">
        <f t="shared" si="0"/>
        <v>5</v>
      </c>
      <c r="R21" s="82">
        <v>19</v>
      </c>
      <c r="S21" s="78">
        <v>19</v>
      </c>
      <c r="T21" s="78">
        <v>19</v>
      </c>
      <c r="V21" s="78">
        <v>19</v>
      </c>
      <c r="AA21" s="77">
        <v>19</v>
      </c>
      <c r="AE21" s="83">
        <v>19</v>
      </c>
      <c r="AF21" s="85">
        <v>7</v>
      </c>
      <c r="AG21" s="85">
        <v>4</v>
      </c>
      <c r="AH21" s="85">
        <v>4</v>
      </c>
      <c r="AJ21" s="85">
        <v>5</v>
      </c>
      <c r="AO21" s="85">
        <v>6</v>
      </c>
    </row>
    <row r="22" spans="2:43" x14ac:dyDescent="0.15">
      <c r="B22" s="160" t="s">
        <v>348</v>
      </c>
      <c r="C22" s="76" t="s">
        <v>346</v>
      </c>
      <c r="D22" s="163" t="s">
        <v>395</v>
      </c>
      <c r="E22" s="163"/>
      <c r="F22" s="163"/>
      <c r="G22" s="163"/>
      <c r="H22" s="163"/>
      <c r="I22" s="163"/>
      <c r="J22" s="163"/>
      <c r="K22" s="163"/>
      <c r="L22" s="163"/>
      <c r="M22" s="163"/>
      <c r="P22" s="83">
        <v>20</v>
      </c>
      <c r="Q22" s="84">
        <f t="shared" si="0"/>
        <v>4</v>
      </c>
      <c r="U22" s="78">
        <v>20</v>
      </c>
      <c r="W22" s="78">
        <v>20</v>
      </c>
      <c r="Z22" s="77">
        <v>20</v>
      </c>
      <c r="AB22" s="77">
        <v>20</v>
      </c>
      <c r="AE22" s="83">
        <v>20</v>
      </c>
      <c r="AI22" s="85">
        <v>6</v>
      </c>
      <c r="AK22" s="85">
        <v>4</v>
      </c>
      <c r="AN22" s="85">
        <v>4</v>
      </c>
      <c r="AP22" s="85">
        <v>5</v>
      </c>
    </row>
    <row r="23" spans="2:43" x14ac:dyDescent="0.15">
      <c r="B23" s="161"/>
      <c r="C23" s="38"/>
      <c r="D23" s="78" t="s">
        <v>335</v>
      </c>
      <c r="E23" s="78" t="s">
        <v>336</v>
      </c>
      <c r="F23" s="78" t="s">
        <v>337</v>
      </c>
      <c r="G23" s="78" t="s">
        <v>338</v>
      </c>
      <c r="H23" s="78" t="s">
        <v>339</v>
      </c>
      <c r="I23" s="78" t="s">
        <v>340</v>
      </c>
      <c r="J23" s="78" t="s">
        <v>341</v>
      </c>
      <c r="K23" s="78" t="s">
        <v>342</v>
      </c>
      <c r="L23" s="78" t="s">
        <v>343</v>
      </c>
      <c r="M23" s="78" t="s">
        <v>344</v>
      </c>
      <c r="P23" s="83">
        <v>21</v>
      </c>
      <c r="Q23" s="84">
        <f t="shared" si="0"/>
        <v>1</v>
      </c>
      <c r="AC23" s="77">
        <v>21</v>
      </c>
      <c r="AE23" s="83">
        <v>21</v>
      </c>
      <c r="AQ23" s="85">
        <v>5</v>
      </c>
    </row>
    <row r="24" spans="2:43" x14ac:dyDescent="0.15">
      <c r="B24" s="161"/>
      <c r="C24" s="38" t="s">
        <v>371</v>
      </c>
      <c r="D24" s="78">
        <v>7</v>
      </c>
      <c r="E24" s="78">
        <v>11</v>
      </c>
      <c r="F24" s="78">
        <v>15</v>
      </c>
      <c r="G24" s="78">
        <v>19</v>
      </c>
      <c r="H24" s="78">
        <v>23</v>
      </c>
      <c r="I24" s="78">
        <v>27</v>
      </c>
      <c r="J24" s="78">
        <v>31</v>
      </c>
      <c r="K24" s="78">
        <v>35</v>
      </c>
      <c r="L24" s="78">
        <v>39</v>
      </c>
      <c r="M24" s="78">
        <v>43</v>
      </c>
      <c r="P24" s="83">
        <v>22</v>
      </c>
      <c r="Q24" s="84">
        <f t="shared" si="0"/>
        <v>5</v>
      </c>
      <c r="R24" s="82">
        <v>22</v>
      </c>
      <c r="S24" s="78">
        <v>22</v>
      </c>
      <c r="X24" s="77">
        <v>22</v>
      </c>
      <c r="Y24" s="77">
        <v>22</v>
      </c>
      <c r="AA24" s="77">
        <v>22</v>
      </c>
      <c r="AE24" s="83">
        <v>22</v>
      </c>
      <c r="AF24" s="85">
        <v>8</v>
      </c>
      <c r="AG24" s="85">
        <v>5</v>
      </c>
      <c r="AL24" s="85">
        <v>5</v>
      </c>
      <c r="AM24" s="85">
        <v>5</v>
      </c>
      <c r="AO24" s="85">
        <v>7</v>
      </c>
    </row>
    <row r="25" spans="2:43" x14ac:dyDescent="0.15">
      <c r="B25" s="161"/>
      <c r="C25" s="87" t="s">
        <v>380</v>
      </c>
      <c r="D25" s="87">
        <v>155</v>
      </c>
      <c r="E25" s="87">
        <v>160</v>
      </c>
      <c r="F25" s="87">
        <v>165</v>
      </c>
      <c r="G25" s="87">
        <v>170</v>
      </c>
      <c r="H25" s="87">
        <v>175</v>
      </c>
      <c r="I25" s="87">
        <v>180</v>
      </c>
      <c r="J25" s="87">
        <v>185</v>
      </c>
      <c r="K25" s="87">
        <v>190</v>
      </c>
      <c r="L25" s="87">
        <v>195</v>
      </c>
      <c r="M25" s="87">
        <v>200</v>
      </c>
      <c r="P25" s="83">
        <v>23</v>
      </c>
      <c r="Q25" s="84">
        <f t="shared" si="0"/>
        <v>5</v>
      </c>
      <c r="T25" s="78">
        <v>23</v>
      </c>
      <c r="U25" s="78">
        <v>23</v>
      </c>
      <c r="V25" s="78">
        <v>23</v>
      </c>
      <c r="Z25" s="77">
        <v>23</v>
      </c>
      <c r="AB25" s="77">
        <v>23</v>
      </c>
      <c r="AE25" s="83">
        <v>23</v>
      </c>
      <c r="AH25" s="85">
        <v>5</v>
      </c>
      <c r="AI25" s="85">
        <v>7</v>
      </c>
      <c r="AJ25" s="85">
        <v>6</v>
      </c>
      <c r="AN25" s="85">
        <v>5</v>
      </c>
      <c r="AP25" s="85">
        <v>6</v>
      </c>
    </row>
    <row r="26" spans="2:43" x14ac:dyDescent="0.15">
      <c r="B26" s="161"/>
      <c r="C26" s="87" t="s">
        <v>392</v>
      </c>
      <c r="D26" s="87">
        <f>INT(VLOOKUP(D24,怪物属性!$O:$U,7,FALSE)/7)</f>
        <v>782</v>
      </c>
      <c r="E26" s="87">
        <f>INT(VLOOKUP(E24,怪物属性!$O:$U,7,FALSE)/7)</f>
        <v>907</v>
      </c>
      <c r="F26" s="87">
        <f>INT(VLOOKUP(F24,怪物属性!$O:$U,7,FALSE)/7)</f>
        <v>1036</v>
      </c>
      <c r="G26" s="87">
        <f>INT(VLOOKUP(G24,怪物属性!$O:$U,7,FALSE)/7)</f>
        <v>1171</v>
      </c>
      <c r="H26" s="87">
        <f>INT(VLOOKUP(H24,怪物属性!$O:$U,7,FALSE)/7)</f>
        <v>1309</v>
      </c>
      <c r="I26" s="87">
        <f>INT(VLOOKUP(I24,怪物属性!$O:$U,7,FALSE)/7)</f>
        <v>1453</v>
      </c>
      <c r="J26" s="87">
        <f>INT(VLOOKUP(J24,怪物属性!$O:$U,7,FALSE)/7)</f>
        <v>1601</v>
      </c>
      <c r="K26" s="87">
        <f>INT(VLOOKUP(K24,怪物属性!$O:$U,7,FALSE)/7)</f>
        <v>1753</v>
      </c>
      <c r="L26" s="87">
        <f>INT(VLOOKUP(L24,怪物属性!$O:$U,7,FALSE)/7)</f>
        <v>1910</v>
      </c>
      <c r="M26" s="87">
        <f>INT(VLOOKUP(M24,怪物属性!$O:$U,7,FALSE)/7)</f>
        <v>2072</v>
      </c>
      <c r="P26" s="83">
        <v>24</v>
      </c>
      <c r="Q26" s="84">
        <f t="shared" si="0"/>
        <v>2</v>
      </c>
      <c r="W26" s="78">
        <v>24</v>
      </c>
      <c r="AC26" s="77">
        <v>24</v>
      </c>
      <c r="AE26" s="83">
        <v>24</v>
      </c>
      <c r="AK26" s="85">
        <v>5</v>
      </c>
      <c r="AQ26" s="85">
        <v>6</v>
      </c>
    </row>
    <row r="27" spans="2:43" x14ac:dyDescent="0.15">
      <c r="B27" s="161"/>
      <c r="C27" s="38" t="s">
        <v>332</v>
      </c>
      <c r="D27" s="38" t="s">
        <v>245</v>
      </c>
      <c r="E27" s="38" t="s">
        <v>245</v>
      </c>
      <c r="F27" s="38" t="s">
        <v>245</v>
      </c>
      <c r="G27" s="38" t="s">
        <v>245</v>
      </c>
      <c r="H27" s="38" t="s">
        <v>245</v>
      </c>
      <c r="I27" s="38" t="s">
        <v>245</v>
      </c>
      <c r="J27" s="38" t="s">
        <v>245</v>
      </c>
      <c r="K27" s="38" t="s">
        <v>245</v>
      </c>
      <c r="L27" s="38" t="s">
        <v>245</v>
      </c>
      <c r="M27" s="38" t="s">
        <v>245</v>
      </c>
      <c r="P27" s="83">
        <v>25</v>
      </c>
      <c r="Q27" s="84">
        <f t="shared" si="0"/>
        <v>3</v>
      </c>
      <c r="R27" s="82">
        <v>25</v>
      </c>
      <c r="S27" s="78">
        <v>25</v>
      </c>
      <c r="AA27" s="77">
        <v>25</v>
      </c>
      <c r="AE27" s="83">
        <v>25</v>
      </c>
      <c r="AF27" s="85">
        <v>9</v>
      </c>
      <c r="AG27" s="85">
        <v>6</v>
      </c>
      <c r="AO27" s="85">
        <v>8</v>
      </c>
    </row>
    <row r="28" spans="2:43" x14ac:dyDescent="0.15">
      <c r="B28" s="161"/>
      <c r="C28" s="38" t="s">
        <v>358</v>
      </c>
      <c r="D28" s="38">
        <f>INT(VLOOKUP(D24,怪物属性!$O:$AE,17,FALSE)/11)+2</f>
        <v>69</v>
      </c>
      <c r="E28" s="38">
        <f>INT(VLOOKUP(E24,怪物属性!$O:$AE,17,FALSE)/11)+2</f>
        <v>75</v>
      </c>
      <c r="F28" s="38">
        <f>INT(VLOOKUP(F24,怪物属性!$O:$AE,17,FALSE)/11)+2</f>
        <v>80</v>
      </c>
      <c r="G28" s="38">
        <f>INT(VLOOKUP(G24,怪物属性!$O:$AE,17,FALSE)/11)+2</f>
        <v>86</v>
      </c>
      <c r="H28" s="38">
        <f>INT(VLOOKUP(H24,怪物属性!$O:$AE,17,FALSE)/11)+2</f>
        <v>92</v>
      </c>
      <c r="I28" s="38">
        <f>INT(VLOOKUP(I24,怪物属性!$O:$AE,17,FALSE)/11)+2</f>
        <v>99</v>
      </c>
      <c r="J28" s="38">
        <f>INT(VLOOKUP(J24,怪物属性!$O:$AE,17,FALSE)/11)+2</f>
        <v>106</v>
      </c>
      <c r="K28" s="38">
        <f>INT(VLOOKUP(K24,怪物属性!$O:$AE,17,FALSE)/11)+2</f>
        <v>113</v>
      </c>
      <c r="L28" s="38">
        <f>INT(VLOOKUP(L24,怪物属性!$O:$AE,17,FALSE)/11)+2</f>
        <v>120</v>
      </c>
      <c r="M28" s="38">
        <f>INT(VLOOKUP(M24,怪物属性!$O:$AE,17,FALSE)/11)+2</f>
        <v>128</v>
      </c>
      <c r="P28" s="83">
        <v>26</v>
      </c>
      <c r="Q28" s="84">
        <f t="shared" si="0"/>
        <v>4</v>
      </c>
      <c r="U28" s="78">
        <v>26</v>
      </c>
      <c r="Y28" s="77">
        <v>26</v>
      </c>
      <c r="Z28" s="77">
        <v>26</v>
      </c>
      <c r="AB28" s="77">
        <v>26</v>
      </c>
      <c r="AE28" s="83">
        <v>26</v>
      </c>
      <c r="AI28" s="85">
        <v>8</v>
      </c>
      <c r="AM28" s="85">
        <v>6</v>
      </c>
      <c r="AN28" s="85">
        <v>6</v>
      </c>
      <c r="AP28" s="85">
        <v>7</v>
      </c>
    </row>
    <row r="29" spans="2:43" x14ac:dyDescent="0.15">
      <c r="B29" s="162"/>
      <c r="C29" s="38" t="s">
        <v>360</v>
      </c>
      <c r="D29" s="38">
        <v>1</v>
      </c>
      <c r="E29" s="38">
        <v>1</v>
      </c>
      <c r="F29" s="38">
        <v>1</v>
      </c>
      <c r="G29" s="38">
        <v>1</v>
      </c>
      <c r="H29" s="38">
        <v>1</v>
      </c>
      <c r="I29" s="38">
        <v>1</v>
      </c>
      <c r="J29" s="38">
        <v>1</v>
      </c>
      <c r="K29" s="38">
        <v>1</v>
      </c>
      <c r="L29" s="38">
        <v>1</v>
      </c>
      <c r="M29" s="38">
        <v>1</v>
      </c>
      <c r="P29" s="83">
        <v>27</v>
      </c>
      <c r="Q29" s="84">
        <f t="shared" si="0"/>
        <v>4</v>
      </c>
      <c r="T29" s="78">
        <v>27</v>
      </c>
      <c r="V29" s="78">
        <v>27</v>
      </c>
      <c r="X29" s="77">
        <v>27</v>
      </c>
      <c r="AC29" s="77">
        <v>27</v>
      </c>
      <c r="AE29" s="83">
        <v>27</v>
      </c>
      <c r="AH29" s="85">
        <v>6</v>
      </c>
      <c r="AJ29" s="85">
        <v>7</v>
      </c>
      <c r="AL29" s="85">
        <v>6</v>
      </c>
      <c r="AQ29" s="85">
        <v>7</v>
      </c>
    </row>
    <row r="30" spans="2:43" x14ac:dyDescent="0.15"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P30" s="83">
        <v>28</v>
      </c>
      <c r="Q30" s="84">
        <f t="shared" si="0"/>
        <v>4</v>
      </c>
      <c r="R30" s="82">
        <v>28</v>
      </c>
      <c r="S30" s="78">
        <v>28</v>
      </c>
      <c r="W30" s="78">
        <v>28</v>
      </c>
      <c r="AA30" s="77">
        <v>28</v>
      </c>
      <c r="AE30" s="83">
        <v>28</v>
      </c>
      <c r="AF30" s="85">
        <v>10</v>
      </c>
      <c r="AG30" s="85">
        <v>7</v>
      </c>
      <c r="AK30" s="85">
        <v>6</v>
      </c>
      <c r="AO30" s="85">
        <v>9</v>
      </c>
    </row>
    <row r="31" spans="2:43" x14ac:dyDescent="0.15"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P31" s="83">
        <v>29</v>
      </c>
      <c r="Q31" s="84">
        <f t="shared" si="0"/>
        <v>3</v>
      </c>
      <c r="U31" s="78">
        <v>29</v>
      </c>
      <c r="Z31" s="77">
        <v>29</v>
      </c>
      <c r="AB31" s="77">
        <v>29</v>
      </c>
      <c r="AE31" s="83">
        <v>29</v>
      </c>
      <c r="AI31" s="85">
        <v>9</v>
      </c>
      <c r="AN31" s="85">
        <v>7</v>
      </c>
      <c r="AP31" s="85">
        <v>8</v>
      </c>
    </row>
    <row r="32" spans="2:43" x14ac:dyDescent="0.15">
      <c r="P32" s="83">
        <v>30</v>
      </c>
      <c r="Q32" s="84">
        <f t="shared" si="0"/>
        <v>2</v>
      </c>
      <c r="Y32" s="77">
        <v>30</v>
      </c>
      <c r="AC32" s="77">
        <v>30</v>
      </c>
      <c r="AE32" s="83">
        <v>30</v>
      </c>
      <c r="AM32" s="85">
        <v>7</v>
      </c>
      <c r="AQ32" s="85">
        <v>8</v>
      </c>
    </row>
    <row r="33" spans="2:43" x14ac:dyDescent="0.15">
      <c r="B33" s="160" t="s">
        <v>348</v>
      </c>
      <c r="C33" s="76" t="s">
        <v>367</v>
      </c>
      <c r="D33" s="163" t="s">
        <v>378</v>
      </c>
      <c r="E33" s="163"/>
      <c r="F33" s="163"/>
      <c r="G33" s="163"/>
      <c r="H33" s="163"/>
      <c r="I33" s="163"/>
      <c r="J33" s="163"/>
      <c r="K33" s="163"/>
      <c r="L33" s="163"/>
      <c r="M33" s="163"/>
      <c r="P33" s="83">
        <v>31</v>
      </c>
      <c r="Q33" s="84">
        <f t="shared" si="0"/>
        <v>4</v>
      </c>
      <c r="S33" s="78">
        <v>31</v>
      </c>
      <c r="T33" s="78">
        <v>31</v>
      </c>
      <c r="V33" s="78">
        <v>31</v>
      </c>
      <c r="AA33" s="77">
        <v>31</v>
      </c>
      <c r="AE33" s="83">
        <v>31</v>
      </c>
      <c r="AG33" s="85">
        <v>8</v>
      </c>
      <c r="AH33" s="85">
        <v>7</v>
      </c>
      <c r="AJ33" s="85">
        <v>8</v>
      </c>
      <c r="AO33" s="85">
        <v>10</v>
      </c>
    </row>
    <row r="34" spans="2:43" x14ac:dyDescent="0.15">
      <c r="B34" s="161"/>
      <c r="C34" s="38"/>
      <c r="D34" s="78" t="s">
        <v>335</v>
      </c>
      <c r="E34" s="78" t="s">
        <v>336</v>
      </c>
      <c r="F34" s="78" t="s">
        <v>337</v>
      </c>
      <c r="G34" s="78" t="s">
        <v>338</v>
      </c>
      <c r="H34" s="78" t="s">
        <v>339</v>
      </c>
      <c r="I34" s="78" t="s">
        <v>340</v>
      </c>
      <c r="J34" s="78" t="s">
        <v>341</v>
      </c>
      <c r="K34" s="78" t="s">
        <v>342</v>
      </c>
      <c r="L34" s="78" t="s">
        <v>343</v>
      </c>
      <c r="M34" s="78" t="s">
        <v>344</v>
      </c>
      <c r="P34" s="83">
        <v>32</v>
      </c>
      <c r="Q34" s="84">
        <f t="shared" si="0"/>
        <v>5</v>
      </c>
      <c r="U34" s="78">
        <v>32</v>
      </c>
      <c r="W34" s="78">
        <v>32</v>
      </c>
      <c r="X34" s="77">
        <v>32</v>
      </c>
      <c r="Z34" s="77">
        <v>32</v>
      </c>
      <c r="AB34" s="77">
        <v>32</v>
      </c>
      <c r="AE34" s="83">
        <v>32</v>
      </c>
      <c r="AI34" s="85">
        <v>10</v>
      </c>
      <c r="AK34" s="85">
        <v>7</v>
      </c>
      <c r="AL34" s="85">
        <v>7</v>
      </c>
      <c r="AN34" s="85">
        <v>8</v>
      </c>
      <c r="AP34" s="85">
        <v>9</v>
      </c>
    </row>
    <row r="35" spans="2:43" x14ac:dyDescent="0.15">
      <c r="B35" s="161"/>
      <c r="C35" s="38" t="s">
        <v>371</v>
      </c>
      <c r="D35" s="78">
        <v>5</v>
      </c>
      <c r="E35" s="78">
        <v>8</v>
      </c>
      <c r="F35" s="78">
        <v>11</v>
      </c>
      <c r="G35" s="78">
        <v>14</v>
      </c>
      <c r="H35" s="78">
        <v>17</v>
      </c>
      <c r="I35" s="78">
        <v>20</v>
      </c>
      <c r="J35" s="78">
        <v>23</v>
      </c>
      <c r="K35" s="78">
        <v>26</v>
      </c>
      <c r="L35" s="78">
        <v>29</v>
      </c>
      <c r="M35" s="78">
        <v>32</v>
      </c>
      <c r="P35" s="83">
        <v>33</v>
      </c>
      <c r="Q35" s="84">
        <f t="shared" si="0"/>
        <v>1</v>
      </c>
      <c r="AC35" s="77">
        <v>33</v>
      </c>
      <c r="AE35" s="83">
        <v>33</v>
      </c>
      <c r="AQ35" s="85">
        <v>9</v>
      </c>
    </row>
    <row r="36" spans="2:43" x14ac:dyDescent="0.15">
      <c r="B36" s="161"/>
      <c r="C36" s="87" t="s">
        <v>377</v>
      </c>
      <c r="D36" s="87">
        <f>INT(VLOOKUP(D35,怪物属性!$AH:$AJ,2,FALSE)*0.3)</f>
        <v>103</v>
      </c>
      <c r="E36" s="87">
        <f>INT(VLOOKUP(E35,怪物属性!$AH:$AJ,2,FALSE)*0.3)</f>
        <v>118</v>
      </c>
      <c r="F36" s="87">
        <f>INT(VLOOKUP(F35,怪物属性!$AH:$AJ,2,FALSE)*0.3)</f>
        <v>132</v>
      </c>
      <c r="G36" s="87">
        <f>INT(VLOOKUP(G35,怪物属性!$AH:$AJ,2,FALSE)*0.3)</f>
        <v>147</v>
      </c>
      <c r="H36" s="87">
        <f>INT(VLOOKUP(H35,怪物属性!$AH:$AJ,2,FALSE)*0.3)</f>
        <v>161</v>
      </c>
      <c r="I36" s="87">
        <f>INT(VLOOKUP(I35,怪物属性!$AH:$AJ,2,FALSE)*0.3)</f>
        <v>175</v>
      </c>
      <c r="J36" s="87">
        <f>INT(VLOOKUP(J35,怪物属性!$AH:$AJ,2,FALSE)*0.3)</f>
        <v>187</v>
      </c>
      <c r="K36" s="87">
        <f>INT(VLOOKUP(K35,怪物属性!$AH:$AJ,2,FALSE)*0.3)</f>
        <v>198</v>
      </c>
      <c r="L36" s="87">
        <f>INT(VLOOKUP(L35,怪物属性!$AH:$AJ,2,FALSE)*0.3)</f>
        <v>208</v>
      </c>
      <c r="M36" s="87">
        <f>INT(VLOOKUP(M35,怪物属性!$AH:$AJ,2,FALSE)*0.3)</f>
        <v>216</v>
      </c>
      <c r="P36" s="83">
        <v>34</v>
      </c>
      <c r="Q36" s="84">
        <f t="shared" si="0"/>
        <v>2</v>
      </c>
      <c r="S36" s="78">
        <v>34</v>
      </c>
      <c r="Y36" s="77">
        <v>34</v>
      </c>
      <c r="AE36" s="83">
        <v>34</v>
      </c>
      <c r="AG36" s="85">
        <v>9</v>
      </c>
      <c r="AM36" s="85">
        <v>8</v>
      </c>
    </row>
    <row r="37" spans="2:43" x14ac:dyDescent="0.15">
      <c r="B37" s="161"/>
      <c r="C37" s="38" t="s">
        <v>332</v>
      </c>
      <c r="D37" s="38">
        <v>3</v>
      </c>
      <c r="E37" s="38">
        <v>3</v>
      </c>
      <c r="F37" s="38">
        <v>3</v>
      </c>
      <c r="G37" s="38">
        <v>3</v>
      </c>
      <c r="H37" s="38">
        <v>3</v>
      </c>
      <c r="I37" s="38">
        <v>3</v>
      </c>
      <c r="J37" s="38">
        <v>3</v>
      </c>
      <c r="K37" s="38">
        <v>3</v>
      </c>
      <c r="L37" s="38">
        <v>3</v>
      </c>
      <c r="M37" s="38">
        <v>3</v>
      </c>
      <c r="P37" s="83">
        <v>35</v>
      </c>
      <c r="Q37" s="84">
        <f t="shared" si="0"/>
        <v>4</v>
      </c>
      <c r="T37" s="78">
        <v>35</v>
      </c>
      <c r="V37" s="78">
        <v>35</v>
      </c>
      <c r="Z37" s="77">
        <v>35</v>
      </c>
      <c r="AB37" s="77">
        <v>35</v>
      </c>
      <c r="AE37" s="83">
        <v>35</v>
      </c>
      <c r="AH37" s="85">
        <v>8</v>
      </c>
      <c r="AJ37" s="85">
        <v>9</v>
      </c>
      <c r="AN37" s="85">
        <v>9</v>
      </c>
      <c r="AP37" s="85">
        <v>10</v>
      </c>
    </row>
    <row r="38" spans="2:43" x14ac:dyDescent="0.15">
      <c r="B38" s="161"/>
      <c r="C38" s="38" t="s">
        <v>358</v>
      </c>
      <c r="D38" s="38">
        <f>INT(VLOOKUP(D35,怪物属性!$O:$AE,17,FALSE)/11)+2</f>
        <v>67</v>
      </c>
      <c r="E38" s="38">
        <f>INT(VLOOKUP(E35,怪物属性!$O:$AE,17,FALSE)/11)+2</f>
        <v>71</v>
      </c>
      <c r="F38" s="38">
        <f>INT(VLOOKUP(F35,怪物属性!$O:$AE,17,FALSE)/11)+2</f>
        <v>75</v>
      </c>
      <c r="G38" s="38">
        <f>INT(VLOOKUP(G35,怪物属性!$O:$AE,17,FALSE)/11)+2</f>
        <v>79</v>
      </c>
      <c r="H38" s="38">
        <f>INT(VLOOKUP(H35,怪物属性!$O:$AE,17,FALSE)/11)+2</f>
        <v>83</v>
      </c>
      <c r="I38" s="38">
        <f>INT(VLOOKUP(I35,怪物属性!$O:$AE,17,FALSE)/11)+2</f>
        <v>88</v>
      </c>
      <c r="J38" s="38">
        <f>INT(VLOOKUP(J35,怪物属性!$O:$AE,17,FALSE)/11)+2</f>
        <v>92</v>
      </c>
      <c r="K38" s="38">
        <f>INT(VLOOKUP(K35,怪物属性!$O:$AE,17,FALSE)/11)+2</f>
        <v>97</v>
      </c>
      <c r="L38" s="38">
        <f>INT(VLOOKUP(L35,怪物属性!$O:$AE,17,FALSE)/11)+2</f>
        <v>102</v>
      </c>
      <c r="M38" s="38">
        <f>INT(VLOOKUP(M35,怪物属性!$O:$AE,17,FALSE)/11)+2</f>
        <v>107</v>
      </c>
      <c r="P38" s="83">
        <v>36</v>
      </c>
      <c r="Q38" s="84">
        <f t="shared" si="0"/>
        <v>2</v>
      </c>
      <c r="W38" s="78">
        <v>36</v>
      </c>
      <c r="AC38" s="77">
        <v>36</v>
      </c>
      <c r="AE38" s="83">
        <v>36</v>
      </c>
      <c r="AK38" s="85">
        <v>8</v>
      </c>
      <c r="AQ38" s="85">
        <v>10</v>
      </c>
    </row>
    <row r="39" spans="2:43" x14ac:dyDescent="0.15">
      <c r="B39" s="162"/>
      <c r="C39" s="38" t="s">
        <v>360</v>
      </c>
      <c r="D39" s="38">
        <v>4</v>
      </c>
      <c r="E39" s="38">
        <v>4</v>
      </c>
      <c r="F39" s="38">
        <v>4</v>
      </c>
      <c r="G39" s="38">
        <v>4</v>
      </c>
      <c r="H39" s="38">
        <v>4</v>
      </c>
      <c r="I39" s="38">
        <v>4</v>
      </c>
      <c r="J39" s="38">
        <v>4</v>
      </c>
      <c r="K39" s="38">
        <v>4</v>
      </c>
      <c r="L39" s="38">
        <v>4</v>
      </c>
      <c r="M39" s="38">
        <v>4</v>
      </c>
      <c r="P39" s="83">
        <v>37</v>
      </c>
      <c r="Q39" s="84">
        <f t="shared" si="0"/>
        <v>2</v>
      </c>
      <c r="S39" s="78">
        <v>37</v>
      </c>
      <c r="X39" s="77">
        <v>37</v>
      </c>
      <c r="AE39" s="83">
        <v>37</v>
      </c>
      <c r="AG39" s="85">
        <v>10</v>
      </c>
      <c r="AL39" s="85">
        <v>8</v>
      </c>
    </row>
    <row r="40" spans="2:43" x14ac:dyDescent="0.15"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P40" s="83">
        <v>38</v>
      </c>
      <c r="Q40" s="84">
        <f t="shared" si="0"/>
        <v>2</v>
      </c>
      <c r="Y40" s="77">
        <v>38</v>
      </c>
      <c r="Z40" s="77">
        <v>38</v>
      </c>
      <c r="AE40" s="83">
        <v>38</v>
      </c>
      <c r="AM40" s="85">
        <v>9</v>
      </c>
      <c r="AN40" s="85">
        <v>10</v>
      </c>
    </row>
    <row r="41" spans="2:43" x14ac:dyDescent="0.15"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P41" s="83">
        <v>39</v>
      </c>
      <c r="Q41" s="84">
        <f t="shared" si="0"/>
        <v>2</v>
      </c>
      <c r="T41" s="78">
        <v>39</v>
      </c>
      <c r="V41" s="78">
        <v>39</v>
      </c>
      <c r="AE41" s="83">
        <v>39</v>
      </c>
      <c r="AH41" s="85">
        <v>9</v>
      </c>
      <c r="AJ41" s="85">
        <v>10</v>
      </c>
    </row>
    <row r="42" spans="2:43" x14ac:dyDescent="0.15">
      <c r="P42" s="83">
        <v>40</v>
      </c>
      <c r="Q42" s="84">
        <f t="shared" si="0"/>
        <v>1</v>
      </c>
      <c r="W42" s="78">
        <v>40</v>
      </c>
      <c r="AE42" s="83">
        <v>40</v>
      </c>
      <c r="AK42" s="85">
        <v>9</v>
      </c>
    </row>
    <row r="43" spans="2:43" x14ac:dyDescent="0.15">
      <c r="B43" s="160" t="s">
        <v>348</v>
      </c>
      <c r="C43" s="76" t="s">
        <v>365</v>
      </c>
      <c r="D43" s="163" t="s">
        <v>347</v>
      </c>
      <c r="E43" s="163"/>
      <c r="F43" s="163"/>
      <c r="G43" s="163"/>
      <c r="H43" s="163"/>
      <c r="I43" s="163"/>
      <c r="J43" s="163"/>
      <c r="K43" s="163"/>
      <c r="L43" s="163"/>
      <c r="M43" s="163"/>
      <c r="P43" s="83">
        <v>41</v>
      </c>
      <c r="Q43" s="84">
        <f t="shared" si="0"/>
        <v>0</v>
      </c>
      <c r="AE43" s="83">
        <v>41</v>
      </c>
    </row>
    <row r="44" spans="2:43" x14ac:dyDescent="0.15">
      <c r="B44" s="161"/>
      <c r="C44" s="38"/>
      <c r="D44" s="78" t="s">
        <v>335</v>
      </c>
      <c r="E44" s="78" t="s">
        <v>336</v>
      </c>
      <c r="F44" s="78" t="s">
        <v>337</v>
      </c>
      <c r="G44" s="78" t="s">
        <v>338</v>
      </c>
      <c r="H44" s="78" t="s">
        <v>339</v>
      </c>
      <c r="I44" s="78" t="s">
        <v>340</v>
      </c>
      <c r="J44" s="78" t="s">
        <v>341</v>
      </c>
      <c r="K44" s="78" t="s">
        <v>342</v>
      </c>
      <c r="L44" s="78" t="s">
        <v>343</v>
      </c>
      <c r="M44" s="78" t="s">
        <v>344</v>
      </c>
      <c r="P44" s="83">
        <v>42</v>
      </c>
      <c r="Q44" s="84">
        <f t="shared" si="0"/>
        <v>2</v>
      </c>
      <c r="X44" s="77">
        <v>42</v>
      </c>
      <c r="Y44" s="77">
        <v>42</v>
      </c>
      <c r="AE44" s="83">
        <v>42</v>
      </c>
      <c r="AL44" s="85">
        <v>9</v>
      </c>
      <c r="AM44" s="85">
        <v>10</v>
      </c>
    </row>
    <row r="45" spans="2:43" x14ac:dyDescent="0.15">
      <c r="B45" s="161"/>
      <c r="C45" s="38" t="s">
        <v>371</v>
      </c>
      <c r="D45" s="78">
        <v>3</v>
      </c>
      <c r="E45" s="78">
        <v>7</v>
      </c>
      <c r="F45" s="78">
        <v>11</v>
      </c>
      <c r="G45" s="78">
        <v>15</v>
      </c>
      <c r="H45" s="78">
        <v>19</v>
      </c>
      <c r="I45" s="78">
        <v>23</v>
      </c>
      <c r="J45" s="78">
        <v>27</v>
      </c>
      <c r="K45" s="78">
        <v>31</v>
      </c>
      <c r="L45" s="78">
        <v>35</v>
      </c>
      <c r="M45" s="78">
        <v>39</v>
      </c>
      <c r="P45" s="83">
        <v>43</v>
      </c>
      <c r="Q45" s="84">
        <f t="shared" si="0"/>
        <v>1</v>
      </c>
      <c r="T45" s="78">
        <v>43</v>
      </c>
      <c r="AE45" s="83">
        <v>43</v>
      </c>
      <c r="AH45" s="85">
        <v>10</v>
      </c>
    </row>
    <row r="46" spans="2:43" x14ac:dyDescent="0.15">
      <c r="B46" s="161"/>
      <c r="C46" s="87" t="s">
        <v>379</v>
      </c>
      <c r="D46" s="87">
        <f>INT(VLOOKUP(D45,怪物属性!$O:$V,8,FALSE)*0.3)</f>
        <v>914</v>
      </c>
      <c r="E46" s="87">
        <f>INT(VLOOKUP(E45,怪物属性!$O:$V,8,FALSE)*0.3)</f>
        <v>950</v>
      </c>
      <c r="F46" s="87">
        <f>INT(VLOOKUP(F45,怪物属性!$O:$V,8,FALSE)*0.3)</f>
        <v>999</v>
      </c>
      <c r="G46" s="87">
        <f>INT(VLOOKUP(G45,怪物属性!$O:$V,8,FALSE)*0.3)</f>
        <v>1067</v>
      </c>
      <c r="H46" s="87">
        <f>INT(VLOOKUP(H45,怪物属性!$O:$V,8,FALSE)*0.3)</f>
        <v>1163</v>
      </c>
      <c r="I46" s="87">
        <f>INT(VLOOKUP(I45,怪物属性!$O:$V,8,FALSE)*0.3)</f>
        <v>1303</v>
      </c>
      <c r="J46" s="87">
        <f>INT(VLOOKUP(J45,怪物属性!$O:$V,8,FALSE)*0.3)</f>
        <v>1508</v>
      </c>
      <c r="K46" s="87">
        <f>INT(VLOOKUP(K45,怪物属性!$O:$V,8,FALSE)*0.3)</f>
        <v>1812</v>
      </c>
      <c r="L46" s="87">
        <f>INT(VLOOKUP(L45,怪物属性!$O:$V,8,FALSE)*0.3)</f>
        <v>2262</v>
      </c>
      <c r="M46" s="87">
        <f>INT(VLOOKUP(M45,怪物属性!$O:$V,8,FALSE)*0.3)</f>
        <v>2931</v>
      </c>
      <c r="P46" s="83">
        <v>44</v>
      </c>
      <c r="Q46" s="84">
        <f t="shared" si="0"/>
        <v>1</v>
      </c>
      <c r="W46" s="78">
        <v>44</v>
      </c>
      <c r="AE46" s="83">
        <v>44</v>
      </c>
      <c r="AK46" s="85">
        <v>10</v>
      </c>
    </row>
    <row r="47" spans="2:43" x14ac:dyDescent="0.15">
      <c r="B47" s="161"/>
      <c r="C47" s="38" t="s">
        <v>332</v>
      </c>
      <c r="D47" s="38" t="s">
        <v>245</v>
      </c>
      <c r="E47" s="38" t="s">
        <v>245</v>
      </c>
      <c r="F47" s="38" t="s">
        <v>245</v>
      </c>
      <c r="G47" s="38" t="s">
        <v>245</v>
      </c>
      <c r="H47" s="38" t="s">
        <v>245</v>
      </c>
      <c r="I47" s="38" t="s">
        <v>245</v>
      </c>
      <c r="J47" s="38" t="s">
        <v>245</v>
      </c>
      <c r="K47" s="38" t="s">
        <v>245</v>
      </c>
      <c r="L47" s="38" t="s">
        <v>245</v>
      </c>
      <c r="M47" s="38" t="s">
        <v>245</v>
      </c>
      <c r="P47" s="83">
        <v>45</v>
      </c>
      <c r="Q47" s="84">
        <f t="shared" si="0"/>
        <v>0</v>
      </c>
      <c r="AE47" s="83">
        <v>45</v>
      </c>
    </row>
    <row r="48" spans="2:43" x14ac:dyDescent="0.15">
      <c r="B48" s="161"/>
      <c r="C48" s="38" t="s">
        <v>358</v>
      </c>
      <c r="D48" s="38">
        <f>INT(VLOOKUP(D45,怪物属性!$O:$AE,17,FALSE)/11)+2</f>
        <v>64</v>
      </c>
      <c r="E48" s="38">
        <f>INT(VLOOKUP(E45,怪物属性!$O:$AE,17,FALSE)/11)+2</f>
        <v>69</v>
      </c>
      <c r="F48" s="38">
        <f>INT(VLOOKUP(F45,怪物属性!$O:$AE,17,FALSE)/11)+2</f>
        <v>75</v>
      </c>
      <c r="G48" s="38">
        <f>INT(VLOOKUP(G45,怪物属性!$O:$AE,17,FALSE)/11)+2</f>
        <v>80</v>
      </c>
      <c r="H48" s="38">
        <f>INT(VLOOKUP(H45,怪物属性!$O:$AE,17,FALSE)/11)+2</f>
        <v>86</v>
      </c>
      <c r="I48" s="38">
        <f>INT(VLOOKUP(I45,怪物属性!$O:$AE,17,FALSE)/11)+2</f>
        <v>92</v>
      </c>
      <c r="J48" s="38">
        <f>INT(VLOOKUP(J45,怪物属性!$O:$AE,17,FALSE)/11)+2</f>
        <v>99</v>
      </c>
      <c r="K48" s="38">
        <f>INT(VLOOKUP(K45,怪物属性!$O:$AE,17,FALSE)/11)+2</f>
        <v>106</v>
      </c>
      <c r="L48" s="38">
        <f>INT(VLOOKUP(L45,怪物属性!$O:$AE,17,FALSE)/11)+2</f>
        <v>113</v>
      </c>
      <c r="M48" s="38">
        <f>INT(VLOOKUP(M45,怪物属性!$O:$AE,17,FALSE)/11)+2</f>
        <v>120</v>
      </c>
      <c r="P48" s="83">
        <v>46</v>
      </c>
      <c r="Q48" s="84">
        <f t="shared" si="0"/>
        <v>0</v>
      </c>
      <c r="AE48" s="83">
        <v>46</v>
      </c>
    </row>
    <row r="49" spans="2:38" x14ac:dyDescent="0.15">
      <c r="B49" s="162"/>
      <c r="C49" s="38" t="s">
        <v>360</v>
      </c>
      <c r="D49" s="38">
        <v>1</v>
      </c>
      <c r="E49" s="38">
        <v>1</v>
      </c>
      <c r="F49" s="38">
        <v>1</v>
      </c>
      <c r="G49" s="38">
        <v>1</v>
      </c>
      <c r="H49" s="38">
        <v>1</v>
      </c>
      <c r="I49" s="38">
        <v>1</v>
      </c>
      <c r="J49" s="38">
        <v>1</v>
      </c>
      <c r="K49" s="38">
        <v>1</v>
      </c>
      <c r="L49" s="38">
        <v>1</v>
      </c>
      <c r="M49" s="38">
        <v>1</v>
      </c>
      <c r="P49" s="83">
        <v>47</v>
      </c>
      <c r="Q49" s="84">
        <f t="shared" si="0"/>
        <v>1</v>
      </c>
      <c r="X49" s="77">
        <v>47</v>
      </c>
      <c r="AE49" s="83">
        <v>47</v>
      </c>
      <c r="AL49" s="85">
        <v>10</v>
      </c>
    </row>
    <row r="50" spans="2:38" x14ac:dyDescent="0.15"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P50" s="83">
        <v>48</v>
      </c>
      <c r="Q50" s="84">
        <f t="shared" si="0"/>
        <v>0</v>
      </c>
      <c r="AE50" s="83">
        <v>48</v>
      </c>
    </row>
    <row r="51" spans="2:38" x14ac:dyDescent="0.15"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P51" s="83">
        <v>49</v>
      </c>
      <c r="Q51" s="84">
        <f t="shared" si="0"/>
        <v>0</v>
      </c>
      <c r="AE51" s="83">
        <v>49</v>
      </c>
    </row>
    <row r="52" spans="2:38" x14ac:dyDescent="0.15">
      <c r="P52" s="83">
        <v>50</v>
      </c>
      <c r="Q52" s="84">
        <f t="shared" si="0"/>
        <v>0</v>
      </c>
      <c r="AE52" s="83">
        <v>50</v>
      </c>
    </row>
    <row r="53" spans="2:38" x14ac:dyDescent="0.15">
      <c r="B53" s="160" t="s">
        <v>348</v>
      </c>
      <c r="C53" s="76" t="s">
        <v>362</v>
      </c>
      <c r="D53" s="163" t="s">
        <v>363</v>
      </c>
      <c r="E53" s="163"/>
      <c r="F53" s="163"/>
      <c r="G53" s="163"/>
      <c r="H53" s="163"/>
      <c r="I53" s="163"/>
      <c r="J53" s="163"/>
      <c r="K53" s="163"/>
      <c r="L53" s="163"/>
      <c r="M53" s="163"/>
    </row>
    <row r="54" spans="2:38" x14ac:dyDescent="0.15">
      <c r="B54" s="161"/>
      <c r="C54" s="38"/>
      <c r="D54" s="78" t="s">
        <v>335</v>
      </c>
      <c r="E54" s="78" t="s">
        <v>336</v>
      </c>
      <c r="F54" s="78" t="s">
        <v>337</v>
      </c>
      <c r="G54" s="78" t="s">
        <v>338</v>
      </c>
      <c r="H54" s="78" t="s">
        <v>339</v>
      </c>
      <c r="I54" s="78" t="s">
        <v>340</v>
      </c>
      <c r="J54" s="78" t="s">
        <v>341</v>
      </c>
      <c r="K54" s="78" t="s">
        <v>342</v>
      </c>
      <c r="L54" s="78" t="s">
        <v>343</v>
      </c>
      <c r="M54" s="78" t="s">
        <v>344</v>
      </c>
    </row>
    <row r="55" spans="2:38" x14ac:dyDescent="0.15">
      <c r="B55" s="161"/>
      <c r="C55" s="38" t="s">
        <v>371</v>
      </c>
      <c r="D55" s="78">
        <v>8</v>
      </c>
      <c r="E55" s="78">
        <v>12</v>
      </c>
      <c r="F55" s="78">
        <v>16</v>
      </c>
      <c r="G55" s="78">
        <v>20</v>
      </c>
      <c r="H55" s="78">
        <v>24</v>
      </c>
      <c r="I55" s="78">
        <v>28</v>
      </c>
      <c r="J55" s="78">
        <v>32</v>
      </c>
      <c r="K55" s="78">
        <v>36</v>
      </c>
      <c r="L55" s="78">
        <v>40</v>
      </c>
      <c r="M55" s="78">
        <v>44</v>
      </c>
    </row>
    <row r="56" spans="2:38" x14ac:dyDescent="0.15">
      <c r="B56" s="161"/>
      <c r="C56" s="87" t="s">
        <v>361</v>
      </c>
      <c r="D56" s="87">
        <v>10</v>
      </c>
      <c r="E56" s="87">
        <v>15</v>
      </c>
      <c r="F56" s="87">
        <v>20</v>
      </c>
      <c r="G56" s="87">
        <v>25</v>
      </c>
      <c r="H56" s="87">
        <v>30</v>
      </c>
      <c r="I56" s="87">
        <v>35</v>
      </c>
      <c r="J56" s="87">
        <v>40</v>
      </c>
      <c r="K56" s="87">
        <v>45</v>
      </c>
      <c r="L56" s="87">
        <v>50</v>
      </c>
      <c r="M56" s="87">
        <v>55</v>
      </c>
    </row>
    <row r="57" spans="2:38" x14ac:dyDescent="0.15">
      <c r="B57" s="161"/>
      <c r="C57" s="38" t="s">
        <v>332</v>
      </c>
      <c r="D57" s="38">
        <v>3</v>
      </c>
      <c r="E57" s="38">
        <v>3</v>
      </c>
      <c r="F57" s="38">
        <v>3</v>
      </c>
      <c r="G57" s="38">
        <v>3</v>
      </c>
      <c r="H57" s="38">
        <v>3</v>
      </c>
      <c r="I57" s="38">
        <v>3</v>
      </c>
      <c r="J57" s="38">
        <v>3</v>
      </c>
      <c r="K57" s="38">
        <v>3</v>
      </c>
      <c r="L57" s="38">
        <v>3</v>
      </c>
      <c r="M57" s="38">
        <v>3</v>
      </c>
    </row>
    <row r="58" spans="2:38" x14ac:dyDescent="0.15">
      <c r="B58" s="161"/>
      <c r="C58" s="38" t="s">
        <v>358</v>
      </c>
      <c r="D58" s="38">
        <f>INT(VLOOKUP(D55,怪物属性!$O:$AE,17,FALSE)/11)+2</f>
        <v>71</v>
      </c>
      <c r="E58" s="38">
        <f>INT(VLOOKUP(E55,怪物属性!$O:$AE,17,FALSE)/11)+2</f>
        <v>76</v>
      </c>
      <c r="F58" s="38">
        <f>INT(VLOOKUP(F55,怪物属性!$O:$AE,17,FALSE)/11)+2</f>
        <v>82</v>
      </c>
      <c r="G58" s="38">
        <f>INT(VLOOKUP(G55,怪物属性!$O:$AE,17,FALSE)/11)+2</f>
        <v>88</v>
      </c>
      <c r="H58" s="38">
        <f>INT(VLOOKUP(H55,怪物属性!$O:$AE,17,FALSE)/11)+2</f>
        <v>94</v>
      </c>
      <c r="I58" s="38">
        <f>INT(VLOOKUP(I55,怪物属性!$O:$AE,17,FALSE)/11)+2</f>
        <v>100</v>
      </c>
      <c r="J58" s="38">
        <f>INT(VLOOKUP(J55,怪物属性!$O:$AE,17,FALSE)/11)+2</f>
        <v>107</v>
      </c>
      <c r="K58" s="38">
        <f>INT(VLOOKUP(K55,怪物属性!$O:$AE,17,FALSE)/11)+2</f>
        <v>115</v>
      </c>
      <c r="L58" s="38">
        <f>INT(VLOOKUP(L55,怪物属性!$O:$AE,17,FALSE)/11)+2</f>
        <v>122</v>
      </c>
      <c r="M58" s="38">
        <f>INT(VLOOKUP(M55,怪物属性!$O:$AE,17,FALSE)/11)+2</f>
        <v>130</v>
      </c>
    </row>
    <row r="59" spans="2:38" x14ac:dyDescent="0.15">
      <c r="B59" s="162"/>
      <c r="C59" s="38" t="s">
        <v>360</v>
      </c>
      <c r="D59" s="38">
        <v>4</v>
      </c>
      <c r="E59" s="38">
        <v>4</v>
      </c>
      <c r="F59" s="38">
        <v>4</v>
      </c>
      <c r="G59" s="38">
        <v>4</v>
      </c>
      <c r="H59" s="38">
        <v>4</v>
      </c>
      <c r="I59" s="38">
        <v>4</v>
      </c>
      <c r="J59" s="38">
        <v>4</v>
      </c>
      <c r="K59" s="38">
        <v>4</v>
      </c>
      <c r="L59" s="38">
        <v>4</v>
      </c>
      <c r="M59" s="38">
        <v>4</v>
      </c>
    </row>
    <row r="60" spans="2:38" x14ac:dyDescent="0.15">
      <c r="D60" s="80"/>
      <c r="E60" s="80"/>
      <c r="F60" s="80"/>
      <c r="G60" s="80"/>
      <c r="H60" s="80"/>
      <c r="I60" s="80"/>
      <c r="J60" s="80"/>
      <c r="K60" s="80"/>
      <c r="L60" s="80"/>
      <c r="M60" s="80"/>
    </row>
    <row r="61" spans="2:38" x14ac:dyDescent="0.15">
      <c r="D61" s="80"/>
      <c r="E61" s="80"/>
      <c r="F61" s="80"/>
      <c r="G61" s="80"/>
      <c r="H61" s="80"/>
      <c r="I61" s="80"/>
      <c r="J61" s="80"/>
      <c r="K61" s="80"/>
      <c r="L61" s="80"/>
      <c r="M61" s="80"/>
    </row>
    <row r="63" spans="2:38" x14ac:dyDescent="0.15">
      <c r="B63" s="158" t="s">
        <v>349</v>
      </c>
      <c r="C63" s="37" t="s">
        <v>364</v>
      </c>
      <c r="D63" s="159" t="s">
        <v>393</v>
      </c>
      <c r="E63" s="159"/>
      <c r="F63" s="159"/>
      <c r="G63" s="159"/>
      <c r="H63" s="159"/>
      <c r="I63" s="159"/>
      <c r="J63" s="159"/>
      <c r="K63" s="159"/>
      <c r="L63" s="159"/>
      <c r="M63" s="159"/>
    </row>
    <row r="64" spans="2:38" x14ac:dyDescent="0.15">
      <c r="B64" s="158"/>
      <c r="C64" s="38"/>
      <c r="D64" s="77" t="s">
        <v>335</v>
      </c>
      <c r="E64" s="77" t="s">
        <v>336</v>
      </c>
      <c r="F64" s="77" t="s">
        <v>337</v>
      </c>
      <c r="G64" s="77" t="s">
        <v>338</v>
      </c>
      <c r="H64" s="77" t="s">
        <v>339</v>
      </c>
      <c r="I64" s="77" t="s">
        <v>340</v>
      </c>
      <c r="J64" s="77" t="s">
        <v>341</v>
      </c>
      <c r="K64" s="77" t="s">
        <v>342</v>
      </c>
      <c r="L64" s="77" t="s">
        <v>343</v>
      </c>
      <c r="M64" s="77" t="s">
        <v>344</v>
      </c>
    </row>
    <row r="65" spans="2:13" x14ac:dyDescent="0.15">
      <c r="B65" s="158"/>
      <c r="C65" s="38" t="s">
        <v>371</v>
      </c>
      <c r="D65" s="77">
        <v>2</v>
      </c>
      <c r="E65" s="77">
        <v>7</v>
      </c>
      <c r="F65" s="77">
        <v>12</v>
      </c>
      <c r="G65" s="77">
        <v>17</v>
      </c>
      <c r="H65" s="77">
        <v>22</v>
      </c>
      <c r="I65" s="77">
        <v>27</v>
      </c>
      <c r="J65" s="77">
        <v>32</v>
      </c>
      <c r="K65" s="77">
        <v>37</v>
      </c>
      <c r="L65" s="77">
        <v>42</v>
      </c>
      <c r="M65" s="77">
        <v>47</v>
      </c>
    </row>
    <row r="66" spans="2:13" x14ac:dyDescent="0.15">
      <c r="B66" s="158"/>
      <c r="C66" s="38" t="s">
        <v>353</v>
      </c>
      <c r="D66" s="38" t="s">
        <v>245</v>
      </c>
      <c r="E66" s="38" t="s">
        <v>245</v>
      </c>
      <c r="F66" s="38" t="s">
        <v>245</v>
      </c>
      <c r="G66" s="38" t="s">
        <v>245</v>
      </c>
      <c r="H66" s="38" t="s">
        <v>245</v>
      </c>
      <c r="I66" s="38" t="s">
        <v>245</v>
      </c>
      <c r="J66" s="38" t="s">
        <v>245</v>
      </c>
      <c r="K66" s="38" t="s">
        <v>245</v>
      </c>
      <c r="L66" s="38" t="s">
        <v>245</v>
      </c>
      <c r="M66" s="38" t="s">
        <v>245</v>
      </c>
    </row>
    <row r="67" spans="2:13" x14ac:dyDescent="0.15">
      <c r="B67" s="158"/>
      <c r="C67" s="38" t="s">
        <v>354</v>
      </c>
      <c r="D67" s="38" t="s">
        <v>370</v>
      </c>
      <c r="E67" s="38" t="s">
        <v>387</v>
      </c>
      <c r="F67" s="38" t="s">
        <v>245</v>
      </c>
      <c r="G67" s="38" t="s">
        <v>245</v>
      </c>
      <c r="H67" s="38" t="s">
        <v>245</v>
      </c>
      <c r="I67" s="38" t="s">
        <v>245</v>
      </c>
      <c r="J67" s="38" t="s">
        <v>245</v>
      </c>
      <c r="K67" s="38" t="s">
        <v>245</v>
      </c>
      <c r="L67" s="38" t="s">
        <v>245</v>
      </c>
      <c r="M67" s="38" t="s">
        <v>245</v>
      </c>
    </row>
    <row r="68" spans="2:13" x14ac:dyDescent="0.15">
      <c r="B68" s="158"/>
      <c r="C68" s="87" t="s">
        <v>382</v>
      </c>
      <c r="D68" s="87">
        <f>INT(D46*0.5)</f>
        <v>457</v>
      </c>
      <c r="E68" s="87">
        <f t="shared" ref="E68:M68" si="1">INT(E46*0.5)</f>
        <v>475</v>
      </c>
      <c r="F68" s="87">
        <f t="shared" si="1"/>
        <v>499</v>
      </c>
      <c r="G68" s="87">
        <f t="shared" si="1"/>
        <v>533</v>
      </c>
      <c r="H68" s="87">
        <f t="shared" si="1"/>
        <v>581</v>
      </c>
      <c r="I68" s="87">
        <f t="shared" si="1"/>
        <v>651</v>
      </c>
      <c r="J68" s="87">
        <f t="shared" si="1"/>
        <v>754</v>
      </c>
      <c r="K68" s="87">
        <f t="shared" si="1"/>
        <v>906</v>
      </c>
      <c r="L68" s="87">
        <f t="shared" si="1"/>
        <v>1131</v>
      </c>
      <c r="M68" s="87">
        <f t="shared" si="1"/>
        <v>1465</v>
      </c>
    </row>
    <row r="69" spans="2:13" x14ac:dyDescent="0.15">
      <c r="B69" s="158"/>
      <c r="C69" s="38" t="s">
        <v>355</v>
      </c>
      <c r="D69" s="38" t="s">
        <v>245</v>
      </c>
      <c r="E69" s="38" t="s">
        <v>245</v>
      </c>
      <c r="F69" s="38" t="s">
        <v>245</v>
      </c>
      <c r="G69" s="38" t="s">
        <v>245</v>
      </c>
      <c r="H69" s="38" t="s">
        <v>245</v>
      </c>
      <c r="I69" s="38" t="s">
        <v>245</v>
      </c>
      <c r="J69" s="38" t="s">
        <v>245</v>
      </c>
      <c r="K69" s="38" t="s">
        <v>245</v>
      </c>
      <c r="L69" s="38" t="s">
        <v>245</v>
      </c>
      <c r="M69" s="38" t="s">
        <v>245</v>
      </c>
    </row>
    <row r="70" spans="2:13" x14ac:dyDescent="0.15"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</row>
    <row r="71" spans="2:13" x14ac:dyDescent="0.15"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</row>
    <row r="73" spans="2:13" x14ac:dyDescent="0.15">
      <c r="B73" s="158" t="s">
        <v>349</v>
      </c>
      <c r="C73" s="37" t="s">
        <v>399</v>
      </c>
      <c r="D73" s="159" t="s">
        <v>394</v>
      </c>
      <c r="E73" s="159"/>
      <c r="F73" s="159"/>
      <c r="G73" s="159"/>
      <c r="H73" s="159"/>
      <c r="I73" s="159"/>
      <c r="J73" s="159"/>
      <c r="K73" s="159"/>
      <c r="L73" s="159"/>
      <c r="M73" s="159"/>
    </row>
    <row r="74" spans="2:13" x14ac:dyDescent="0.15">
      <c r="B74" s="158"/>
      <c r="C74" s="38"/>
      <c r="D74" s="77" t="s">
        <v>335</v>
      </c>
      <c r="E74" s="77" t="s">
        <v>336</v>
      </c>
      <c r="F74" s="77" t="s">
        <v>337</v>
      </c>
      <c r="G74" s="77" t="s">
        <v>338</v>
      </c>
      <c r="H74" s="77" t="s">
        <v>339</v>
      </c>
      <c r="I74" s="77" t="s">
        <v>340</v>
      </c>
      <c r="J74" s="77" t="s">
        <v>341</v>
      </c>
      <c r="K74" s="77" t="s">
        <v>342</v>
      </c>
      <c r="L74" s="77" t="s">
        <v>343</v>
      </c>
      <c r="M74" s="77" t="s">
        <v>344</v>
      </c>
    </row>
    <row r="75" spans="2:13" x14ac:dyDescent="0.15">
      <c r="B75" s="158"/>
      <c r="C75" s="38" t="s">
        <v>371</v>
      </c>
      <c r="D75" s="77">
        <v>6</v>
      </c>
      <c r="E75" s="77">
        <v>10</v>
      </c>
      <c r="F75" s="77">
        <v>14</v>
      </c>
      <c r="G75" s="77">
        <v>18</v>
      </c>
      <c r="H75" s="77">
        <v>22</v>
      </c>
      <c r="I75" s="77">
        <v>26</v>
      </c>
      <c r="J75" s="77">
        <v>30</v>
      </c>
      <c r="K75" s="77">
        <v>34</v>
      </c>
      <c r="L75" s="77">
        <v>38</v>
      </c>
      <c r="M75" s="77">
        <v>42</v>
      </c>
    </row>
    <row r="76" spans="2:13" x14ac:dyDescent="0.15">
      <c r="B76" s="158"/>
      <c r="C76" s="38" t="s">
        <v>353</v>
      </c>
      <c r="D76" s="38">
        <v>1</v>
      </c>
      <c r="E76" s="38">
        <v>2</v>
      </c>
      <c r="F76" s="38">
        <v>3</v>
      </c>
      <c r="G76" s="38">
        <v>4</v>
      </c>
      <c r="H76" s="38">
        <v>5</v>
      </c>
      <c r="I76" s="38">
        <v>6</v>
      </c>
      <c r="J76" s="38">
        <v>7</v>
      </c>
      <c r="K76" s="38">
        <v>8</v>
      </c>
      <c r="L76" s="38">
        <v>9</v>
      </c>
      <c r="M76" s="38">
        <v>10</v>
      </c>
    </row>
    <row r="77" spans="2:13" x14ac:dyDescent="0.15">
      <c r="B77" s="158"/>
      <c r="C77" s="38" t="s">
        <v>354</v>
      </c>
      <c r="D77" s="38">
        <v>5</v>
      </c>
      <c r="E77" s="38">
        <v>5</v>
      </c>
      <c r="F77" s="38">
        <v>5</v>
      </c>
      <c r="G77" s="38">
        <v>5</v>
      </c>
      <c r="H77" s="38">
        <v>5</v>
      </c>
      <c r="I77" s="38">
        <v>5</v>
      </c>
      <c r="J77" s="38">
        <v>5</v>
      </c>
      <c r="K77" s="38">
        <v>5</v>
      </c>
      <c r="L77" s="38">
        <v>5</v>
      </c>
      <c r="M77" s="38">
        <v>5</v>
      </c>
    </row>
    <row r="78" spans="2:13" x14ac:dyDescent="0.15">
      <c r="B78" s="158"/>
      <c r="C78" s="87" t="s">
        <v>333</v>
      </c>
      <c r="D78" s="87">
        <v>7</v>
      </c>
      <c r="E78" s="87">
        <v>9</v>
      </c>
      <c r="F78" s="87">
        <v>11</v>
      </c>
      <c r="G78" s="87">
        <v>13</v>
      </c>
      <c r="H78" s="87">
        <v>15</v>
      </c>
      <c r="I78" s="87">
        <v>17</v>
      </c>
      <c r="J78" s="87">
        <v>19</v>
      </c>
      <c r="K78" s="87">
        <v>21</v>
      </c>
      <c r="L78" s="87">
        <v>23</v>
      </c>
      <c r="M78" s="87">
        <v>25</v>
      </c>
    </row>
    <row r="79" spans="2:13" x14ac:dyDescent="0.15">
      <c r="B79" s="158"/>
      <c r="C79" s="38" t="s">
        <v>359</v>
      </c>
      <c r="D79" s="38" t="s">
        <v>386</v>
      </c>
      <c r="E79" s="38" t="s">
        <v>386</v>
      </c>
      <c r="F79" s="38" t="s">
        <v>386</v>
      </c>
      <c r="G79" s="38" t="s">
        <v>386</v>
      </c>
      <c r="H79" s="38" t="s">
        <v>386</v>
      </c>
      <c r="I79" s="38" t="s">
        <v>386</v>
      </c>
      <c r="J79" s="38" t="s">
        <v>386</v>
      </c>
      <c r="K79" s="38" t="s">
        <v>386</v>
      </c>
      <c r="L79" s="38" t="s">
        <v>386</v>
      </c>
      <c r="M79" s="38" t="s">
        <v>386</v>
      </c>
    </row>
    <row r="80" spans="2:13" x14ac:dyDescent="0.15"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</row>
    <row r="81" spans="2:13" x14ac:dyDescent="0.15"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</row>
    <row r="83" spans="2:13" x14ac:dyDescent="0.15">
      <c r="B83" s="158" t="s">
        <v>349</v>
      </c>
      <c r="C83" s="37" t="s">
        <v>400</v>
      </c>
      <c r="D83" s="159" t="s">
        <v>350</v>
      </c>
      <c r="E83" s="159"/>
      <c r="F83" s="159"/>
      <c r="G83" s="159"/>
      <c r="H83" s="159"/>
      <c r="I83" s="159"/>
      <c r="J83" s="159"/>
      <c r="K83" s="159"/>
      <c r="L83" s="159"/>
      <c r="M83" s="159"/>
    </row>
    <row r="84" spans="2:13" x14ac:dyDescent="0.15">
      <c r="B84" s="158"/>
      <c r="C84" s="38"/>
      <c r="D84" s="77" t="s">
        <v>335</v>
      </c>
      <c r="E84" s="77" t="s">
        <v>336</v>
      </c>
      <c r="F84" s="77" t="s">
        <v>337</v>
      </c>
      <c r="G84" s="77" t="s">
        <v>338</v>
      </c>
      <c r="H84" s="77" t="s">
        <v>339</v>
      </c>
      <c r="I84" s="77" t="s">
        <v>340</v>
      </c>
      <c r="J84" s="77" t="s">
        <v>341</v>
      </c>
      <c r="K84" s="77" t="s">
        <v>342</v>
      </c>
      <c r="L84" s="77" t="s">
        <v>343</v>
      </c>
      <c r="M84" s="77" t="s">
        <v>344</v>
      </c>
    </row>
    <row r="85" spans="2:13" x14ac:dyDescent="0.15">
      <c r="B85" s="158"/>
      <c r="C85" s="38" t="s">
        <v>371</v>
      </c>
      <c r="D85" s="77">
        <v>11</v>
      </c>
      <c r="E85" s="77">
        <v>14</v>
      </c>
      <c r="F85" s="77">
        <v>17</v>
      </c>
      <c r="G85" s="77">
        <v>20</v>
      </c>
      <c r="H85" s="77">
        <v>23</v>
      </c>
      <c r="I85" s="77">
        <v>26</v>
      </c>
      <c r="J85" s="77">
        <v>29</v>
      </c>
      <c r="K85" s="77">
        <v>32</v>
      </c>
      <c r="L85" s="77">
        <v>35</v>
      </c>
      <c r="M85" s="77">
        <v>38</v>
      </c>
    </row>
    <row r="86" spans="2:13" x14ac:dyDescent="0.15">
      <c r="B86" s="158"/>
      <c r="C86" s="87" t="s">
        <v>383</v>
      </c>
      <c r="D86" s="87">
        <v>2</v>
      </c>
      <c r="E86" s="87">
        <v>4</v>
      </c>
      <c r="F86" s="87">
        <v>6</v>
      </c>
      <c r="G86" s="87">
        <v>8</v>
      </c>
      <c r="H86" s="87">
        <v>10</v>
      </c>
      <c r="I86" s="87">
        <v>12</v>
      </c>
      <c r="J86" s="87">
        <v>14</v>
      </c>
      <c r="K86" s="87">
        <v>16</v>
      </c>
      <c r="L86" s="87">
        <v>18</v>
      </c>
      <c r="M86" s="87">
        <v>20</v>
      </c>
    </row>
    <row r="87" spans="2:13" x14ac:dyDescent="0.15">
      <c r="B87" s="158"/>
      <c r="C87" s="38" t="s">
        <v>354</v>
      </c>
      <c r="D87" s="38">
        <v>3</v>
      </c>
      <c r="E87" s="38">
        <v>3</v>
      </c>
      <c r="F87" s="38">
        <v>3</v>
      </c>
      <c r="G87" s="38">
        <v>3</v>
      </c>
      <c r="H87" s="38">
        <v>3</v>
      </c>
      <c r="I87" s="38">
        <v>3</v>
      </c>
      <c r="J87" s="38">
        <v>3</v>
      </c>
      <c r="K87" s="38">
        <v>3</v>
      </c>
      <c r="L87" s="38">
        <v>3</v>
      </c>
      <c r="M87" s="38">
        <v>3</v>
      </c>
    </row>
    <row r="88" spans="2:13" x14ac:dyDescent="0.15">
      <c r="B88" s="158"/>
      <c r="C88" s="38" t="s">
        <v>358</v>
      </c>
      <c r="D88" s="79">
        <v>0.5</v>
      </c>
      <c r="E88" s="79">
        <v>0.5</v>
      </c>
      <c r="F88" s="79">
        <v>0.5</v>
      </c>
      <c r="G88" s="79">
        <v>0.5</v>
      </c>
      <c r="H88" s="79">
        <v>0.5</v>
      </c>
      <c r="I88" s="79">
        <v>0.5</v>
      </c>
      <c r="J88" s="79">
        <v>0.5</v>
      </c>
      <c r="K88" s="79">
        <v>0.5</v>
      </c>
      <c r="L88" s="79">
        <v>0.5</v>
      </c>
      <c r="M88" s="79">
        <v>0.5</v>
      </c>
    </row>
    <row r="89" spans="2:13" x14ac:dyDescent="0.15">
      <c r="B89" s="158"/>
      <c r="C89" s="38" t="s">
        <v>355</v>
      </c>
      <c r="D89" s="38" t="s">
        <v>245</v>
      </c>
      <c r="E89" s="38" t="s">
        <v>245</v>
      </c>
      <c r="F89" s="38" t="s">
        <v>245</v>
      </c>
      <c r="G89" s="38" t="s">
        <v>245</v>
      </c>
      <c r="H89" s="38" t="s">
        <v>245</v>
      </c>
      <c r="I89" s="38" t="s">
        <v>245</v>
      </c>
      <c r="J89" s="38" t="s">
        <v>245</v>
      </c>
      <c r="K89" s="38" t="s">
        <v>245</v>
      </c>
      <c r="L89" s="38" t="s">
        <v>245</v>
      </c>
      <c r="M89" s="38" t="s">
        <v>245</v>
      </c>
    </row>
    <row r="90" spans="2:13" x14ac:dyDescent="0.15">
      <c r="B90" s="80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</row>
    <row r="91" spans="2:13" x14ac:dyDescent="0.15">
      <c r="B91" s="80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0"/>
    </row>
    <row r="93" spans="2:13" x14ac:dyDescent="0.15">
      <c r="B93" s="158" t="s">
        <v>349</v>
      </c>
      <c r="C93" s="37" t="s">
        <v>368</v>
      </c>
      <c r="D93" s="159" t="s">
        <v>351</v>
      </c>
      <c r="E93" s="159"/>
      <c r="F93" s="159"/>
      <c r="G93" s="159"/>
      <c r="H93" s="159"/>
      <c r="I93" s="159"/>
      <c r="J93" s="159"/>
      <c r="K93" s="159"/>
      <c r="L93" s="159"/>
      <c r="M93" s="159"/>
    </row>
    <row r="94" spans="2:13" x14ac:dyDescent="0.15">
      <c r="B94" s="158"/>
      <c r="C94" s="38"/>
      <c r="D94" s="77" t="s">
        <v>335</v>
      </c>
      <c r="E94" s="77" t="s">
        <v>336</v>
      </c>
      <c r="F94" s="77" t="s">
        <v>337</v>
      </c>
      <c r="G94" s="77" t="s">
        <v>338</v>
      </c>
      <c r="H94" s="77" t="s">
        <v>339</v>
      </c>
      <c r="I94" s="77" t="s">
        <v>340</v>
      </c>
      <c r="J94" s="77" t="s">
        <v>341</v>
      </c>
      <c r="K94" s="77" t="s">
        <v>342</v>
      </c>
      <c r="L94" s="77" t="s">
        <v>343</v>
      </c>
      <c r="M94" s="77" t="s">
        <v>344</v>
      </c>
    </row>
    <row r="95" spans="2:13" x14ac:dyDescent="0.15">
      <c r="B95" s="158"/>
      <c r="C95" s="38" t="s">
        <v>371</v>
      </c>
      <c r="D95" s="77">
        <v>4</v>
      </c>
      <c r="E95" s="77">
        <v>7</v>
      </c>
      <c r="F95" s="77">
        <v>10</v>
      </c>
      <c r="G95" s="77">
        <v>13</v>
      </c>
      <c r="H95" s="77">
        <v>16</v>
      </c>
      <c r="I95" s="77">
        <v>19</v>
      </c>
      <c r="J95" s="77">
        <v>22</v>
      </c>
      <c r="K95" s="77">
        <v>25</v>
      </c>
      <c r="L95" s="77">
        <v>28</v>
      </c>
      <c r="M95" s="77">
        <v>31</v>
      </c>
    </row>
    <row r="96" spans="2:13" x14ac:dyDescent="0.15">
      <c r="B96" s="158"/>
      <c r="C96" s="38" t="s">
        <v>353</v>
      </c>
      <c r="D96" s="38" t="s">
        <v>245</v>
      </c>
      <c r="E96" s="38" t="s">
        <v>245</v>
      </c>
      <c r="F96" s="38" t="s">
        <v>245</v>
      </c>
      <c r="G96" s="38" t="s">
        <v>245</v>
      </c>
      <c r="H96" s="38" t="s">
        <v>245</v>
      </c>
      <c r="I96" s="38" t="s">
        <v>245</v>
      </c>
      <c r="J96" s="38" t="s">
        <v>245</v>
      </c>
      <c r="K96" s="38" t="s">
        <v>245</v>
      </c>
      <c r="L96" s="38" t="s">
        <v>245</v>
      </c>
      <c r="M96" s="38" t="s">
        <v>245</v>
      </c>
    </row>
    <row r="97" spans="2:13" x14ac:dyDescent="0.15">
      <c r="B97" s="158"/>
      <c r="C97" s="38" t="s">
        <v>354</v>
      </c>
      <c r="D97" s="38" t="s">
        <v>245</v>
      </c>
      <c r="E97" s="38" t="s">
        <v>245</v>
      </c>
      <c r="F97" s="38" t="s">
        <v>245</v>
      </c>
      <c r="G97" s="38" t="s">
        <v>245</v>
      </c>
      <c r="H97" s="38" t="s">
        <v>245</v>
      </c>
      <c r="I97" s="38" t="s">
        <v>245</v>
      </c>
      <c r="J97" s="38" t="s">
        <v>245</v>
      </c>
      <c r="K97" s="38" t="s">
        <v>245</v>
      </c>
      <c r="L97" s="38" t="s">
        <v>245</v>
      </c>
      <c r="M97" s="38" t="s">
        <v>245</v>
      </c>
    </row>
    <row r="98" spans="2:13" x14ac:dyDescent="0.15">
      <c r="B98" s="158"/>
      <c r="C98" s="87" t="s">
        <v>357</v>
      </c>
      <c r="D98" s="87">
        <v>5</v>
      </c>
      <c r="E98" s="87">
        <v>10</v>
      </c>
      <c r="F98" s="87">
        <v>15</v>
      </c>
      <c r="G98" s="87">
        <v>20</v>
      </c>
      <c r="H98" s="87">
        <v>25</v>
      </c>
      <c r="I98" s="87">
        <v>30</v>
      </c>
      <c r="J98" s="87">
        <v>35</v>
      </c>
      <c r="K98" s="87">
        <v>40</v>
      </c>
      <c r="L98" s="87">
        <v>45</v>
      </c>
      <c r="M98" s="87">
        <v>50</v>
      </c>
    </row>
    <row r="99" spans="2:13" x14ac:dyDescent="0.15">
      <c r="B99" s="158"/>
      <c r="C99" s="38" t="s">
        <v>355</v>
      </c>
      <c r="D99" s="38" t="s">
        <v>245</v>
      </c>
      <c r="E99" s="38" t="s">
        <v>245</v>
      </c>
      <c r="F99" s="38" t="s">
        <v>245</v>
      </c>
      <c r="G99" s="38" t="s">
        <v>245</v>
      </c>
      <c r="H99" s="38" t="s">
        <v>245</v>
      </c>
      <c r="I99" s="38" t="s">
        <v>245</v>
      </c>
      <c r="J99" s="38" t="s">
        <v>245</v>
      </c>
      <c r="K99" s="38" t="s">
        <v>245</v>
      </c>
      <c r="L99" s="38" t="s">
        <v>245</v>
      </c>
      <c r="M99" s="38" t="s">
        <v>245</v>
      </c>
    </row>
    <row r="100" spans="2:13" x14ac:dyDescent="0.15"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</row>
    <row r="101" spans="2:13" x14ac:dyDescent="0.15"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</row>
    <row r="103" spans="2:13" x14ac:dyDescent="0.15">
      <c r="B103" s="158" t="s">
        <v>349</v>
      </c>
      <c r="C103" s="37" t="s">
        <v>366</v>
      </c>
      <c r="D103" s="159" t="s">
        <v>483</v>
      </c>
      <c r="E103" s="159"/>
      <c r="F103" s="159"/>
      <c r="G103" s="159"/>
      <c r="H103" s="159"/>
      <c r="I103" s="159"/>
      <c r="J103" s="159"/>
      <c r="K103" s="159"/>
      <c r="L103" s="159"/>
      <c r="M103" s="159"/>
    </row>
    <row r="104" spans="2:13" x14ac:dyDescent="0.15">
      <c r="B104" s="158"/>
      <c r="C104" s="38"/>
      <c r="D104" s="77" t="s">
        <v>335</v>
      </c>
      <c r="E104" s="77" t="s">
        <v>336</v>
      </c>
      <c r="F104" s="77" t="s">
        <v>337</v>
      </c>
      <c r="G104" s="77" t="s">
        <v>338</v>
      </c>
      <c r="H104" s="77" t="s">
        <v>339</v>
      </c>
      <c r="I104" s="77" t="s">
        <v>340</v>
      </c>
      <c r="J104" s="77" t="s">
        <v>341</v>
      </c>
      <c r="K104" s="77" t="s">
        <v>342</v>
      </c>
      <c r="L104" s="77" t="s">
        <v>343</v>
      </c>
      <c r="M104" s="77" t="s">
        <v>344</v>
      </c>
    </row>
    <row r="105" spans="2:13" x14ac:dyDescent="0.15">
      <c r="B105" s="158"/>
      <c r="C105" s="38" t="s">
        <v>371</v>
      </c>
      <c r="D105" s="77">
        <v>8</v>
      </c>
      <c r="E105" s="77">
        <v>11</v>
      </c>
      <c r="F105" s="77">
        <v>14</v>
      </c>
      <c r="G105" s="77">
        <v>17</v>
      </c>
      <c r="H105" s="77">
        <v>20</v>
      </c>
      <c r="I105" s="77">
        <v>23</v>
      </c>
      <c r="J105" s="77">
        <v>26</v>
      </c>
      <c r="K105" s="77">
        <v>29</v>
      </c>
      <c r="L105" s="77">
        <v>32</v>
      </c>
      <c r="M105" s="77">
        <v>35</v>
      </c>
    </row>
    <row r="106" spans="2:13" x14ac:dyDescent="0.15">
      <c r="B106" s="158"/>
      <c r="C106" s="38" t="s">
        <v>353</v>
      </c>
      <c r="D106" s="38">
        <v>5</v>
      </c>
      <c r="E106" s="38">
        <v>7</v>
      </c>
      <c r="F106" s="38">
        <v>9</v>
      </c>
      <c r="G106" s="38">
        <v>11</v>
      </c>
      <c r="H106" s="38">
        <v>13</v>
      </c>
      <c r="I106" s="38">
        <v>15</v>
      </c>
      <c r="J106" s="38">
        <v>17</v>
      </c>
      <c r="K106" s="38">
        <v>19</v>
      </c>
      <c r="L106" s="38">
        <v>21</v>
      </c>
      <c r="M106" s="38">
        <v>23</v>
      </c>
    </row>
    <row r="107" spans="2:13" x14ac:dyDescent="0.15">
      <c r="B107" s="158"/>
      <c r="C107" s="38" t="s">
        <v>354</v>
      </c>
      <c r="D107" s="38">
        <v>3</v>
      </c>
      <c r="E107" s="38">
        <v>3</v>
      </c>
      <c r="F107" s="38">
        <v>3</v>
      </c>
      <c r="G107" s="38">
        <v>3</v>
      </c>
      <c r="H107" s="38">
        <v>3</v>
      </c>
      <c r="I107" s="38">
        <v>3</v>
      </c>
      <c r="J107" s="38">
        <v>3</v>
      </c>
      <c r="K107" s="38">
        <v>3</v>
      </c>
      <c r="L107" s="38">
        <v>3</v>
      </c>
      <c r="M107" s="38">
        <v>3</v>
      </c>
    </row>
    <row r="108" spans="2:13" x14ac:dyDescent="0.15">
      <c r="B108" s="158"/>
      <c r="C108" s="87" t="s">
        <v>356</v>
      </c>
      <c r="D108" s="87">
        <v>3</v>
      </c>
      <c r="E108" s="87">
        <v>5</v>
      </c>
      <c r="F108" s="87">
        <v>7</v>
      </c>
      <c r="G108" s="87">
        <v>9</v>
      </c>
      <c r="H108" s="87">
        <v>11</v>
      </c>
      <c r="I108" s="87">
        <v>13</v>
      </c>
      <c r="J108" s="87">
        <v>15</v>
      </c>
      <c r="K108" s="87">
        <v>17</v>
      </c>
      <c r="L108" s="87">
        <v>19</v>
      </c>
      <c r="M108" s="87">
        <v>21</v>
      </c>
    </row>
    <row r="109" spans="2:13" x14ac:dyDescent="0.15">
      <c r="B109" s="158"/>
      <c r="C109" s="38" t="s">
        <v>355</v>
      </c>
      <c r="D109" s="38" t="s">
        <v>245</v>
      </c>
      <c r="E109" s="38" t="s">
        <v>245</v>
      </c>
      <c r="F109" s="38" t="s">
        <v>245</v>
      </c>
      <c r="G109" s="38" t="s">
        <v>245</v>
      </c>
      <c r="H109" s="38" t="s">
        <v>245</v>
      </c>
      <c r="I109" s="38" t="s">
        <v>245</v>
      </c>
      <c r="J109" s="38" t="s">
        <v>245</v>
      </c>
      <c r="K109" s="38" t="s">
        <v>245</v>
      </c>
      <c r="L109" s="38" t="s">
        <v>245</v>
      </c>
      <c r="M109" s="38" t="s">
        <v>245</v>
      </c>
    </row>
    <row r="110" spans="2:13" x14ac:dyDescent="0.15"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</row>
    <row r="111" spans="2:13" x14ac:dyDescent="0.15">
      <c r="B111" s="80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</row>
    <row r="113" spans="2:13" x14ac:dyDescent="0.15">
      <c r="B113" s="158" t="s">
        <v>349</v>
      </c>
      <c r="C113" s="37" t="s">
        <v>352</v>
      </c>
      <c r="D113" s="159" t="s">
        <v>369</v>
      </c>
      <c r="E113" s="159"/>
      <c r="F113" s="159"/>
      <c r="G113" s="159"/>
      <c r="H113" s="159"/>
      <c r="I113" s="159"/>
      <c r="J113" s="159"/>
      <c r="K113" s="159"/>
      <c r="L113" s="159"/>
      <c r="M113" s="159"/>
    </row>
    <row r="114" spans="2:13" x14ac:dyDescent="0.15">
      <c r="B114" s="158"/>
      <c r="C114" s="38"/>
      <c r="D114" s="77" t="s">
        <v>335</v>
      </c>
      <c r="E114" s="77" t="s">
        <v>336</v>
      </c>
      <c r="F114" s="77" t="s">
        <v>337</v>
      </c>
      <c r="G114" s="77" t="s">
        <v>338</v>
      </c>
      <c r="H114" s="77" t="s">
        <v>339</v>
      </c>
      <c r="I114" s="77" t="s">
        <v>340</v>
      </c>
      <c r="J114" s="77" t="s">
        <v>341</v>
      </c>
      <c r="K114" s="77" t="s">
        <v>342</v>
      </c>
      <c r="L114" s="77" t="s">
        <v>343</v>
      </c>
      <c r="M114" s="77" t="s">
        <v>344</v>
      </c>
    </row>
    <row r="115" spans="2:13" x14ac:dyDescent="0.15">
      <c r="B115" s="158"/>
      <c r="C115" s="38" t="s">
        <v>371</v>
      </c>
      <c r="D115" s="77">
        <v>9</v>
      </c>
      <c r="E115" s="77">
        <v>12</v>
      </c>
      <c r="F115" s="77">
        <v>15</v>
      </c>
      <c r="G115" s="77">
        <v>18</v>
      </c>
      <c r="H115" s="77">
        <v>21</v>
      </c>
      <c r="I115" s="77">
        <v>24</v>
      </c>
      <c r="J115" s="77">
        <v>27</v>
      </c>
      <c r="K115" s="77">
        <v>30</v>
      </c>
      <c r="L115" s="77">
        <v>33</v>
      </c>
      <c r="M115" s="77">
        <v>36</v>
      </c>
    </row>
    <row r="116" spans="2:13" x14ac:dyDescent="0.15">
      <c r="B116" s="158"/>
      <c r="C116" s="38" t="s">
        <v>353</v>
      </c>
      <c r="D116" s="38" t="s">
        <v>386</v>
      </c>
      <c r="E116" s="38" t="s">
        <v>386</v>
      </c>
      <c r="F116" s="38" t="s">
        <v>386</v>
      </c>
      <c r="G116" s="38" t="s">
        <v>386</v>
      </c>
      <c r="H116" s="38" t="s">
        <v>386</v>
      </c>
      <c r="I116" s="38" t="s">
        <v>386</v>
      </c>
      <c r="J116" s="38" t="s">
        <v>386</v>
      </c>
      <c r="K116" s="38" t="s">
        <v>386</v>
      </c>
      <c r="L116" s="38" t="s">
        <v>386</v>
      </c>
      <c r="M116" s="38" t="s">
        <v>386</v>
      </c>
    </row>
    <row r="117" spans="2:13" x14ac:dyDescent="0.15">
      <c r="B117" s="158"/>
      <c r="C117" s="38" t="s">
        <v>354</v>
      </c>
      <c r="D117" s="38" t="s">
        <v>387</v>
      </c>
      <c r="E117" s="38" t="s">
        <v>245</v>
      </c>
      <c r="F117" s="38" t="s">
        <v>245</v>
      </c>
      <c r="G117" s="38" t="s">
        <v>245</v>
      </c>
      <c r="H117" s="38" t="s">
        <v>245</v>
      </c>
      <c r="I117" s="38" t="s">
        <v>245</v>
      </c>
      <c r="J117" s="38" t="s">
        <v>245</v>
      </c>
      <c r="K117" s="38" t="s">
        <v>245</v>
      </c>
      <c r="L117" s="38" t="s">
        <v>245</v>
      </c>
      <c r="M117" s="38" t="s">
        <v>245</v>
      </c>
    </row>
    <row r="118" spans="2:13" x14ac:dyDescent="0.15">
      <c r="B118" s="158"/>
      <c r="C118" s="87" t="s">
        <v>384</v>
      </c>
      <c r="D118" s="87">
        <v>20</v>
      </c>
      <c r="E118" s="87">
        <v>25</v>
      </c>
      <c r="F118" s="87">
        <v>30</v>
      </c>
      <c r="G118" s="87">
        <v>35</v>
      </c>
      <c r="H118" s="87">
        <v>40</v>
      </c>
      <c r="I118" s="87">
        <v>45</v>
      </c>
      <c r="J118" s="87">
        <v>50</v>
      </c>
      <c r="K118" s="87">
        <v>55</v>
      </c>
      <c r="L118" s="87">
        <v>60</v>
      </c>
      <c r="M118" s="87">
        <v>65</v>
      </c>
    </row>
    <row r="119" spans="2:13" x14ac:dyDescent="0.15">
      <c r="B119" s="158"/>
      <c r="C119" s="87" t="s">
        <v>326</v>
      </c>
      <c r="D119" s="87">
        <v>20</v>
      </c>
      <c r="E119" s="87">
        <v>35</v>
      </c>
      <c r="F119" s="87">
        <v>50</v>
      </c>
      <c r="G119" s="87">
        <v>65</v>
      </c>
      <c r="H119" s="87">
        <v>80</v>
      </c>
      <c r="I119" s="87">
        <v>95</v>
      </c>
      <c r="J119" s="87">
        <v>110</v>
      </c>
      <c r="K119" s="87">
        <v>125</v>
      </c>
      <c r="L119" s="87">
        <v>140</v>
      </c>
      <c r="M119" s="87">
        <v>155</v>
      </c>
    </row>
  </sheetData>
  <mergeCells count="24">
    <mergeCell ref="D83:M83"/>
    <mergeCell ref="B93:B99"/>
    <mergeCell ref="D93:M93"/>
    <mergeCell ref="D2:M2"/>
    <mergeCell ref="D12:M12"/>
    <mergeCell ref="D22:M22"/>
    <mergeCell ref="B2:B8"/>
    <mergeCell ref="B12:B18"/>
    <mergeCell ref="B103:B109"/>
    <mergeCell ref="D103:M103"/>
    <mergeCell ref="B113:B119"/>
    <mergeCell ref="D113:M113"/>
    <mergeCell ref="B22:B29"/>
    <mergeCell ref="B33:B39"/>
    <mergeCell ref="D33:M33"/>
    <mergeCell ref="B43:B49"/>
    <mergeCell ref="D43:M43"/>
    <mergeCell ref="B53:B59"/>
    <mergeCell ref="D53:M53"/>
    <mergeCell ref="B63:B69"/>
    <mergeCell ref="D63:M63"/>
    <mergeCell ref="B73:B79"/>
    <mergeCell ref="D73:M73"/>
    <mergeCell ref="B83:B89"/>
  </mergeCells>
  <phoneticPr fontId="1" type="noConversion"/>
  <conditionalFormatting sqref="R3 R6 R9 R15:S15 R18:S18 R24:S24 R27:S27 S30 R29:R37 S36 T9 T17 R21:T21 T29 R38:S39 T37 R42:S42 U7 R12:S12 U10 U16 U19 U22 U28 U31 V5 V9 T13:V13 V17 V21 T25:V25 U34:U35 V29 S33:V33 U36:V37 U39:V39 U38 R41:W41 W10 W18 W22 W26 W30 R40:V40 R43:V43 U42:AD42 X43:AD43 W38:X38 AD2:AD27 X4 X9 W14:X14 X19 X29 W34:X34 X39:AD39 R44:X44 R45:W45 Y8 Y12 Y20 X24:Y24 Y32 Y36 Y40 Y44:AD45 Z13 Y16:Z16 Z19 Z22 Z25 Y28:Z28 Z31 Z40:AD41 AA6 AA9 AA12 AA15 AA18 AA21 AA24 AA30 AB10 Z37:AD37 Z34:AD34 AB30:AD31 AB28:AD28 AB19 AB16 AA38:AD38 AA35:AD36 AA32:AD33 AC29:AD29 AA27:AC27 AB24:AC26 AB22:AB23 AB13:AC13 AC11 AC14:AC23 R2:AC2 R46:AD52 AR2:XFD52 R53:XFD1048576 R1:XFD1 O1:P62 A1:A1048576 N63:P1048576 N1:N61">
    <cfRule type="cellIs" dxfId="20" priority="34" operator="equal">
      <formula>"——"</formula>
    </cfRule>
  </conditionalFormatting>
  <conditionalFormatting sqref="Q1:Q2 Q53:Q1048576">
    <cfRule type="cellIs" dxfId="19" priority="21" operator="equal">
      <formula>"——"</formula>
    </cfRule>
  </conditionalFormatting>
  <conditionalFormatting sqref="Q3:Q52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{F928E89A-0248-4163-90C6-47B0AABEC60C}</x14:id>
        </ext>
      </extLst>
    </cfRule>
  </conditionalFormatting>
  <conditionalFormatting sqref="AF3 AF42:AG42 AI39:AJ39 AI38 AF40:AJ40 AF43:AJ43 AL43:AQ43 AE2:AE52 AM44:AQ45 AN40:AQ41 AF6 AF9 AF29:AF37 AF12:AG12 AF15:AG15 AF18:AG18 AF24:AG24 AF27:AG27 AG30 AG36 AF38:AG39 AH9 AH17 AF21:AH21 AH29 AH37 AF45:AK45 AI7 AI10 AI16 AI19 AI22 AI28 AI31 AI34:AI35 AJ5 AJ9 AH13:AJ13 AJ17 AJ21 AH25:AJ25 AJ29 AG33:AJ33 AI36:AJ37 AF41:AK41 AK10 AK18 AK22 AK26 AK30 AK38:AL38 AI42:AQ42 AF46:AQ52 AL4 AL9 AK14:AL14 AL19 AL29 AK34:AL34 AL39:AQ39 AF44:AM44 AM36 AM32 AL24:AM24 AM20 AM12 AM8 AN13 AM16:AN16 AN19 AN22 AN25 AM28:AN28 AN31 AM40:AN40 AO6 AO9 AO12 AO15 AO18 AO21 AO24 AO27:AQ27 AO30 AN37:AQ37 AN34:AQ34 AP30:AQ31 AP28:AQ28 AP22:AP23 AP19 AP16 AP13:AQ13 AP10 AQ11 AQ14:AQ23 AP24:AQ26 AQ29 AO32:AQ33 AO35:AQ36 AO38:AQ38">
    <cfRule type="cellIs" dxfId="18" priority="14" operator="equal">
      <formula>"——"</formula>
    </cfRule>
  </conditionalFormatting>
  <conditionalFormatting sqref="C5:M5">
    <cfRule type="cellIs" dxfId="17" priority="2" operator="equal">
      <formula>"——"</formula>
    </cfRule>
  </conditionalFormatting>
  <conditionalFormatting sqref="B1:M4 B120:M1048576 B56 B46 B36 B25:B26 B15 B5 B6:M14 B27:M35 B16:M24 B37:M45 B47:M55 B57:M62">
    <cfRule type="cellIs" dxfId="16" priority="10" operator="equal">
      <formula>"——"</formula>
    </cfRule>
  </conditionalFormatting>
  <conditionalFormatting sqref="B63:M119">
    <cfRule type="cellIs" dxfId="15" priority="9" operator="equal">
      <formula>"——"</formula>
    </cfRule>
  </conditionalFormatting>
  <conditionalFormatting sqref="C56:M56">
    <cfRule type="cellIs" dxfId="14" priority="8" operator="equal">
      <formula>"——"</formula>
    </cfRule>
  </conditionalFormatting>
  <conditionalFormatting sqref="C46:M46">
    <cfRule type="cellIs" dxfId="13" priority="7" operator="equal">
      <formula>"——"</formula>
    </cfRule>
  </conditionalFormatting>
  <conditionalFormatting sqref="C36:M36">
    <cfRule type="cellIs" dxfId="12" priority="6" operator="equal">
      <formula>"——"</formula>
    </cfRule>
  </conditionalFormatting>
  <conditionalFormatting sqref="C26:M26">
    <cfRule type="cellIs" dxfId="11" priority="5" operator="equal">
      <formula>"——"</formula>
    </cfRule>
  </conditionalFormatting>
  <conditionalFormatting sqref="C25:M25">
    <cfRule type="cellIs" dxfId="10" priority="4" operator="equal">
      <formula>"——"</formula>
    </cfRule>
  </conditionalFormatting>
  <conditionalFormatting sqref="C15:M15">
    <cfRule type="cellIs" dxfId="9" priority="3" operator="equal">
      <formula>"——"</formula>
    </cfRule>
  </conditionalFormatting>
  <conditionalFormatting sqref="AF2:AQ2">
    <cfRule type="cellIs" dxfId="8" priority="1" operator="equal">
      <formula>"——"</formula>
    </cfRule>
  </conditionalFormatting>
  <dataValidations count="1">
    <dataValidation type="whole" allowBlank="1" showInputMessage="1" showErrorMessage="1" sqref="AT2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Reset">
          <controlPr defaultSize="0" autoLine="0" r:id="rId5">
            <anchor moveWithCells="1">
              <from>
                <xdr:col>44</xdr:col>
                <xdr:colOff>95250</xdr:colOff>
                <xdr:row>3</xdr:row>
                <xdr:rowOff>57150</xdr:rowOff>
              </from>
              <to>
                <xdr:col>45</xdr:col>
                <xdr:colOff>619125</xdr:colOff>
                <xdr:row>6</xdr:row>
                <xdr:rowOff>0</xdr:rowOff>
              </to>
            </anchor>
          </controlPr>
        </control>
      </mc:Choice>
      <mc:Fallback>
        <control shapeId="12290" r:id="rId4" name="Reset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28E89A-0248-4163-90C6-47B0AABEC6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Q3:Q52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V108"/>
  <sheetViews>
    <sheetView workbookViewId="0">
      <pane ySplit="15" topLeftCell="A55" activePane="bottomLeft" state="frozen"/>
      <selection pane="bottomLeft" activeCell="T72" sqref="T72"/>
    </sheetView>
  </sheetViews>
  <sheetFormatPr defaultRowHeight="12" x14ac:dyDescent="0.15"/>
  <cols>
    <col min="1" max="17" width="9" style="3"/>
    <col min="18" max="18" width="9.375" style="3" bestFit="1" customWidth="1"/>
    <col min="19" max="16384" width="9" style="3"/>
  </cols>
  <sheetData>
    <row r="1" spans="1:15" x14ac:dyDescent="0.15">
      <c r="A1" s="29" t="s">
        <v>112</v>
      </c>
      <c r="B1" s="29" t="s">
        <v>113</v>
      </c>
    </row>
    <row r="2" spans="1:15" ht="12" customHeight="1" x14ac:dyDescent="0.15">
      <c r="A2" s="11" t="s">
        <v>114</v>
      </c>
      <c r="B2" s="11">
        <f>1.75^(D2/2.5+2.7)*1.9/100-0.09</f>
        <v>1.7689051516474846E-2</v>
      </c>
      <c r="D2" s="3">
        <v>1</v>
      </c>
      <c r="K2" s="167" t="s">
        <v>897</v>
      </c>
      <c r="L2" s="168"/>
      <c r="M2" s="168"/>
      <c r="N2" s="168"/>
      <c r="O2" s="169"/>
    </row>
    <row r="3" spans="1:15" x14ac:dyDescent="0.15">
      <c r="A3" s="11" t="s">
        <v>115</v>
      </c>
      <c r="B3" s="11">
        <f t="shared" ref="B3:B11" si="0">1.75^(D3/2.5+2.7)*1.9/100-0.09</f>
        <v>4.4705947610999469E-2</v>
      </c>
      <c r="D3" s="3">
        <v>2</v>
      </c>
      <c r="K3" s="170"/>
      <c r="L3" s="171"/>
      <c r="M3" s="171"/>
      <c r="N3" s="171"/>
      <c r="O3" s="172"/>
    </row>
    <row r="4" spans="1:15" x14ac:dyDescent="0.15">
      <c r="A4" s="11" t="s">
        <v>116</v>
      </c>
      <c r="B4" s="11">
        <f t="shared" si="0"/>
        <v>7.8500809193229132E-2</v>
      </c>
      <c r="D4" s="3">
        <v>3</v>
      </c>
      <c r="K4" s="173"/>
      <c r="L4" s="174"/>
      <c r="M4" s="174"/>
      <c r="N4" s="174"/>
      <c r="O4" s="175"/>
    </row>
    <row r="5" spans="1:15" x14ac:dyDescent="0.15">
      <c r="A5" s="11" t="s">
        <v>117</v>
      </c>
      <c r="B5" s="11">
        <f t="shared" si="0"/>
        <v>0.12077408386424196</v>
      </c>
      <c r="D5" s="3">
        <v>4</v>
      </c>
    </row>
    <row r="6" spans="1:15" x14ac:dyDescent="0.15">
      <c r="A6" s="11" t="s">
        <v>118</v>
      </c>
      <c r="B6" s="11">
        <f t="shared" si="0"/>
        <v>0.17365282541679131</v>
      </c>
      <c r="D6" s="3">
        <v>5</v>
      </c>
    </row>
    <row r="7" spans="1:15" x14ac:dyDescent="0.15">
      <c r="A7" s="11" t="s">
        <v>119</v>
      </c>
      <c r="B7" s="11">
        <f t="shared" si="0"/>
        <v>0.23979772026920407</v>
      </c>
      <c r="D7" s="3">
        <v>6</v>
      </c>
      <c r="K7" s="166" t="s">
        <v>76</v>
      </c>
      <c r="L7" s="166"/>
      <c r="N7" s="3" t="s">
        <v>131</v>
      </c>
      <c r="O7" s="3">
        <v>0</v>
      </c>
    </row>
    <row r="8" spans="1:15" x14ac:dyDescent="0.15">
      <c r="A8" s="11" t="s">
        <v>120</v>
      </c>
      <c r="B8" s="11">
        <f t="shared" si="0"/>
        <v>0.32253696455868597</v>
      </c>
      <c r="D8" s="3">
        <v>7</v>
      </c>
      <c r="K8" s="176"/>
      <c r="L8" s="176"/>
    </row>
    <row r="9" spans="1:15" x14ac:dyDescent="0.15">
      <c r="A9" s="11" t="s">
        <v>121</v>
      </c>
      <c r="B9" s="11">
        <f t="shared" si="0"/>
        <v>0.4260337281542641</v>
      </c>
      <c r="D9" s="3">
        <v>8</v>
      </c>
      <c r="K9" s="176"/>
      <c r="L9" s="176"/>
    </row>
    <row r="10" spans="1:15" x14ac:dyDescent="0.15">
      <c r="A10" s="11" t="s">
        <v>122</v>
      </c>
      <c r="B10" s="11">
        <f t="shared" si="0"/>
        <v>0.555495631834241</v>
      </c>
      <c r="D10" s="3">
        <v>9</v>
      </c>
      <c r="K10" s="166">
        <v>1</v>
      </c>
      <c r="L10" s="166"/>
    </row>
    <row r="11" spans="1:15" x14ac:dyDescent="0.15">
      <c r="A11" s="11" t="s">
        <v>123</v>
      </c>
      <c r="B11" s="11">
        <f t="shared" si="0"/>
        <v>0.71743677783892357</v>
      </c>
      <c r="D11" s="3">
        <v>10</v>
      </c>
    </row>
    <row r="15" spans="1:15" x14ac:dyDescent="0.15">
      <c r="D15" s="31" t="s">
        <v>77</v>
      </c>
      <c r="E15" s="31" t="s">
        <v>124</v>
      </c>
      <c r="F15" s="31" t="s">
        <v>97</v>
      </c>
      <c r="G15" s="31" t="s">
        <v>98</v>
      </c>
      <c r="H15" s="31" t="s">
        <v>99</v>
      </c>
      <c r="I15" s="31" t="s">
        <v>100</v>
      </c>
      <c r="J15" s="31" t="s">
        <v>101</v>
      </c>
      <c r="K15" s="31" t="s">
        <v>102</v>
      </c>
      <c r="L15" s="31" t="s">
        <v>103</v>
      </c>
      <c r="M15" s="31" t="s">
        <v>104</v>
      </c>
      <c r="N15" s="31" t="s">
        <v>105</v>
      </c>
      <c r="O15" s="31" t="s">
        <v>106</v>
      </c>
    </row>
    <row r="17" spans="3:22" ht="12" customHeight="1" x14ac:dyDescent="0.15">
      <c r="D17" s="165" t="s">
        <v>896</v>
      </c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</row>
    <row r="18" spans="3:22" ht="13.5" customHeight="1" x14ac:dyDescent="0.15"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</row>
    <row r="19" spans="3:22" x14ac:dyDescent="0.15"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</row>
    <row r="20" spans="3:22" x14ac:dyDescent="0.15">
      <c r="C20" s="164" t="s">
        <v>126</v>
      </c>
      <c r="D20" s="3">
        <v>1</v>
      </c>
      <c r="E20" s="30">
        <f>298+INT($K$10*D20^1.2*4.5)</f>
        <v>302</v>
      </c>
      <c r="F20" s="3">
        <f>INT(E20*(1+VLOOKUP($F$15,$A$2:$B$11,2,FALSE))*D20^$O$7)</f>
        <v>307</v>
      </c>
      <c r="G20" s="3">
        <f>INT(E20*(1+VLOOKUP($G$15,$A$2:$B$11,2,FALSE))*D20^$O$7)</f>
        <v>315</v>
      </c>
      <c r="H20" s="3">
        <f>INT(E20*(1+VLOOKUP($H$15,$A$2:$B$11,2,FALSE))*D20^$O$7)</f>
        <v>325</v>
      </c>
      <c r="I20" s="3">
        <f>INT(E20*(1+VLOOKUP($I$15,$A$2:$B$11,2,FALSE))*D20^$O$7)</f>
        <v>338</v>
      </c>
      <c r="J20" s="3">
        <f>INT(E20*(1+VLOOKUP($J$15,$A$2:$B$11,2,FALSE))*D20^$O$7)</f>
        <v>354</v>
      </c>
      <c r="K20" s="3">
        <f>INT(E20*(1+VLOOKUP($K$15,$A$2:$B$11,2,FALSE))*D20^$O$7)</f>
        <v>374</v>
      </c>
      <c r="L20" s="3">
        <f>INT(E20*(1+VLOOKUP($L$15,$A$2:$B$11,2,FALSE))*D20^$O$7)</f>
        <v>399</v>
      </c>
      <c r="M20" s="3">
        <f>INT(E20*(1+VLOOKUP($M$15,$A$2:$B$11,2,FALSE))*D20^$O$7)</f>
        <v>430</v>
      </c>
      <c r="N20" s="3">
        <f>INT(E20*(1+VLOOKUP($N$15,$A$2:$B$11,2,FALSE))*D20^$O$7)</f>
        <v>469</v>
      </c>
      <c r="O20" s="3">
        <f>INT(E20*(1+VLOOKUP($O$15,$A$2:$B$11,2,FALSE))*D20^$O$7)</f>
        <v>518</v>
      </c>
    </row>
    <row r="21" spans="3:22" x14ac:dyDescent="0.15">
      <c r="C21" s="164"/>
      <c r="D21" s="3">
        <v>2</v>
      </c>
      <c r="E21" s="30">
        <f>298+INT($K$10*D21^1.2*4.5)</f>
        <v>308</v>
      </c>
      <c r="F21" s="3">
        <f>INT(E21*(1+VLOOKUP($F$15,$A$2:$B$11,2,FALSE))*D21^$O$7)</f>
        <v>313</v>
      </c>
      <c r="G21" s="3">
        <f>INT(E21*(1+VLOOKUP($G$15,$A$2:$B$11,2,FALSE))*D21^$O$7)</f>
        <v>321</v>
      </c>
      <c r="H21" s="3">
        <f>INT(E21*(1+VLOOKUP($H$15,$A$2:$B$11,2,FALSE))*D21^$O$7)</f>
        <v>332</v>
      </c>
      <c r="I21" s="3">
        <f>INT(E21*(1+VLOOKUP($I$15,$A$2:$B$11,2,FALSE))*D21^$O$7)</f>
        <v>345</v>
      </c>
      <c r="J21" s="3">
        <f>INT(E21*(1+VLOOKUP($J$15,$A$2:$B$11,2,FALSE))*D21^$O$7)</f>
        <v>361</v>
      </c>
      <c r="K21" s="3">
        <f>INT(E21*(1+VLOOKUP($K$15,$A$2:$B$11,2,FALSE))*D21^$O$7)</f>
        <v>381</v>
      </c>
      <c r="L21" s="3">
        <f>INT(E21*(1+VLOOKUP($L$15,$A$2:$B$11,2,FALSE))*D21^$O$7)</f>
        <v>407</v>
      </c>
      <c r="M21" s="3">
        <f>INT(E21*(1+VLOOKUP($M$15,$A$2:$B$11,2,FALSE))*D21^$O$7)</f>
        <v>439</v>
      </c>
      <c r="N21" s="3">
        <f>INT(E21*(1+VLOOKUP($N$15,$A$2:$B$11,2,FALSE))*D21^$O$7)</f>
        <v>479</v>
      </c>
      <c r="O21" s="3">
        <f>INT(E21*(1+VLOOKUP($O$15,$A$2:$B$11,2,FALSE))*D21^$O$7)</f>
        <v>528</v>
      </c>
    </row>
    <row r="22" spans="3:22" x14ac:dyDescent="0.15">
      <c r="C22" s="164"/>
      <c r="D22" s="3">
        <v>3</v>
      </c>
      <c r="E22" s="30">
        <f>298+INT($K$10*D22^1.2*4.5)</f>
        <v>314</v>
      </c>
      <c r="F22" s="3">
        <f>INT(E22*(1+VLOOKUP($F$15,$A$2:$B$11,2,FALSE))*D22^$O$7)</f>
        <v>319</v>
      </c>
      <c r="G22" s="3">
        <f>INT(E22*(1+VLOOKUP($G$15,$A$2:$B$11,2,FALSE))*D22^$O$7)</f>
        <v>328</v>
      </c>
      <c r="H22" s="3">
        <f>INT(E22*(1+VLOOKUP($H$15,$A$2:$B$11,2,FALSE))*D22^$O$7)</f>
        <v>338</v>
      </c>
      <c r="I22" s="3">
        <f>INT(E22*(1+VLOOKUP($I$15,$A$2:$B$11,2,FALSE))*D22^$O$7)</f>
        <v>351</v>
      </c>
      <c r="J22" s="29">
        <f>INT(E22*(1+VLOOKUP($J$15,$A$2:$B$11,2,FALSE))*D22^$O$7)</f>
        <v>368</v>
      </c>
      <c r="K22" s="3">
        <f>INT(E22*(1+VLOOKUP($K$15,$A$2:$B$11,2,FALSE))*D22^$O$7)</f>
        <v>389</v>
      </c>
      <c r="L22" s="3">
        <f>INT(E22*(1+VLOOKUP($L$15,$A$2:$B$11,2,FALSE))*D22^$O$7)</f>
        <v>415</v>
      </c>
      <c r="M22" s="3">
        <f>INT(E22*(1+VLOOKUP($M$15,$A$2:$B$11,2,FALSE))*D22^$O$7)</f>
        <v>447</v>
      </c>
      <c r="N22" s="3">
        <f>INT(E22*(1+VLOOKUP($N$15,$A$2:$B$11,2,FALSE))*D22^$O$7)</f>
        <v>488</v>
      </c>
      <c r="O22" s="3">
        <f>INT(E22*(1+VLOOKUP($O$15,$A$2:$B$11,2,FALSE))*D22^$O$7)</f>
        <v>539</v>
      </c>
    </row>
    <row r="23" spans="3:22" x14ac:dyDescent="0.15">
      <c r="C23" s="164"/>
      <c r="D23" s="3">
        <v>4</v>
      </c>
      <c r="E23" s="30">
        <f>298+INT($K$10*D23^1.2*4.5)</f>
        <v>321</v>
      </c>
      <c r="F23" s="3">
        <f>INT(E23*(1+VLOOKUP($F$15,$A$2:$B$11,2,FALSE))*D23^$O$7)</f>
        <v>326</v>
      </c>
      <c r="G23" s="3">
        <f>INT(E23*(1+VLOOKUP($G$15,$A$2:$B$11,2,FALSE))*D23^$O$7)</f>
        <v>335</v>
      </c>
      <c r="H23" s="3">
        <f>INT(E23*(1+VLOOKUP($H$15,$A$2:$B$11,2,FALSE))*D23^$O$7)</f>
        <v>346</v>
      </c>
      <c r="I23" s="3">
        <f>INT(E23*(1+VLOOKUP($I$15,$A$2:$B$11,2,FALSE))*D23^$O$7)</f>
        <v>359</v>
      </c>
      <c r="J23" s="3">
        <f>INT(E23*(1+VLOOKUP($J$15,$A$2:$B$11,2,FALSE))*D23^$O$7)</f>
        <v>376</v>
      </c>
      <c r="K23" s="3">
        <f>INT(E23*(1+VLOOKUP($K$15,$A$2:$B$11,2,FALSE))*D23^$O$7)</f>
        <v>397</v>
      </c>
      <c r="L23" s="3">
        <f>INT(E23*(1+VLOOKUP($L$15,$A$2:$B$11,2,FALSE))*D23^$O$7)</f>
        <v>424</v>
      </c>
      <c r="M23" s="3">
        <f>INT(E23*(1+VLOOKUP($M$15,$A$2:$B$11,2,FALSE))*D23^$O$7)</f>
        <v>457</v>
      </c>
      <c r="N23" s="3">
        <f>INT(E23*(1+VLOOKUP($N$15,$A$2:$B$11,2,FALSE))*D23^$O$7)</f>
        <v>499</v>
      </c>
      <c r="O23" s="3">
        <f>INT(E23*(1+VLOOKUP($O$15,$A$2:$B$11,2,FALSE))*D23^$O$7)</f>
        <v>551</v>
      </c>
    </row>
    <row r="24" spans="3:22" x14ac:dyDescent="0.15">
      <c r="C24" s="164"/>
      <c r="D24" s="3">
        <v>5</v>
      </c>
      <c r="E24" s="30">
        <f>298+INT($K$10*D24^1.2*4.5)</f>
        <v>329</v>
      </c>
      <c r="F24" s="3">
        <f>INT(E24*(1+VLOOKUP($F$15,$A$2:$B$11,2,FALSE))*D24^$O$7)</f>
        <v>334</v>
      </c>
      <c r="G24" s="3">
        <f>INT(E24*(1+VLOOKUP($G$15,$A$2:$B$11,2,FALSE))*D24^$O$7)</f>
        <v>343</v>
      </c>
      <c r="H24" s="3">
        <f>INT(E24*(1+VLOOKUP($H$15,$A$2:$B$11,2,FALSE))*D24^$O$7)</f>
        <v>354</v>
      </c>
      <c r="I24" s="3">
        <f>INT(E24*(1+VLOOKUP($I$15,$A$2:$B$11,2,FALSE))*D24^$O$7)</f>
        <v>368</v>
      </c>
      <c r="J24" s="3">
        <f>INT(E24*(1+VLOOKUP($J$15,$A$2:$B$11,2,FALSE))*D24^$O$7)</f>
        <v>386</v>
      </c>
      <c r="K24" s="3">
        <f>INT(E24*(1+VLOOKUP($K$15,$A$2:$B$11,2,FALSE))*D24^$O$7)</f>
        <v>407</v>
      </c>
      <c r="L24" s="3">
        <f>INT(E24*(1+VLOOKUP($L$15,$A$2:$B$11,2,FALSE))*D24^$O$7)</f>
        <v>435</v>
      </c>
      <c r="M24" s="3">
        <f>INT(E24*(1+VLOOKUP($M$15,$A$2:$B$11,2,FALSE))*D24^$O$7)</f>
        <v>469</v>
      </c>
      <c r="N24" s="3">
        <f>INT(E24*(1+VLOOKUP($N$15,$A$2:$B$11,2,FALSE))*D24^$O$7)</f>
        <v>511</v>
      </c>
      <c r="O24" s="3">
        <f>INT(E24*(1+VLOOKUP($O$15,$A$2:$B$11,2,FALSE))*D24^$O$7)</f>
        <v>565</v>
      </c>
    </row>
    <row r="26" spans="3:22" x14ac:dyDescent="0.15">
      <c r="D26" s="165" t="s">
        <v>898</v>
      </c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</row>
    <row r="27" spans="3:22" x14ac:dyDescent="0.15"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R27" s="3">
        <v>20</v>
      </c>
      <c r="S27" s="3">
        <v>35</v>
      </c>
      <c r="T27" s="3">
        <v>30</v>
      </c>
      <c r="U27" s="3">
        <v>15</v>
      </c>
    </row>
    <row r="28" spans="3:22" x14ac:dyDescent="0.15"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Q28" s="33"/>
      <c r="R28" s="33" t="s">
        <v>127</v>
      </c>
      <c r="S28" s="33" t="s">
        <v>128</v>
      </c>
      <c r="T28" s="33" t="s">
        <v>129</v>
      </c>
      <c r="U28" s="33" t="s">
        <v>130</v>
      </c>
    </row>
    <row r="29" spans="3:22" x14ac:dyDescent="0.15">
      <c r="C29" s="164" t="s">
        <v>125</v>
      </c>
      <c r="D29" s="3">
        <v>1</v>
      </c>
      <c r="E29" s="30">
        <f>223+INT($K$10*D29^1.2*3.37)</f>
        <v>226</v>
      </c>
      <c r="F29" s="3">
        <f>INT(E29*(1+VLOOKUP($F$15,$A$2:$B$11,2,FALSE))*D29^$O$7)</f>
        <v>229</v>
      </c>
      <c r="G29" s="3">
        <f>INT(E29*(1+VLOOKUP($G$15,$A$2:$B$11,2,FALSE))*D29^$O$7)</f>
        <v>236</v>
      </c>
      <c r="H29" s="3">
        <f>INT(E29*(1+VLOOKUP($H$15,$A$2:$B$11,2,FALSE))*D29^$O$7)</f>
        <v>243</v>
      </c>
      <c r="I29" s="3">
        <f>INT(E29*(1+VLOOKUP($I$15,$A$2:$B$11,2,FALSE))*D29^$O$7)</f>
        <v>253</v>
      </c>
      <c r="J29" s="3">
        <f>INT(E29*(1+VLOOKUP($J$15,$A$2:$B$11,2,FALSE))*D29^$O$7)</f>
        <v>265</v>
      </c>
      <c r="K29" s="3">
        <f>INT(E29*(1+VLOOKUP($K$15,$A$2:$B$11,2,FALSE))*D29^$O$7)</f>
        <v>280</v>
      </c>
      <c r="L29" s="3">
        <f>INT(E29*(1+VLOOKUP($L$15,$A$2:$B$11,2,FALSE))*D29^$O$7)</f>
        <v>298</v>
      </c>
      <c r="M29" s="3">
        <f>INT(E29*(1+VLOOKUP($M$15,$A$2:$B$11,2,FALSE))*D29^$O$7)</f>
        <v>322</v>
      </c>
      <c r="N29" s="3">
        <f>INT(E29*(1+VLOOKUP($N$15,$A$2:$B$11,2,FALSE))*D29^$O$7)</f>
        <v>351</v>
      </c>
      <c r="O29" s="3">
        <f>INT(E29*(1+VLOOKUP($O$15,$A$2:$B$11,2,FALSE))*D29^$O$7)</f>
        <v>388</v>
      </c>
      <c r="Q29" s="33">
        <v>1</v>
      </c>
      <c r="R29" s="3">
        <f>INT(E29*$R$27/100)</f>
        <v>45</v>
      </c>
      <c r="S29" s="3">
        <f>INT(E29*$S$27/100)</f>
        <v>79</v>
      </c>
      <c r="T29" s="3">
        <f>INT(E29*$T$27/100)</f>
        <v>67</v>
      </c>
      <c r="U29" s="3">
        <f>INT(E29*$U$27/100)</f>
        <v>33</v>
      </c>
      <c r="V29" s="34">
        <f>SUM(R29:U29)</f>
        <v>224</v>
      </c>
    </row>
    <row r="30" spans="3:22" x14ac:dyDescent="0.15">
      <c r="C30" s="164"/>
      <c r="D30" s="3">
        <v>2</v>
      </c>
      <c r="E30" s="30">
        <f>223+INT($K$10*D30^1.2*3.37)</f>
        <v>230</v>
      </c>
      <c r="F30" s="3">
        <f>INT(E30*(1+VLOOKUP($F$15,$A$2:$B$11,2,FALSE))*D30^$O$7)</f>
        <v>234</v>
      </c>
      <c r="G30" s="3">
        <f>INT(E30*(1+VLOOKUP($G$15,$A$2:$B$11,2,FALSE))*D30^$O$7)</f>
        <v>240</v>
      </c>
      <c r="H30" s="3">
        <f>INT(E30*(1+VLOOKUP($H$15,$A$2:$B$11,2,FALSE))*D30^$O$7)</f>
        <v>248</v>
      </c>
      <c r="I30" s="3">
        <f>INT(E30*(1+VLOOKUP($I$15,$A$2:$B$11,2,FALSE))*D30^$O$7)</f>
        <v>257</v>
      </c>
      <c r="J30" s="3">
        <f>INT(E30*(1+VLOOKUP($J$15,$A$2:$B$11,2,FALSE))*D30^$O$7)</f>
        <v>269</v>
      </c>
      <c r="K30" s="3">
        <f>INT(E30*(1+VLOOKUP($K$15,$A$2:$B$11,2,FALSE))*D30^$O$7)</f>
        <v>285</v>
      </c>
      <c r="L30" s="3">
        <f>INT(E30*(1+VLOOKUP($L$15,$A$2:$B$11,2,FALSE))*D30^$O$7)</f>
        <v>304</v>
      </c>
      <c r="M30" s="3">
        <f>INT(E30*(1+VLOOKUP($M$15,$A$2:$B$11,2,FALSE))*D30^$O$7)</f>
        <v>327</v>
      </c>
      <c r="N30" s="3">
        <f>INT(E30*(1+VLOOKUP($N$15,$A$2:$B$11,2,FALSE))*D30^$O$7)</f>
        <v>357</v>
      </c>
      <c r="O30" s="3">
        <f>INT(E30*(1+VLOOKUP($O$15,$A$2:$B$11,2,FALSE))*D30^$O$7)</f>
        <v>395</v>
      </c>
      <c r="Q30" s="33">
        <v>2</v>
      </c>
      <c r="R30" s="3">
        <f t="shared" ref="R30:R33" si="1">INT(E30*$R$27/100)</f>
        <v>46</v>
      </c>
      <c r="S30" s="3">
        <f t="shared" ref="S30:S33" si="2">INT(E30*$S$27/100)</f>
        <v>80</v>
      </c>
      <c r="T30" s="3">
        <f t="shared" ref="T30:T33" si="3">INT(E30*$T$27/100)</f>
        <v>69</v>
      </c>
      <c r="U30" s="3">
        <f t="shared" ref="U30:U33" si="4">INT(E30*$U$27/100)</f>
        <v>34</v>
      </c>
      <c r="V30" s="34">
        <f t="shared" ref="V30:V33" si="5">SUM(R30:U30)</f>
        <v>229</v>
      </c>
    </row>
    <row r="31" spans="3:22" x14ac:dyDescent="0.15">
      <c r="C31" s="164"/>
      <c r="D31" s="3">
        <v>3</v>
      </c>
      <c r="E31" s="30">
        <f>223+INT($K$10*D31^1.2*3.37)</f>
        <v>235</v>
      </c>
      <c r="F31" s="3">
        <f>INT(E31*(1+VLOOKUP($F$15,$A$2:$B$11,2,FALSE))*D31^$O$7)</f>
        <v>239</v>
      </c>
      <c r="G31" s="3">
        <f>INT(E31*(1+VLOOKUP($G$15,$A$2:$B$11,2,FALSE))*D31^$O$7)</f>
        <v>245</v>
      </c>
      <c r="H31" s="3">
        <f>INT(E31*(1+VLOOKUP($H$15,$A$2:$B$11,2,FALSE))*D31^$O$7)</f>
        <v>253</v>
      </c>
      <c r="I31" s="3">
        <f>INT(E31*(1+VLOOKUP($I$15,$A$2:$B$11,2,FALSE))*D31^$O$7)</f>
        <v>263</v>
      </c>
      <c r="J31" s="29">
        <f>INT(E31*(1+VLOOKUP($J$15,$A$2:$B$11,2,FALSE))*D31^$O$7)</f>
        <v>275</v>
      </c>
      <c r="K31" s="3">
        <f>INT(E31*(1+VLOOKUP($K$15,$A$2:$B$11,2,FALSE))*D31^$O$7)</f>
        <v>291</v>
      </c>
      <c r="L31" s="3">
        <f>INT(E31*(1+VLOOKUP($L$15,$A$2:$B$11,2,FALSE))*D31^$O$7)</f>
        <v>310</v>
      </c>
      <c r="M31" s="3">
        <f>INT(E31*(1+VLOOKUP($M$15,$A$2:$B$11,2,FALSE))*D31^$O$7)</f>
        <v>335</v>
      </c>
      <c r="N31" s="3">
        <f>INT(E31*(1+VLOOKUP($N$15,$A$2:$B$11,2,FALSE))*D31^$O$7)</f>
        <v>365</v>
      </c>
      <c r="O31" s="3">
        <f>INT(E31*(1+VLOOKUP($O$15,$A$2:$B$11,2,FALSE))*D31^$O$7)</f>
        <v>403</v>
      </c>
      <c r="Q31" s="33">
        <v>3</v>
      </c>
      <c r="R31" s="3">
        <f t="shared" si="1"/>
        <v>47</v>
      </c>
      <c r="S31" s="3">
        <f t="shared" si="2"/>
        <v>82</v>
      </c>
      <c r="T31" s="3">
        <f t="shared" si="3"/>
        <v>70</v>
      </c>
      <c r="U31" s="3">
        <f t="shared" si="4"/>
        <v>35</v>
      </c>
      <c r="V31" s="34">
        <f t="shared" si="5"/>
        <v>234</v>
      </c>
    </row>
    <row r="32" spans="3:22" x14ac:dyDescent="0.15">
      <c r="C32" s="164"/>
      <c r="D32" s="3">
        <v>4</v>
      </c>
      <c r="E32" s="30">
        <f>223+INT($K$10*D32^1.2*3.37)</f>
        <v>240</v>
      </c>
      <c r="F32" s="3">
        <f>INT(E32*(1+VLOOKUP($F$15,$A$2:$B$11,2,FALSE))*D32^$O$7)</f>
        <v>244</v>
      </c>
      <c r="G32" s="3">
        <f>INT(E32*(1+VLOOKUP($G$15,$A$2:$B$11,2,FALSE))*D32^$O$7)</f>
        <v>250</v>
      </c>
      <c r="H32" s="3">
        <f>INT(E32*(1+VLOOKUP($H$15,$A$2:$B$11,2,FALSE))*D32^$O$7)</f>
        <v>258</v>
      </c>
      <c r="I32" s="3">
        <f>INT(E32*(1+VLOOKUP($I$15,$A$2:$B$11,2,FALSE))*D32^$O$7)</f>
        <v>268</v>
      </c>
      <c r="J32" s="3">
        <f>INT(E32*(1+VLOOKUP($J$15,$A$2:$B$11,2,FALSE))*D32^$O$7)</f>
        <v>281</v>
      </c>
      <c r="K32" s="3">
        <f>INT(E32*(1+VLOOKUP($K$15,$A$2:$B$11,2,FALSE))*D32^$O$7)</f>
        <v>297</v>
      </c>
      <c r="L32" s="3">
        <f>INT(E32*(1+VLOOKUP($L$15,$A$2:$B$11,2,FALSE))*D32^$O$7)</f>
        <v>317</v>
      </c>
      <c r="M32" s="3">
        <f>INT(E32*(1+VLOOKUP($M$15,$A$2:$B$11,2,FALSE))*D32^$O$7)</f>
        <v>342</v>
      </c>
      <c r="N32" s="3">
        <f>INT(E32*(1+VLOOKUP($N$15,$A$2:$B$11,2,FALSE))*D32^$O$7)</f>
        <v>373</v>
      </c>
      <c r="O32" s="3">
        <f>INT(E32*(1+VLOOKUP($O$15,$A$2:$B$11,2,FALSE))*D32^$O$7)</f>
        <v>412</v>
      </c>
      <c r="Q32" s="33">
        <v>4</v>
      </c>
      <c r="R32" s="3">
        <f t="shared" si="1"/>
        <v>48</v>
      </c>
      <c r="S32" s="3">
        <f t="shared" si="2"/>
        <v>84</v>
      </c>
      <c r="T32" s="3">
        <f t="shared" si="3"/>
        <v>72</v>
      </c>
      <c r="U32" s="3">
        <f t="shared" si="4"/>
        <v>36</v>
      </c>
      <c r="V32" s="34">
        <f t="shared" si="5"/>
        <v>240</v>
      </c>
    </row>
    <row r="33" spans="3:22" x14ac:dyDescent="0.15">
      <c r="C33" s="164"/>
      <c r="D33" s="3">
        <v>5</v>
      </c>
      <c r="E33" s="30">
        <f>223+INT($K$10*D33^1.2*3.37)</f>
        <v>246</v>
      </c>
      <c r="F33" s="3">
        <f>INT(E33*(1+VLOOKUP($F$15,$A$2:$B$11,2,FALSE))*D33^$O$7)</f>
        <v>250</v>
      </c>
      <c r="G33" s="3">
        <f>INT(E33*(1+VLOOKUP($G$15,$A$2:$B$11,2,FALSE))*D33^$O$7)</f>
        <v>256</v>
      </c>
      <c r="H33" s="3">
        <f>INT(E33*(1+VLOOKUP($H$15,$A$2:$B$11,2,FALSE))*D33^$O$7)</f>
        <v>265</v>
      </c>
      <c r="I33" s="3">
        <f>INT(E33*(1+VLOOKUP($I$15,$A$2:$B$11,2,FALSE))*D33^$O$7)</f>
        <v>275</v>
      </c>
      <c r="J33" s="3">
        <f>INT(E33*(1+VLOOKUP($J$15,$A$2:$B$11,2,FALSE))*D33^$O$7)</f>
        <v>288</v>
      </c>
      <c r="K33" s="3">
        <f>INT(E33*(1+VLOOKUP($K$15,$A$2:$B$11,2,FALSE))*D33^$O$7)</f>
        <v>304</v>
      </c>
      <c r="L33" s="3">
        <f>INT(E33*(1+VLOOKUP($L$15,$A$2:$B$11,2,FALSE))*D33^$O$7)</f>
        <v>325</v>
      </c>
      <c r="M33" s="3">
        <f>INT(E33*(1+VLOOKUP($M$15,$A$2:$B$11,2,FALSE))*D33^$O$7)</f>
        <v>350</v>
      </c>
      <c r="N33" s="3">
        <f>INT(E33*(1+VLOOKUP($N$15,$A$2:$B$11,2,FALSE))*D33^$O$7)</f>
        <v>382</v>
      </c>
      <c r="O33" s="3">
        <f>INT(E33*(1+VLOOKUP($O$15,$A$2:$B$11,2,FALSE))*D33^$O$7)</f>
        <v>422</v>
      </c>
      <c r="Q33" s="33">
        <v>5</v>
      </c>
      <c r="R33" s="3">
        <f t="shared" si="1"/>
        <v>49</v>
      </c>
      <c r="S33" s="3">
        <f t="shared" si="2"/>
        <v>86</v>
      </c>
      <c r="T33" s="3">
        <f t="shared" si="3"/>
        <v>73</v>
      </c>
      <c r="U33" s="3">
        <f t="shared" si="4"/>
        <v>36</v>
      </c>
      <c r="V33" s="34">
        <f t="shared" si="5"/>
        <v>244</v>
      </c>
    </row>
    <row r="35" spans="3:22" x14ac:dyDescent="0.15">
      <c r="D35" s="32" t="s">
        <v>77</v>
      </c>
      <c r="E35" s="32" t="s">
        <v>124</v>
      </c>
      <c r="F35" s="32" t="s">
        <v>97</v>
      </c>
      <c r="G35" s="32" t="s">
        <v>98</v>
      </c>
      <c r="H35" s="32" t="s">
        <v>99</v>
      </c>
      <c r="I35" s="32" t="s">
        <v>100</v>
      </c>
      <c r="J35" s="32" t="s">
        <v>101</v>
      </c>
      <c r="K35" s="32" t="s">
        <v>102</v>
      </c>
      <c r="L35" s="32" t="s">
        <v>103</v>
      </c>
      <c r="M35" s="32" t="s">
        <v>104</v>
      </c>
      <c r="N35" s="32" t="s">
        <v>105</v>
      </c>
      <c r="O35" s="32" t="s">
        <v>106</v>
      </c>
    </row>
    <row r="36" spans="3:22" x14ac:dyDescent="0.15">
      <c r="D36" s="3">
        <v>1</v>
      </c>
      <c r="E36" s="3">
        <f t="shared" ref="E36:O36" si="6">E29/E20</f>
        <v>0.7483443708609272</v>
      </c>
      <c r="F36" s="3">
        <f t="shared" si="6"/>
        <v>0.74592833876221498</v>
      </c>
      <c r="G36" s="3">
        <f t="shared" si="6"/>
        <v>0.74920634920634921</v>
      </c>
      <c r="H36" s="3">
        <f t="shared" si="6"/>
        <v>0.74769230769230766</v>
      </c>
      <c r="I36" s="3">
        <f t="shared" si="6"/>
        <v>0.74852071005917165</v>
      </c>
      <c r="J36" s="3">
        <f t="shared" si="6"/>
        <v>0.74858757062146897</v>
      </c>
      <c r="K36" s="3">
        <f t="shared" si="6"/>
        <v>0.74866310160427807</v>
      </c>
      <c r="L36" s="3">
        <f t="shared" si="6"/>
        <v>0.74686716791979946</v>
      </c>
      <c r="M36" s="3">
        <f t="shared" si="6"/>
        <v>0.74883720930232556</v>
      </c>
      <c r="N36" s="3">
        <f t="shared" si="6"/>
        <v>0.74840085287846481</v>
      </c>
      <c r="O36" s="3">
        <f t="shared" si="6"/>
        <v>0.74903474903474898</v>
      </c>
    </row>
    <row r="37" spans="3:22" x14ac:dyDescent="0.15">
      <c r="D37" s="3">
        <v>2</v>
      </c>
      <c r="E37" s="3">
        <f t="shared" ref="E37:O37" si="7">E30/E21</f>
        <v>0.74675324675324672</v>
      </c>
      <c r="F37" s="3">
        <f t="shared" si="7"/>
        <v>0.74760383386581475</v>
      </c>
      <c r="G37" s="3">
        <f t="shared" si="7"/>
        <v>0.74766355140186913</v>
      </c>
      <c r="H37" s="3">
        <f t="shared" si="7"/>
        <v>0.74698795180722888</v>
      </c>
      <c r="I37" s="3">
        <f t="shared" si="7"/>
        <v>0.74492753623188401</v>
      </c>
      <c r="J37" s="3">
        <f t="shared" si="7"/>
        <v>0.74515235457063711</v>
      </c>
      <c r="K37" s="3">
        <f t="shared" si="7"/>
        <v>0.74803149606299213</v>
      </c>
      <c r="L37" s="3">
        <f t="shared" si="7"/>
        <v>0.74692874692874689</v>
      </c>
      <c r="M37" s="3">
        <f t="shared" si="7"/>
        <v>0.74487471526195903</v>
      </c>
      <c r="N37" s="3">
        <f t="shared" si="7"/>
        <v>0.74530271398747394</v>
      </c>
      <c r="O37" s="3">
        <f t="shared" si="7"/>
        <v>0.74810606060606055</v>
      </c>
    </row>
    <row r="38" spans="3:22" x14ac:dyDescent="0.15">
      <c r="D38" s="3">
        <v>3</v>
      </c>
      <c r="E38" s="3">
        <f t="shared" ref="E38:O38" si="8">E31/E22</f>
        <v>0.74840764331210186</v>
      </c>
      <c r="F38" s="3">
        <f t="shared" si="8"/>
        <v>0.7492163009404389</v>
      </c>
      <c r="G38" s="3">
        <f t="shared" si="8"/>
        <v>0.74695121951219512</v>
      </c>
      <c r="H38" s="3">
        <f t="shared" si="8"/>
        <v>0.74852071005917165</v>
      </c>
      <c r="I38" s="3">
        <f t="shared" si="8"/>
        <v>0.74928774928774933</v>
      </c>
      <c r="J38" s="3">
        <f t="shared" si="8"/>
        <v>0.74728260869565222</v>
      </c>
      <c r="K38" s="3">
        <f t="shared" si="8"/>
        <v>0.74807197943444725</v>
      </c>
      <c r="L38" s="3">
        <f t="shared" si="8"/>
        <v>0.74698795180722888</v>
      </c>
      <c r="M38" s="3">
        <f t="shared" si="8"/>
        <v>0.7494407158836689</v>
      </c>
      <c r="N38" s="3">
        <f t="shared" si="8"/>
        <v>0.74795081967213117</v>
      </c>
      <c r="O38" s="3">
        <f t="shared" si="8"/>
        <v>0.74768089053803344</v>
      </c>
    </row>
    <row r="39" spans="3:22" x14ac:dyDescent="0.15">
      <c r="D39" s="3">
        <v>4</v>
      </c>
      <c r="E39" s="3">
        <f t="shared" ref="E39:O39" si="9">E32/E23</f>
        <v>0.74766355140186913</v>
      </c>
      <c r="F39" s="3">
        <f t="shared" si="9"/>
        <v>0.74846625766871167</v>
      </c>
      <c r="G39" s="3">
        <f t="shared" si="9"/>
        <v>0.74626865671641796</v>
      </c>
      <c r="H39" s="3">
        <f t="shared" si="9"/>
        <v>0.74566473988439308</v>
      </c>
      <c r="I39" s="3">
        <f t="shared" si="9"/>
        <v>0.74651810584958223</v>
      </c>
      <c r="J39" s="3">
        <f t="shared" si="9"/>
        <v>0.74734042553191493</v>
      </c>
      <c r="K39" s="3">
        <f t="shared" si="9"/>
        <v>0.74811083123425692</v>
      </c>
      <c r="L39" s="3">
        <f t="shared" si="9"/>
        <v>0.74764150943396224</v>
      </c>
      <c r="M39" s="3">
        <f t="shared" si="9"/>
        <v>0.74835886214442016</v>
      </c>
      <c r="N39" s="3">
        <f t="shared" si="9"/>
        <v>0.74749498997995989</v>
      </c>
      <c r="O39" s="3">
        <f t="shared" si="9"/>
        <v>0.74773139745916517</v>
      </c>
    </row>
    <row r="40" spans="3:22" x14ac:dyDescent="0.15">
      <c r="D40" s="3">
        <v>5</v>
      </c>
      <c r="E40" s="3">
        <f t="shared" ref="E40:O40" si="10">E33/E24</f>
        <v>0.74772036474164139</v>
      </c>
      <c r="F40" s="3">
        <f t="shared" si="10"/>
        <v>0.74850299401197606</v>
      </c>
      <c r="G40" s="3">
        <f t="shared" si="10"/>
        <v>0.74635568513119532</v>
      </c>
      <c r="H40" s="3">
        <f t="shared" si="10"/>
        <v>0.74858757062146897</v>
      </c>
      <c r="I40" s="3">
        <f t="shared" si="10"/>
        <v>0.74728260869565222</v>
      </c>
      <c r="J40" s="3">
        <f t="shared" si="10"/>
        <v>0.74611398963730569</v>
      </c>
      <c r="K40" s="3">
        <f t="shared" si="10"/>
        <v>0.74692874692874689</v>
      </c>
      <c r="L40" s="3">
        <f t="shared" si="10"/>
        <v>0.74712643678160917</v>
      </c>
      <c r="M40" s="3">
        <f t="shared" si="10"/>
        <v>0.74626865671641796</v>
      </c>
      <c r="N40" s="3">
        <f t="shared" si="10"/>
        <v>0.74755381604696669</v>
      </c>
      <c r="O40" s="3">
        <f t="shared" si="10"/>
        <v>0.7469026548672566</v>
      </c>
    </row>
    <row r="42" spans="3:22" x14ac:dyDescent="0.15">
      <c r="D42" s="165" t="s">
        <v>899</v>
      </c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</row>
    <row r="43" spans="3:22" x14ac:dyDescent="0.15"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</row>
    <row r="44" spans="3:22" x14ac:dyDescent="0.15"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</row>
    <row r="45" spans="3:22" x14ac:dyDescent="0.15">
      <c r="C45" s="164" t="s">
        <v>93</v>
      </c>
      <c r="D45" s="3">
        <v>1</v>
      </c>
      <c r="E45" s="30">
        <f>199+INT($K$10*D45^1.2*1.5)</f>
        <v>200</v>
      </c>
      <c r="F45" s="3">
        <f>INT(E45*(1+VLOOKUP($F$15,$A$2:$B$11,2,FALSE))*D45^$O$7)</f>
        <v>203</v>
      </c>
      <c r="G45" s="3">
        <f>INT(E45*(1+VLOOKUP($G$15,$A$2:$B$11,2,FALSE))*D45^$O$7)</f>
        <v>208</v>
      </c>
      <c r="H45" s="3">
        <f>INT(E45*(1+VLOOKUP($H$15,$A$2:$B$11,2,FALSE))*D45^$O$7)</f>
        <v>215</v>
      </c>
      <c r="I45" s="3">
        <f>INT(E45*(1+VLOOKUP($I$15,$A$2:$B$11,2,FALSE))*D45^$O$7)</f>
        <v>224</v>
      </c>
      <c r="J45" s="3">
        <f>INT(E45*(1+VLOOKUP($J$15,$A$2:$B$11,2,FALSE))*D45^$O$7)</f>
        <v>234</v>
      </c>
      <c r="K45" s="3">
        <f>INT(E45*(1+VLOOKUP($K$15,$A$2:$B$11,2,FALSE))*D45^$O$7)</f>
        <v>247</v>
      </c>
      <c r="L45" s="3">
        <f>INT(E45*(1+VLOOKUP($L$15,$A$2:$B$11,2,FALSE))*D45^$O$7)</f>
        <v>264</v>
      </c>
      <c r="M45" s="3">
        <f>INT(E45*(1+VLOOKUP($M$15,$A$2:$B$11,2,FALSE))*D45^$O$7)</f>
        <v>285</v>
      </c>
      <c r="N45" s="3">
        <f>INT(E45*(1+VLOOKUP($N$15,$A$2:$B$11,2,FALSE))*D45^$O$7)</f>
        <v>311</v>
      </c>
      <c r="O45" s="3">
        <f>INT(E45*(1+VLOOKUP($O$15,$A$2:$B$11,2,FALSE))*D45^$O$7)</f>
        <v>343</v>
      </c>
    </row>
    <row r="46" spans="3:22" x14ac:dyDescent="0.15">
      <c r="C46" s="164"/>
      <c r="D46" s="3">
        <v>2</v>
      </c>
      <c r="E46" s="30">
        <f t="shared" ref="E46:E49" si="11">199+INT($K$10*D46^1.2*1.5)</f>
        <v>202</v>
      </c>
      <c r="F46" s="3">
        <f>INT(E46*(1+VLOOKUP($F$15,$A$2:$B$11,2,FALSE))*D46^$O$7)</f>
        <v>205</v>
      </c>
      <c r="G46" s="3">
        <f>INT(E46*(1+VLOOKUP($G$15,$A$2:$B$11,2,FALSE))*D46^$O$7)</f>
        <v>211</v>
      </c>
      <c r="H46" s="3">
        <f>INT(E46*(1+VLOOKUP($H$15,$A$2:$B$11,2,FALSE))*D46^$O$7)</f>
        <v>217</v>
      </c>
      <c r="I46" s="3">
        <f>INT(E46*(1+VLOOKUP($I$15,$A$2:$B$11,2,FALSE))*D46^$O$7)</f>
        <v>226</v>
      </c>
      <c r="J46" s="3">
        <f>INT(E46*(1+VLOOKUP($J$15,$A$2:$B$11,2,FALSE))*D46^$O$7)</f>
        <v>237</v>
      </c>
      <c r="K46" s="3">
        <f>INT(E46*(1+VLOOKUP($K$15,$A$2:$B$11,2,FALSE))*D46^$O$7)</f>
        <v>250</v>
      </c>
      <c r="L46" s="3">
        <f>INT(E46*(1+VLOOKUP($L$15,$A$2:$B$11,2,FALSE))*D46^$O$7)</f>
        <v>267</v>
      </c>
      <c r="M46" s="3">
        <f>INT(E46*(1+VLOOKUP($M$15,$A$2:$B$11,2,FALSE))*D46^$O$7)</f>
        <v>288</v>
      </c>
      <c r="N46" s="3">
        <f>INT(E46*(1+VLOOKUP($N$15,$A$2:$B$11,2,FALSE))*D46^$O$7)</f>
        <v>314</v>
      </c>
      <c r="O46" s="3">
        <f>INT(E46*(1+VLOOKUP($O$15,$A$2:$B$11,2,FALSE))*D46^$O$7)</f>
        <v>346</v>
      </c>
    </row>
    <row r="47" spans="3:22" x14ac:dyDescent="0.15">
      <c r="C47" s="164"/>
      <c r="D47" s="3">
        <v>3</v>
      </c>
      <c r="E47" s="30">
        <f t="shared" si="11"/>
        <v>204</v>
      </c>
      <c r="F47" s="3">
        <f>INT(E47*(1+VLOOKUP($F$15,$A$2:$B$11,2,FALSE))*D47^$O$7)</f>
        <v>207</v>
      </c>
      <c r="G47" s="3">
        <f>INT(E47*(1+VLOOKUP($G$15,$A$2:$B$11,2,FALSE))*D47^$O$7)</f>
        <v>213</v>
      </c>
      <c r="H47" s="3">
        <f>INT(E47*(1+VLOOKUP($H$15,$A$2:$B$11,2,FALSE))*D47^$O$7)</f>
        <v>220</v>
      </c>
      <c r="I47" s="3">
        <f>INT(E47*(1+VLOOKUP($I$15,$A$2:$B$11,2,FALSE))*D47^$O$7)</f>
        <v>228</v>
      </c>
      <c r="J47" s="29">
        <f>INT(E47*(1+VLOOKUP($J$15,$A$2:$B$11,2,FALSE))*D47^$O$7)</f>
        <v>239</v>
      </c>
      <c r="K47" s="3">
        <f>INT(E47*(1+VLOOKUP($K$15,$A$2:$B$11,2,FALSE))*D47^$O$7)</f>
        <v>252</v>
      </c>
      <c r="L47" s="3">
        <f>INT(E47*(1+VLOOKUP($L$15,$A$2:$B$11,2,FALSE))*D47^$O$7)</f>
        <v>269</v>
      </c>
      <c r="M47" s="3">
        <f>INT(E47*(1+VLOOKUP($M$15,$A$2:$B$11,2,FALSE))*D47^$O$7)</f>
        <v>290</v>
      </c>
      <c r="N47" s="3">
        <f>INT(E47*(1+VLOOKUP($N$15,$A$2:$B$11,2,FALSE))*D47^$O$7)</f>
        <v>317</v>
      </c>
      <c r="O47" s="3">
        <f>INT(E47*(1+VLOOKUP($O$15,$A$2:$B$11,2,FALSE))*D47^$O$7)</f>
        <v>350</v>
      </c>
    </row>
    <row r="48" spans="3:22" x14ac:dyDescent="0.15">
      <c r="C48" s="164"/>
      <c r="D48" s="3">
        <v>4</v>
      </c>
      <c r="E48" s="30">
        <f t="shared" si="11"/>
        <v>206</v>
      </c>
      <c r="F48" s="3">
        <f>INT(E48*(1+VLOOKUP($F$15,$A$2:$B$11,2,FALSE))*D48^$O$7)</f>
        <v>209</v>
      </c>
      <c r="G48" s="3">
        <f>INT(E48*(1+VLOOKUP($G$15,$A$2:$B$11,2,FALSE))*D48^$O$7)</f>
        <v>215</v>
      </c>
      <c r="H48" s="3">
        <f>INT(E48*(1+VLOOKUP($H$15,$A$2:$B$11,2,FALSE))*D48^$O$7)</f>
        <v>222</v>
      </c>
      <c r="I48" s="3">
        <f>INT(E48*(1+VLOOKUP($I$15,$A$2:$B$11,2,FALSE))*D48^$O$7)</f>
        <v>230</v>
      </c>
      <c r="J48" s="3">
        <f>INT(E48*(1+VLOOKUP($J$15,$A$2:$B$11,2,FALSE))*D48^$O$7)</f>
        <v>241</v>
      </c>
      <c r="K48" s="3">
        <f>INT(E48*(1+VLOOKUP($K$15,$A$2:$B$11,2,FALSE))*D48^$O$7)</f>
        <v>255</v>
      </c>
      <c r="L48" s="3">
        <f>INT(E48*(1+VLOOKUP($L$15,$A$2:$B$11,2,FALSE))*D48^$O$7)</f>
        <v>272</v>
      </c>
      <c r="M48" s="3">
        <f>INT(E48*(1+VLOOKUP($M$15,$A$2:$B$11,2,FALSE))*D48^$O$7)</f>
        <v>293</v>
      </c>
      <c r="N48" s="3">
        <f>INT(E48*(1+VLOOKUP($N$15,$A$2:$B$11,2,FALSE))*D48^$O$7)</f>
        <v>320</v>
      </c>
      <c r="O48" s="3">
        <f>INT(E48*(1+VLOOKUP($O$15,$A$2:$B$11,2,FALSE))*D48^$O$7)</f>
        <v>353</v>
      </c>
    </row>
    <row r="49" spans="3:15" x14ac:dyDescent="0.15">
      <c r="C49" s="164"/>
      <c r="D49" s="3">
        <v>5</v>
      </c>
      <c r="E49" s="30">
        <f t="shared" si="11"/>
        <v>209</v>
      </c>
      <c r="F49" s="3">
        <f>INT(E49*(1+VLOOKUP($F$15,$A$2:$B$11,2,FALSE))*D49^$O$7)</f>
        <v>212</v>
      </c>
      <c r="G49" s="3">
        <f>INT(E49*(1+VLOOKUP($G$15,$A$2:$B$11,2,FALSE))*D49^$O$7)</f>
        <v>218</v>
      </c>
      <c r="H49" s="3">
        <f>INT(E49*(1+VLOOKUP($H$15,$A$2:$B$11,2,FALSE))*D49^$O$7)</f>
        <v>225</v>
      </c>
      <c r="I49" s="3">
        <f>INT(E49*(1+VLOOKUP($I$15,$A$2:$B$11,2,FALSE))*D49^$O$7)</f>
        <v>234</v>
      </c>
      <c r="J49" s="3">
        <f>INT(E49*(1+VLOOKUP($J$15,$A$2:$B$11,2,FALSE))*D49^$O$7)</f>
        <v>245</v>
      </c>
      <c r="K49" s="3">
        <f>INT(E49*(1+VLOOKUP($K$15,$A$2:$B$11,2,FALSE))*D49^$O$7)</f>
        <v>259</v>
      </c>
      <c r="L49" s="3">
        <f>INT(E49*(1+VLOOKUP($L$15,$A$2:$B$11,2,FALSE))*D49^$O$7)</f>
        <v>276</v>
      </c>
      <c r="M49" s="3">
        <f>INT(E49*(1+VLOOKUP($M$15,$A$2:$B$11,2,FALSE))*D49^$O$7)</f>
        <v>298</v>
      </c>
      <c r="N49" s="3">
        <f>INT(E49*(1+VLOOKUP($N$15,$A$2:$B$11,2,FALSE))*D49^$O$7)</f>
        <v>325</v>
      </c>
      <c r="O49" s="3">
        <f>INT(E49*(1+VLOOKUP($O$15,$A$2:$B$11,2,FALSE))*D49^$O$7)</f>
        <v>358</v>
      </c>
    </row>
    <row r="51" spans="3:15" x14ac:dyDescent="0.15">
      <c r="D51" s="165" t="s">
        <v>900</v>
      </c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</row>
    <row r="52" spans="3:15" x14ac:dyDescent="0.15"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</row>
    <row r="53" spans="3:15" x14ac:dyDescent="0.15"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</row>
    <row r="54" spans="3:15" x14ac:dyDescent="0.15">
      <c r="C54" s="164" t="s">
        <v>132</v>
      </c>
      <c r="D54" s="3">
        <v>1</v>
      </c>
      <c r="E54" s="30">
        <f>99+INT($K$10*D54^1.2*0.85)</f>
        <v>99</v>
      </c>
      <c r="F54" s="3">
        <f>INT(E54*(1+VLOOKUP($F$15,$A$2:$B$11,2,FALSE))*D54^$O$7)</f>
        <v>100</v>
      </c>
      <c r="G54" s="3">
        <f>INT(E54*(1+VLOOKUP($G$15,$A$2:$B$11,2,FALSE))*D54^$O$7)</f>
        <v>103</v>
      </c>
      <c r="H54" s="3">
        <f>INT(E54*(1+VLOOKUP($H$15,$A$2:$B$11,2,FALSE))*D54^$O$7)</f>
        <v>106</v>
      </c>
      <c r="I54" s="3">
        <f>INT(E54*(1+VLOOKUP($I$15,$A$2:$B$11,2,FALSE))*D54^$O$7)</f>
        <v>110</v>
      </c>
      <c r="J54" s="3">
        <f>INT(E54*(1+VLOOKUP($J$15,$A$2:$B$11,2,FALSE))*D54^$O$7)</f>
        <v>116</v>
      </c>
      <c r="K54" s="3">
        <f>INT(E54*(1+VLOOKUP($K$15,$A$2:$B$11,2,FALSE))*D54^$O$7)</f>
        <v>122</v>
      </c>
      <c r="L54" s="3">
        <f>INT(E54*(1+VLOOKUP($L$15,$A$2:$B$11,2,FALSE))*D54^$O$7)</f>
        <v>130</v>
      </c>
      <c r="M54" s="3">
        <f>INT(E54*(1+VLOOKUP($M$15,$A$2:$B$11,2,FALSE))*D54^$O$7)</f>
        <v>141</v>
      </c>
      <c r="N54" s="3">
        <f>INT(E54*(1+VLOOKUP($N$15,$A$2:$B$11,2,FALSE))*D54^$O$7)</f>
        <v>153</v>
      </c>
      <c r="O54" s="3">
        <f>INT(E54*(1+VLOOKUP($O$15,$A$2:$B$11,2,FALSE))*D54^$O$7)</f>
        <v>170</v>
      </c>
    </row>
    <row r="55" spans="3:15" x14ac:dyDescent="0.15">
      <c r="C55" s="164"/>
      <c r="D55" s="3">
        <v>2</v>
      </c>
      <c r="E55" s="30">
        <f t="shared" ref="E55:E58" si="12">99+INT($K$10*D55^1.2*0.85)</f>
        <v>100</v>
      </c>
      <c r="F55" s="3">
        <f>INT(E55*(1+VLOOKUP($F$15,$A$2:$B$11,2,FALSE))*D55^$O$7)</f>
        <v>101</v>
      </c>
      <c r="G55" s="3">
        <f>INT(E55*(1+VLOOKUP($G$15,$A$2:$B$11,2,FALSE))*D55^$O$7)</f>
        <v>104</v>
      </c>
      <c r="H55" s="3">
        <f>INT(E55*(1+VLOOKUP($H$15,$A$2:$B$11,2,FALSE))*D55^$O$7)</f>
        <v>107</v>
      </c>
      <c r="I55" s="3">
        <f>INT(E55*(1+VLOOKUP($I$15,$A$2:$B$11,2,FALSE))*D55^$O$7)</f>
        <v>112</v>
      </c>
      <c r="J55" s="3">
        <f>INT(E55*(1+VLOOKUP($J$15,$A$2:$B$11,2,FALSE))*D55^$O$7)</f>
        <v>117</v>
      </c>
      <c r="K55" s="3">
        <f>INT(E55*(1+VLOOKUP($K$15,$A$2:$B$11,2,FALSE))*D55^$O$7)</f>
        <v>123</v>
      </c>
      <c r="L55" s="3">
        <f>INT(E55*(1+VLOOKUP($L$15,$A$2:$B$11,2,FALSE))*D55^$O$7)</f>
        <v>132</v>
      </c>
      <c r="M55" s="3">
        <f>INT(E55*(1+VLOOKUP($M$15,$A$2:$B$11,2,FALSE))*D55^$O$7)</f>
        <v>142</v>
      </c>
      <c r="N55" s="3">
        <f>INT(E55*(1+VLOOKUP($N$15,$A$2:$B$11,2,FALSE))*D55^$O$7)</f>
        <v>155</v>
      </c>
      <c r="O55" s="3">
        <f>INT(E55*(1+VLOOKUP($O$15,$A$2:$B$11,2,FALSE))*D55^$O$7)</f>
        <v>171</v>
      </c>
    </row>
    <row r="56" spans="3:15" x14ac:dyDescent="0.15">
      <c r="C56" s="164"/>
      <c r="D56" s="3">
        <v>3</v>
      </c>
      <c r="E56" s="30">
        <f t="shared" si="12"/>
        <v>102</v>
      </c>
      <c r="F56" s="3">
        <f>INT(E56*(1+VLOOKUP($F$15,$A$2:$B$11,2,FALSE))*D56^$O$7)</f>
        <v>103</v>
      </c>
      <c r="G56" s="3">
        <f>INT(E56*(1+VLOOKUP($G$15,$A$2:$B$11,2,FALSE))*D56^$O$7)</f>
        <v>106</v>
      </c>
      <c r="H56" s="3">
        <f>INT(E56*(1+VLOOKUP($H$15,$A$2:$B$11,2,FALSE))*D56^$O$7)</f>
        <v>110</v>
      </c>
      <c r="I56" s="3">
        <f>INT(E56*(1+VLOOKUP($I$15,$A$2:$B$11,2,FALSE))*D56^$O$7)</f>
        <v>114</v>
      </c>
      <c r="J56" s="29">
        <f>INT(E56*(1+VLOOKUP($J$15,$A$2:$B$11,2,FALSE))*D56^$O$7)</f>
        <v>119</v>
      </c>
      <c r="K56" s="3">
        <f>INT(E56*(1+VLOOKUP($K$15,$A$2:$B$11,2,FALSE))*D56^$O$7)</f>
        <v>126</v>
      </c>
      <c r="L56" s="3">
        <f>INT(E56*(1+VLOOKUP($L$15,$A$2:$B$11,2,FALSE))*D56^$O$7)</f>
        <v>134</v>
      </c>
      <c r="M56" s="3">
        <f>INT(E56*(1+VLOOKUP($M$15,$A$2:$B$11,2,FALSE))*D56^$O$7)</f>
        <v>145</v>
      </c>
      <c r="N56" s="3">
        <f>INT(E56*(1+VLOOKUP($N$15,$A$2:$B$11,2,FALSE))*D56^$O$7)</f>
        <v>158</v>
      </c>
      <c r="O56" s="3">
        <f>INT(E56*(1+VLOOKUP($O$15,$A$2:$B$11,2,FALSE))*D56^$O$7)</f>
        <v>175</v>
      </c>
    </row>
    <row r="57" spans="3:15" x14ac:dyDescent="0.15">
      <c r="C57" s="164"/>
      <c r="D57" s="3">
        <v>4</v>
      </c>
      <c r="E57" s="30">
        <f t="shared" si="12"/>
        <v>103</v>
      </c>
      <c r="F57" s="3">
        <f>INT(E57*(1+VLOOKUP($F$15,$A$2:$B$11,2,FALSE))*D57^$O$7)</f>
        <v>104</v>
      </c>
      <c r="G57" s="3">
        <f>INT(E57*(1+VLOOKUP($G$15,$A$2:$B$11,2,FALSE))*D57^$O$7)</f>
        <v>107</v>
      </c>
      <c r="H57" s="3">
        <f>INT(E57*(1+VLOOKUP($H$15,$A$2:$B$11,2,FALSE))*D57^$O$7)</f>
        <v>111</v>
      </c>
      <c r="I57" s="3">
        <f>INT(E57*(1+VLOOKUP($I$15,$A$2:$B$11,2,FALSE))*D57^$O$7)</f>
        <v>115</v>
      </c>
      <c r="J57" s="3">
        <f>INT(E57*(1+VLOOKUP($J$15,$A$2:$B$11,2,FALSE))*D57^$O$7)</f>
        <v>120</v>
      </c>
      <c r="K57" s="3">
        <f>INT(E57*(1+VLOOKUP($K$15,$A$2:$B$11,2,FALSE))*D57^$O$7)</f>
        <v>127</v>
      </c>
      <c r="L57" s="3">
        <f>INT(E57*(1+VLOOKUP($L$15,$A$2:$B$11,2,FALSE))*D57^$O$7)</f>
        <v>136</v>
      </c>
      <c r="M57" s="3">
        <f>INT(E57*(1+VLOOKUP($M$15,$A$2:$B$11,2,FALSE))*D57^$O$7)</f>
        <v>146</v>
      </c>
      <c r="N57" s="3">
        <f>INT(E57*(1+VLOOKUP($N$15,$A$2:$B$11,2,FALSE))*D57^$O$7)</f>
        <v>160</v>
      </c>
      <c r="O57" s="3">
        <f>INT(E57*(1+VLOOKUP($O$15,$A$2:$B$11,2,FALSE))*D57^$O$7)</f>
        <v>176</v>
      </c>
    </row>
    <row r="58" spans="3:15" x14ac:dyDescent="0.15">
      <c r="C58" s="164"/>
      <c r="D58" s="3">
        <v>5</v>
      </c>
      <c r="E58" s="30">
        <f t="shared" si="12"/>
        <v>104</v>
      </c>
      <c r="F58" s="3">
        <f>INT(E58*(1+VLOOKUP($F$15,$A$2:$B$11,2,FALSE))*D58^$O$7)</f>
        <v>105</v>
      </c>
      <c r="G58" s="3">
        <f>INT(E58*(1+VLOOKUP($G$15,$A$2:$B$11,2,FALSE))*D58^$O$7)</f>
        <v>108</v>
      </c>
      <c r="H58" s="3">
        <f>INT(E58*(1+VLOOKUP($H$15,$A$2:$B$11,2,FALSE))*D58^$O$7)</f>
        <v>112</v>
      </c>
      <c r="I58" s="3">
        <f>INT(E58*(1+VLOOKUP($I$15,$A$2:$B$11,2,FALSE))*D58^$O$7)</f>
        <v>116</v>
      </c>
      <c r="J58" s="3">
        <f>INT(E58*(1+VLOOKUP($J$15,$A$2:$B$11,2,FALSE))*D58^$O$7)</f>
        <v>122</v>
      </c>
      <c r="K58" s="3">
        <f>INT(E58*(1+VLOOKUP($K$15,$A$2:$B$11,2,FALSE))*D58^$O$7)</f>
        <v>128</v>
      </c>
      <c r="L58" s="3">
        <f>INT(E58*(1+VLOOKUP($L$15,$A$2:$B$11,2,FALSE))*D58^$O$7)</f>
        <v>137</v>
      </c>
      <c r="M58" s="3">
        <f>INT(E58*(1+VLOOKUP($M$15,$A$2:$B$11,2,FALSE))*D58^$O$7)</f>
        <v>148</v>
      </c>
      <c r="N58" s="3">
        <f>INT(E58*(1+VLOOKUP($N$15,$A$2:$B$11,2,FALSE))*D58^$O$7)</f>
        <v>161</v>
      </c>
      <c r="O58" s="3">
        <f>INT(E58*(1+VLOOKUP($O$15,$A$2:$B$11,2,FALSE))*D58^$O$7)</f>
        <v>178</v>
      </c>
    </row>
    <row r="60" spans="3:15" x14ac:dyDescent="0.15">
      <c r="D60" s="32" t="s">
        <v>77</v>
      </c>
      <c r="E60" s="32" t="s">
        <v>124</v>
      </c>
      <c r="F60" s="32" t="s">
        <v>97</v>
      </c>
      <c r="G60" s="32" t="s">
        <v>98</v>
      </c>
      <c r="H60" s="32" t="s">
        <v>99</v>
      </c>
      <c r="I60" s="32" t="s">
        <v>100</v>
      </c>
      <c r="J60" s="32" t="s">
        <v>101</v>
      </c>
      <c r="K60" s="32" t="s">
        <v>102</v>
      </c>
      <c r="L60" s="32" t="s">
        <v>103</v>
      </c>
      <c r="M60" s="32" t="s">
        <v>104</v>
      </c>
      <c r="N60" s="32" t="s">
        <v>105</v>
      </c>
      <c r="O60" s="32" t="s">
        <v>106</v>
      </c>
    </row>
    <row r="61" spans="3:15" x14ac:dyDescent="0.15">
      <c r="D61" s="3">
        <v>1</v>
      </c>
      <c r="E61" s="3">
        <f t="shared" ref="E61:O61" si="13">E54/E45</f>
        <v>0.495</v>
      </c>
      <c r="F61" s="3">
        <f t="shared" si="13"/>
        <v>0.49261083743842365</v>
      </c>
      <c r="G61" s="3">
        <f t="shared" si="13"/>
        <v>0.49519230769230771</v>
      </c>
      <c r="H61" s="3">
        <f t="shared" si="13"/>
        <v>0.49302325581395351</v>
      </c>
      <c r="I61" s="3">
        <f t="shared" si="13"/>
        <v>0.49107142857142855</v>
      </c>
      <c r="J61" s="3">
        <f t="shared" si="13"/>
        <v>0.49572649572649574</v>
      </c>
      <c r="K61" s="3">
        <f t="shared" si="13"/>
        <v>0.49392712550607287</v>
      </c>
      <c r="L61" s="3">
        <f t="shared" si="13"/>
        <v>0.49242424242424243</v>
      </c>
      <c r="M61" s="3">
        <f t="shared" si="13"/>
        <v>0.49473684210526314</v>
      </c>
      <c r="N61" s="3">
        <f t="shared" si="13"/>
        <v>0.49196141479099681</v>
      </c>
      <c r="O61" s="3">
        <f t="shared" si="13"/>
        <v>0.49562682215743442</v>
      </c>
    </row>
    <row r="62" spans="3:15" x14ac:dyDescent="0.15">
      <c r="D62" s="3">
        <v>2</v>
      </c>
      <c r="E62" s="3">
        <f t="shared" ref="E62:O62" si="14">E55/E46</f>
        <v>0.49504950495049505</v>
      </c>
      <c r="F62" s="3">
        <f t="shared" si="14"/>
        <v>0.49268292682926829</v>
      </c>
      <c r="G62" s="3">
        <f t="shared" si="14"/>
        <v>0.49289099526066349</v>
      </c>
      <c r="H62" s="3">
        <f t="shared" si="14"/>
        <v>0.49308755760368661</v>
      </c>
      <c r="I62" s="3">
        <f t="shared" si="14"/>
        <v>0.49557522123893805</v>
      </c>
      <c r="J62" s="3">
        <f t="shared" si="14"/>
        <v>0.49367088607594939</v>
      </c>
      <c r="K62" s="3">
        <f t="shared" si="14"/>
        <v>0.49199999999999999</v>
      </c>
      <c r="L62" s="3">
        <f t="shared" si="14"/>
        <v>0.4943820224719101</v>
      </c>
      <c r="M62" s="3">
        <f t="shared" si="14"/>
        <v>0.49305555555555558</v>
      </c>
      <c r="N62" s="3">
        <f t="shared" si="14"/>
        <v>0.49363057324840764</v>
      </c>
      <c r="O62" s="3">
        <f t="shared" si="14"/>
        <v>0.49421965317919075</v>
      </c>
    </row>
    <row r="63" spans="3:15" x14ac:dyDescent="0.15">
      <c r="D63" s="3">
        <v>3</v>
      </c>
      <c r="E63" s="3">
        <f t="shared" ref="E63:O63" si="15">E56/E47</f>
        <v>0.5</v>
      </c>
      <c r="F63" s="3">
        <f t="shared" si="15"/>
        <v>0.49758454106280192</v>
      </c>
      <c r="G63" s="3">
        <f t="shared" si="15"/>
        <v>0.49765258215962443</v>
      </c>
      <c r="H63" s="3">
        <f t="shared" si="15"/>
        <v>0.5</v>
      </c>
      <c r="I63" s="3">
        <f t="shared" si="15"/>
        <v>0.5</v>
      </c>
      <c r="J63" s="3">
        <f t="shared" si="15"/>
        <v>0.497907949790795</v>
      </c>
      <c r="K63" s="3">
        <f t="shared" si="15"/>
        <v>0.5</v>
      </c>
      <c r="L63" s="3">
        <f t="shared" si="15"/>
        <v>0.49814126394052044</v>
      </c>
      <c r="M63" s="3">
        <f t="shared" si="15"/>
        <v>0.5</v>
      </c>
      <c r="N63" s="3">
        <f t="shared" si="15"/>
        <v>0.49842271293375395</v>
      </c>
      <c r="O63" s="3">
        <f t="shared" si="15"/>
        <v>0.5</v>
      </c>
    </row>
    <row r="64" spans="3:15" x14ac:dyDescent="0.15">
      <c r="D64" s="3">
        <v>4</v>
      </c>
      <c r="E64" s="3">
        <f t="shared" ref="E64:O64" si="16">E57/E48</f>
        <v>0.5</v>
      </c>
      <c r="F64" s="3">
        <f t="shared" si="16"/>
        <v>0.49760765550239233</v>
      </c>
      <c r="G64" s="3">
        <f t="shared" si="16"/>
        <v>0.49767441860465117</v>
      </c>
      <c r="H64" s="3">
        <f t="shared" si="16"/>
        <v>0.5</v>
      </c>
      <c r="I64" s="3">
        <f t="shared" si="16"/>
        <v>0.5</v>
      </c>
      <c r="J64" s="3">
        <f t="shared" si="16"/>
        <v>0.49792531120331951</v>
      </c>
      <c r="K64" s="3">
        <f t="shared" si="16"/>
        <v>0.49803921568627452</v>
      </c>
      <c r="L64" s="3">
        <f t="shared" si="16"/>
        <v>0.5</v>
      </c>
      <c r="M64" s="3">
        <f t="shared" si="16"/>
        <v>0.49829351535836175</v>
      </c>
      <c r="N64" s="3">
        <f t="shared" si="16"/>
        <v>0.5</v>
      </c>
      <c r="O64" s="3">
        <f t="shared" si="16"/>
        <v>0.49858356940509913</v>
      </c>
    </row>
    <row r="65" spans="3:15" x14ac:dyDescent="0.15">
      <c r="D65" s="3">
        <v>5</v>
      </c>
      <c r="E65" s="3">
        <f t="shared" ref="E65:O65" si="17">E58/E49</f>
        <v>0.49760765550239233</v>
      </c>
      <c r="F65" s="3">
        <f t="shared" si="17"/>
        <v>0.49528301886792453</v>
      </c>
      <c r="G65" s="3">
        <f t="shared" si="17"/>
        <v>0.49541284403669728</v>
      </c>
      <c r="H65" s="3">
        <f t="shared" si="17"/>
        <v>0.49777777777777776</v>
      </c>
      <c r="I65" s="3">
        <f t="shared" si="17"/>
        <v>0.49572649572649574</v>
      </c>
      <c r="J65" s="3">
        <f t="shared" si="17"/>
        <v>0.49795918367346936</v>
      </c>
      <c r="K65" s="3">
        <f t="shared" si="17"/>
        <v>0.49420849420849422</v>
      </c>
      <c r="L65" s="3">
        <f t="shared" si="17"/>
        <v>0.49637681159420288</v>
      </c>
      <c r="M65" s="3">
        <f t="shared" si="17"/>
        <v>0.49664429530201343</v>
      </c>
      <c r="N65" s="3">
        <f t="shared" si="17"/>
        <v>0.49538461538461537</v>
      </c>
      <c r="O65" s="3">
        <f t="shared" si="17"/>
        <v>0.4972067039106145</v>
      </c>
    </row>
    <row r="67" spans="3:15" x14ac:dyDescent="0.15">
      <c r="D67" s="165" t="s">
        <v>901</v>
      </c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</row>
    <row r="68" spans="3:15" x14ac:dyDescent="0.15"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</row>
    <row r="69" spans="3:15" x14ac:dyDescent="0.15"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</row>
    <row r="70" spans="3:15" x14ac:dyDescent="0.15">
      <c r="C70" s="164" t="s">
        <v>133</v>
      </c>
      <c r="D70" s="3">
        <v>1</v>
      </c>
      <c r="E70" s="30">
        <f>199+INT($K$10*D70^1.2*1.75)</f>
        <v>200</v>
      </c>
      <c r="F70" s="3">
        <f>INT(E70*(1+VLOOKUP($F$15,$A$2:$B$11,2,FALSE))*D70^$O$7)</f>
        <v>203</v>
      </c>
      <c r="G70" s="3">
        <f>INT(E70*(1+VLOOKUP($G$15,$A$2:$B$11,2,FALSE))*D70^$O$7)</f>
        <v>208</v>
      </c>
      <c r="H70" s="3">
        <f>INT(E70*(1+VLOOKUP($H$15,$A$2:$B$11,2,FALSE))*D70^$O$7)</f>
        <v>215</v>
      </c>
      <c r="I70" s="3">
        <f>INT(E70*(1+VLOOKUP($I$15,$A$2:$B$11,2,FALSE))*D70^$O$7)</f>
        <v>224</v>
      </c>
      <c r="J70" s="3">
        <f>INT(E70*(1+VLOOKUP($J$15,$A$2:$B$11,2,FALSE))*D70^$O$7)</f>
        <v>234</v>
      </c>
      <c r="K70" s="3">
        <f>INT(E70*(1+VLOOKUP($K$15,$A$2:$B$11,2,FALSE))*D70^$O$7)</f>
        <v>247</v>
      </c>
      <c r="L70" s="3">
        <f>INT(E70*(1+VLOOKUP($L$15,$A$2:$B$11,2,FALSE))*D70^$O$7)</f>
        <v>264</v>
      </c>
      <c r="M70" s="3">
        <f>INT(E70*(1+VLOOKUP($M$15,$A$2:$B$11,2,FALSE))*D70^$O$7)</f>
        <v>285</v>
      </c>
      <c r="N70" s="3">
        <f>INT(E70*(1+VLOOKUP($N$15,$A$2:$B$11,2,FALSE))*D70^$O$7)</f>
        <v>311</v>
      </c>
      <c r="O70" s="3">
        <f>INT(E70*(1+VLOOKUP($O$15,$A$2:$B$11,2,FALSE))*D70^$O$7)</f>
        <v>343</v>
      </c>
    </row>
    <row r="71" spans="3:15" x14ac:dyDescent="0.15">
      <c r="C71" s="164"/>
      <c r="D71" s="3">
        <v>2</v>
      </c>
      <c r="E71" s="30">
        <f>199+INT($K$10*D71^1.2*1.75)</f>
        <v>203</v>
      </c>
      <c r="F71" s="3">
        <f>INT(E71*(1+VLOOKUP($F$15,$A$2:$B$11,2,FALSE))*D71^$O$7)</f>
        <v>206</v>
      </c>
      <c r="G71" s="3">
        <f>INT(E71*(1+VLOOKUP($G$15,$A$2:$B$11,2,FALSE))*D71^$O$7)</f>
        <v>212</v>
      </c>
      <c r="H71" s="3">
        <f>INT(E71*(1+VLOOKUP($H$15,$A$2:$B$11,2,FALSE))*D71^$O$7)</f>
        <v>218</v>
      </c>
      <c r="I71" s="3">
        <f>INT(E71*(1+VLOOKUP($I$15,$A$2:$B$11,2,FALSE))*D71^$O$7)</f>
        <v>227</v>
      </c>
      <c r="J71" s="3">
        <f>INT(E71*(1+VLOOKUP($J$15,$A$2:$B$11,2,FALSE))*D71^$O$7)</f>
        <v>238</v>
      </c>
      <c r="K71" s="3">
        <f>INT(E71*(1+VLOOKUP($K$15,$A$2:$B$11,2,FALSE))*D71^$O$7)</f>
        <v>251</v>
      </c>
      <c r="L71" s="3">
        <f>INT(E71*(1+VLOOKUP($L$15,$A$2:$B$11,2,FALSE))*D71^$O$7)</f>
        <v>268</v>
      </c>
      <c r="M71" s="3">
        <f>INT(E71*(1+VLOOKUP($M$15,$A$2:$B$11,2,FALSE))*D71^$O$7)</f>
        <v>289</v>
      </c>
      <c r="N71" s="3">
        <f>INT(E71*(1+VLOOKUP($N$15,$A$2:$B$11,2,FALSE))*D71^$O$7)</f>
        <v>315</v>
      </c>
      <c r="O71" s="3">
        <f>INT(E71*(1+VLOOKUP($O$15,$A$2:$B$11,2,FALSE))*D71^$O$7)</f>
        <v>348</v>
      </c>
    </row>
    <row r="72" spans="3:15" x14ac:dyDescent="0.15">
      <c r="C72" s="164"/>
      <c r="D72" s="3">
        <v>3</v>
      </c>
      <c r="E72" s="30">
        <f>199+INT($K$10*D72^1.2*1.75)</f>
        <v>205</v>
      </c>
      <c r="F72" s="3">
        <f>INT(E72*(1+VLOOKUP($F$15,$A$2:$B$11,2,FALSE))*D72^$O$7)</f>
        <v>208</v>
      </c>
      <c r="G72" s="3">
        <f>INT(E72*(1+VLOOKUP($G$15,$A$2:$B$11,2,FALSE))*D72^$O$7)</f>
        <v>214</v>
      </c>
      <c r="H72" s="3">
        <f>INT(E72*(1+VLOOKUP($H$15,$A$2:$B$11,2,FALSE))*D72^$O$7)</f>
        <v>221</v>
      </c>
      <c r="I72" s="3">
        <f>INT(E72*(1+VLOOKUP($I$15,$A$2:$B$11,2,FALSE))*D72^$O$7)</f>
        <v>229</v>
      </c>
      <c r="J72" s="29">
        <f>INT(E72*(1+VLOOKUP($J$15,$A$2:$B$11,2,FALSE))*D72^$O$7)</f>
        <v>240</v>
      </c>
      <c r="K72" s="3">
        <f>INT(E72*(1+VLOOKUP($K$15,$A$2:$B$11,2,FALSE))*D72^$O$7)</f>
        <v>254</v>
      </c>
      <c r="L72" s="3">
        <f>INT(E72*(1+VLOOKUP($L$15,$A$2:$B$11,2,FALSE))*D72^$O$7)</f>
        <v>271</v>
      </c>
      <c r="M72" s="3">
        <f>INT(E72*(1+VLOOKUP($M$15,$A$2:$B$11,2,FALSE))*D72^$O$7)</f>
        <v>292</v>
      </c>
      <c r="N72" s="3">
        <f>INT(E72*(1+VLOOKUP($N$15,$A$2:$B$11,2,FALSE))*D72^$O$7)</f>
        <v>318</v>
      </c>
      <c r="O72" s="3">
        <f>INT(E72*(1+VLOOKUP($O$15,$A$2:$B$11,2,FALSE))*D72^$O$7)</f>
        <v>352</v>
      </c>
    </row>
    <row r="73" spans="3:15" x14ac:dyDescent="0.15">
      <c r="C73" s="164"/>
      <c r="D73" s="3">
        <v>4</v>
      </c>
      <c r="E73" s="30">
        <f>199+INT($K$10*D73^1.2*1.75)</f>
        <v>208</v>
      </c>
      <c r="F73" s="3">
        <f>INT(E73*(1+VLOOKUP($F$15,$A$2:$B$11,2,FALSE))*D73^$O$7)</f>
        <v>211</v>
      </c>
      <c r="G73" s="3">
        <f>INT(E73*(1+VLOOKUP($G$15,$A$2:$B$11,2,FALSE))*D73^$O$7)</f>
        <v>217</v>
      </c>
      <c r="H73" s="3">
        <f>INT(E73*(1+VLOOKUP($H$15,$A$2:$B$11,2,FALSE))*D73^$O$7)</f>
        <v>224</v>
      </c>
      <c r="I73" s="3">
        <f>INT(E73*(1+VLOOKUP($I$15,$A$2:$B$11,2,FALSE))*D73^$O$7)</f>
        <v>233</v>
      </c>
      <c r="J73" s="3">
        <f>INT(E73*(1+VLOOKUP($J$15,$A$2:$B$11,2,FALSE))*D73^$O$7)</f>
        <v>244</v>
      </c>
      <c r="K73" s="3">
        <f>INT(E73*(1+VLOOKUP($K$15,$A$2:$B$11,2,FALSE))*D73^$O$7)</f>
        <v>257</v>
      </c>
      <c r="L73" s="3">
        <f>INT(E73*(1+VLOOKUP($L$15,$A$2:$B$11,2,FALSE))*D73^$O$7)</f>
        <v>275</v>
      </c>
      <c r="M73" s="3">
        <f>INT(E73*(1+VLOOKUP($M$15,$A$2:$B$11,2,FALSE))*D73^$O$7)</f>
        <v>296</v>
      </c>
      <c r="N73" s="3">
        <f>INT(E73*(1+VLOOKUP($N$15,$A$2:$B$11,2,FALSE))*D73^$O$7)</f>
        <v>323</v>
      </c>
      <c r="O73" s="3">
        <f>INT(E73*(1+VLOOKUP($O$15,$A$2:$B$11,2,FALSE))*D73^$O$7)</f>
        <v>357</v>
      </c>
    </row>
    <row r="74" spans="3:15" x14ac:dyDescent="0.15">
      <c r="C74" s="164"/>
      <c r="D74" s="3">
        <v>5</v>
      </c>
      <c r="E74" s="30">
        <f>199+INT($K$10*D74^1.2*1.75)</f>
        <v>211</v>
      </c>
      <c r="F74" s="3">
        <f>INT(E74*(1+VLOOKUP($F$15,$A$2:$B$11,2,FALSE))*D74^$O$7)</f>
        <v>214</v>
      </c>
      <c r="G74" s="3">
        <f>INT(E74*(1+VLOOKUP($G$15,$A$2:$B$11,2,FALSE))*D74^$O$7)</f>
        <v>220</v>
      </c>
      <c r="H74" s="3">
        <f>INT(E74*(1+VLOOKUP($H$15,$A$2:$B$11,2,FALSE))*D74^$O$7)</f>
        <v>227</v>
      </c>
      <c r="I74" s="3">
        <f>INT(E74*(1+VLOOKUP($I$15,$A$2:$B$11,2,FALSE))*D74^$O$7)</f>
        <v>236</v>
      </c>
      <c r="J74" s="3">
        <f>INT(E74*(1+VLOOKUP($J$15,$A$2:$B$11,2,FALSE))*D74^$O$7)</f>
        <v>247</v>
      </c>
      <c r="K74" s="3">
        <f>INT(E74*(1+VLOOKUP($K$15,$A$2:$B$11,2,FALSE))*D74^$O$7)</f>
        <v>261</v>
      </c>
      <c r="L74" s="3">
        <f>INT(E74*(1+VLOOKUP($L$15,$A$2:$B$11,2,FALSE))*D74^$O$7)</f>
        <v>279</v>
      </c>
      <c r="M74" s="3">
        <f>INT(E74*(1+VLOOKUP($M$15,$A$2:$B$11,2,FALSE))*D74^$O$7)</f>
        <v>300</v>
      </c>
      <c r="N74" s="3">
        <f>INT(E74*(1+VLOOKUP($N$15,$A$2:$B$11,2,FALSE))*D74^$O$7)</f>
        <v>328</v>
      </c>
      <c r="O74" s="3">
        <f>INT(E74*(1+VLOOKUP($O$15,$A$2:$B$11,2,FALSE))*D74^$O$7)</f>
        <v>362</v>
      </c>
    </row>
    <row r="76" spans="3:15" x14ac:dyDescent="0.15">
      <c r="D76" s="165" t="s">
        <v>902</v>
      </c>
      <c r="E76" s="165"/>
      <c r="F76" s="165"/>
      <c r="G76" s="165"/>
      <c r="H76" s="165"/>
      <c r="I76" s="165"/>
      <c r="J76" s="165"/>
      <c r="K76" s="165"/>
      <c r="L76" s="165"/>
      <c r="M76" s="165"/>
      <c r="N76" s="165"/>
      <c r="O76" s="165"/>
    </row>
    <row r="77" spans="3:15" x14ac:dyDescent="0.15"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</row>
    <row r="78" spans="3:15" x14ac:dyDescent="0.15">
      <c r="D78" s="165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</row>
    <row r="79" spans="3:15" x14ac:dyDescent="0.15">
      <c r="C79" s="164" t="s">
        <v>134</v>
      </c>
      <c r="D79" s="3">
        <v>1</v>
      </c>
      <c r="E79" s="30">
        <f>99+INT($K$10*D79^1.2*0.88)</f>
        <v>99</v>
      </c>
      <c r="F79" s="3">
        <f>INT(E79*(1+VLOOKUP($F$15,$A$2:$B$11,2,FALSE))*D79^$O$7)</f>
        <v>100</v>
      </c>
      <c r="G79" s="3">
        <f>INT(E79*(1+VLOOKUP($G$15,$A$2:$B$11,2,FALSE))*D79^$O$7)</f>
        <v>103</v>
      </c>
      <c r="H79" s="3">
        <f>INT(E79*(1+VLOOKUP($H$15,$A$2:$B$11,2,FALSE))*D79^$O$7)</f>
        <v>106</v>
      </c>
      <c r="I79" s="3">
        <f>INT(E79*(1+VLOOKUP($I$15,$A$2:$B$11,2,FALSE))*D79^$O$7)</f>
        <v>110</v>
      </c>
      <c r="J79" s="3">
        <f>INT(E79*(1+VLOOKUP($J$15,$A$2:$B$11,2,FALSE))*D79^$O$7)</f>
        <v>116</v>
      </c>
      <c r="K79" s="3">
        <f>INT(E79*(1+VLOOKUP($K$15,$A$2:$B$11,2,FALSE))*D79^$O$7)</f>
        <v>122</v>
      </c>
      <c r="L79" s="3">
        <f>INT(E79*(1+VLOOKUP($L$15,$A$2:$B$11,2,FALSE))*D79^$O$7)</f>
        <v>130</v>
      </c>
      <c r="M79" s="3">
        <f>INT(E79*(1+VLOOKUP($M$15,$A$2:$B$11,2,FALSE))*D79^$O$7)</f>
        <v>141</v>
      </c>
      <c r="N79" s="3">
        <f>INT(E79*(1+VLOOKUP($N$15,$A$2:$B$11,2,FALSE))*D79^$O$7)</f>
        <v>153</v>
      </c>
      <c r="O79" s="3">
        <f>INT(E79*(1+VLOOKUP($O$15,$A$2:$B$11,2,FALSE))*D79^$O$7)</f>
        <v>170</v>
      </c>
    </row>
    <row r="80" spans="3:15" x14ac:dyDescent="0.15">
      <c r="C80" s="164"/>
      <c r="D80" s="3">
        <v>2</v>
      </c>
      <c r="E80" s="30">
        <f>99+INT($K$10*D80^1.2*0.88)</f>
        <v>101</v>
      </c>
      <c r="F80" s="3">
        <f>INT(E80*(1+VLOOKUP($F$15,$A$2:$B$11,2,FALSE))*D80^$O$7)</f>
        <v>102</v>
      </c>
      <c r="G80" s="3">
        <f>INT(E80*(1+VLOOKUP($G$15,$A$2:$B$11,2,FALSE))*D80^$O$7)</f>
        <v>105</v>
      </c>
      <c r="H80" s="3">
        <f>INT(E80*(1+VLOOKUP($H$15,$A$2:$B$11,2,FALSE))*D80^$O$7)</f>
        <v>108</v>
      </c>
      <c r="I80" s="3">
        <f>INT(E80*(1+VLOOKUP($I$15,$A$2:$B$11,2,FALSE))*D80^$O$7)</f>
        <v>113</v>
      </c>
      <c r="J80" s="3">
        <f>INT(E80*(1+VLOOKUP($J$15,$A$2:$B$11,2,FALSE))*D80^$O$7)</f>
        <v>118</v>
      </c>
      <c r="K80" s="3">
        <f>INT(E80*(1+VLOOKUP($K$15,$A$2:$B$11,2,FALSE))*D80^$O$7)</f>
        <v>125</v>
      </c>
      <c r="L80" s="3">
        <f>INT(E80*(1+VLOOKUP($L$15,$A$2:$B$11,2,FALSE))*D80^$O$7)</f>
        <v>133</v>
      </c>
      <c r="M80" s="3">
        <f>INT(E80*(1+VLOOKUP($M$15,$A$2:$B$11,2,FALSE))*D80^$O$7)</f>
        <v>144</v>
      </c>
      <c r="N80" s="3">
        <f>INT(E80*(1+VLOOKUP($N$15,$A$2:$B$11,2,FALSE))*D80^$O$7)</f>
        <v>157</v>
      </c>
      <c r="O80" s="3">
        <f>INT(E80*(1+VLOOKUP($O$15,$A$2:$B$11,2,FALSE))*D80^$O$7)</f>
        <v>173</v>
      </c>
    </row>
    <row r="81" spans="3:20" x14ac:dyDescent="0.15">
      <c r="C81" s="164"/>
      <c r="D81" s="3">
        <v>3</v>
      </c>
      <c r="E81" s="30">
        <f>99+INT($K$10*D81^1.2*0.88)</f>
        <v>102</v>
      </c>
      <c r="F81" s="3">
        <f>INT(E81*(1+VLOOKUP($F$15,$A$2:$B$11,2,FALSE))*D81^$O$7)</f>
        <v>103</v>
      </c>
      <c r="G81" s="3">
        <f>INT(E81*(1+VLOOKUP($G$15,$A$2:$B$11,2,FALSE))*D81^$O$7)</f>
        <v>106</v>
      </c>
      <c r="H81" s="3">
        <f>INT(E81*(1+VLOOKUP($H$15,$A$2:$B$11,2,FALSE))*D81^$O$7)</f>
        <v>110</v>
      </c>
      <c r="I81" s="3">
        <f>INT(E81*(1+VLOOKUP($I$15,$A$2:$B$11,2,FALSE))*D81^$O$7)</f>
        <v>114</v>
      </c>
      <c r="J81" s="29">
        <f>INT(E81*(1+VLOOKUP($J$15,$A$2:$B$11,2,FALSE))*D81^$O$7)</f>
        <v>119</v>
      </c>
      <c r="K81" s="3">
        <f>INT(E81*(1+VLOOKUP($K$15,$A$2:$B$11,2,FALSE))*D81^$O$7)</f>
        <v>126</v>
      </c>
      <c r="L81" s="3">
        <f>INT(E81*(1+VLOOKUP($L$15,$A$2:$B$11,2,FALSE))*D81^$O$7)</f>
        <v>134</v>
      </c>
      <c r="M81" s="3">
        <f>INT(E81*(1+VLOOKUP($M$15,$A$2:$B$11,2,FALSE))*D81^$O$7)</f>
        <v>145</v>
      </c>
      <c r="N81" s="3">
        <f>INT(E81*(1+VLOOKUP($N$15,$A$2:$B$11,2,FALSE))*D81^$O$7)</f>
        <v>158</v>
      </c>
      <c r="O81" s="3">
        <f>INT(E81*(1+VLOOKUP($O$15,$A$2:$B$11,2,FALSE))*D81^$O$7)</f>
        <v>175</v>
      </c>
    </row>
    <row r="82" spans="3:20" x14ac:dyDescent="0.15">
      <c r="C82" s="164"/>
      <c r="D82" s="3">
        <v>4</v>
      </c>
      <c r="E82" s="30">
        <f>99+INT($K$10*D82^1.2*0.88)</f>
        <v>103</v>
      </c>
      <c r="F82" s="3">
        <f>INT(E82*(1+VLOOKUP($F$15,$A$2:$B$11,2,FALSE))*D82^$O$7)</f>
        <v>104</v>
      </c>
      <c r="G82" s="3">
        <f>INT(E82*(1+VLOOKUP($G$15,$A$2:$B$11,2,FALSE))*D82^$O$7)</f>
        <v>107</v>
      </c>
      <c r="H82" s="3">
        <f>INT(E82*(1+VLOOKUP($H$15,$A$2:$B$11,2,FALSE))*D82^$O$7)</f>
        <v>111</v>
      </c>
      <c r="I82" s="3">
        <f>INT(E82*(1+VLOOKUP($I$15,$A$2:$B$11,2,FALSE))*D82^$O$7)</f>
        <v>115</v>
      </c>
      <c r="J82" s="3">
        <f>INT(E82*(1+VLOOKUP($J$15,$A$2:$B$11,2,FALSE))*D82^$O$7)</f>
        <v>120</v>
      </c>
      <c r="K82" s="3">
        <f>INT(E82*(1+VLOOKUP($K$15,$A$2:$B$11,2,FALSE))*D82^$O$7)</f>
        <v>127</v>
      </c>
      <c r="L82" s="3">
        <f>INT(E82*(1+VLOOKUP($L$15,$A$2:$B$11,2,FALSE))*D82^$O$7)</f>
        <v>136</v>
      </c>
      <c r="M82" s="3">
        <f>INT(E82*(1+VLOOKUP($M$15,$A$2:$B$11,2,FALSE))*D82^$O$7)</f>
        <v>146</v>
      </c>
      <c r="N82" s="3">
        <f>INT(E82*(1+VLOOKUP($N$15,$A$2:$B$11,2,FALSE))*D82^$O$7)</f>
        <v>160</v>
      </c>
      <c r="O82" s="3">
        <f>INT(E82*(1+VLOOKUP($O$15,$A$2:$B$11,2,FALSE))*D82^$O$7)</f>
        <v>176</v>
      </c>
    </row>
    <row r="83" spans="3:20" x14ac:dyDescent="0.15">
      <c r="C83" s="164"/>
      <c r="D83" s="3">
        <v>5</v>
      </c>
      <c r="E83" s="30">
        <f>99+INT($K$10*D83^1.2*0.88)</f>
        <v>105</v>
      </c>
      <c r="F83" s="3">
        <f>INT(E83*(1+VLOOKUP($F$15,$A$2:$B$11,2,FALSE))*D83^$O$7)</f>
        <v>106</v>
      </c>
      <c r="G83" s="3">
        <f>INT(E83*(1+VLOOKUP($G$15,$A$2:$B$11,2,FALSE))*D83^$O$7)</f>
        <v>109</v>
      </c>
      <c r="H83" s="3">
        <f>INT(E83*(1+VLOOKUP($H$15,$A$2:$B$11,2,FALSE))*D83^$O$7)</f>
        <v>113</v>
      </c>
      <c r="I83" s="3">
        <f>INT(E83*(1+VLOOKUP($I$15,$A$2:$B$11,2,FALSE))*D83^$O$7)</f>
        <v>117</v>
      </c>
      <c r="J83" s="3">
        <f>INT(E83*(1+VLOOKUP($J$15,$A$2:$B$11,2,FALSE))*D83^$O$7)</f>
        <v>123</v>
      </c>
      <c r="K83" s="3">
        <f>INT(E83*(1+VLOOKUP($K$15,$A$2:$B$11,2,FALSE))*D83^$O$7)</f>
        <v>130</v>
      </c>
      <c r="L83" s="3">
        <f>INT(E83*(1+VLOOKUP($L$15,$A$2:$B$11,2,FALSE))*D83^$O$7)</f>
        <v>138</v>
      </c>
      <c r="M83" s="3">
        <f>INT(E83*(1+VLOOKUP($M$15,$A$2:$B$11,2,FALSE))*D83^$O$7)</f>
        <v>149</v>
      </c>
      <c r="N83" s="3">
        <f>INT(E83*(1+VLOOKUP($N$15,$A$2:$B$11,2,FALSE))*D83^$O$7)</f>
        <v>163</v>
      </c>
      <c r="O83" s="3">
        <f>INT(E83*(1+VLOOKUP($O$15,$A$2:$B$11,2,FALSE))*D83^$O$7)</f>
        <v>180</v>
      </c>
    </row>
    <row r="85" spans="3:20" x14ac:dyDescent="0.15">
      <c r="D85" s="32" t="s">
        <v>77</v>
      </c>
      <c r="E85" s="32" t="s">
        <v>124</v>
      </c>
      <c r="F85" s="32" t="s">
        <v>97</v>
      </c>
      <c r="G85" s="32" t="s">
        <v>98</v>
      </c>
      <c r="H85" s="32" t="s">
        <v>99</v>
      </c>
      <c r="I85" s="32" t="s">
        <v>100</v>
      </c>
      <c r="J85" s="32" t="s">
        <v>101</v>
      </c>
      <c r="K85" s="32" t="s">
        <v>102</v>
      </c>
      <c r="L85" s="32" t="s">
        <v>103</v>
      </c>
      <c r="M85" s="32" t="s">
        <v>104</v>
      </c>
      <c r="N85" s="32" t="s">
        <v>105</v>
      </c>
      <c r="O85" s="32" t="s">
        <v>106</v>
      </c>
    </row>
    <row r="86" spans="3:20" x14ac:dyDescent="0.15">
      <c r="D86" s="3">
        <v>1</v>
      </c>
      <c r="E86" s="3">
        <f t="shared" ref="E86:O86" si="18">E79/E70</f>
        <v>0.495</v>
      </c>
      <c r="F86" s="3">
        <f t="shared" si="18"/>
        <v>0.49261083743842365</v>
      </c>
      <c r="G86" s="3">
        <f t="shared" si="18"/>
        <v>0.49519230769230771</v>
      </c>
      <c r="H86" s="3">
        <f t="shared" si="18"/>
        <v>0.49302325581395351</v>
      </c>
      <c r="I86" s="3">
        <f t="shared" si="18"/>
        <v>0.49107142857142855</v>
      </c>
      <c r="J86" s="3">
        <f t="shared" si="18"/>
        <v>0.49572649572649574</v>
      </c>
      <c r="K86" s="3">
        <f t="shared" si="18"/>
        <v>0.49392712550607287</v>
      </c>
      <c r="L86" s="3">
        <f t="shared" si="18"/>
        <v>0.49242424242424243</v>
      </c>
      <c r="M86" s="3">
        <f t="shared" si="18"/>
        <v>0.49473684210526314</v>
      </c>
      <c r="N86" s="3">
        <f t="shared" si="18"/>
        <v>0.49196141479099681</v>
      </c>
      <c r="O86" s="3">
        <f t="shared" si="18"/>
        <v>0.49562682215743442</v>
      </c>
    </row>
    <row r="87" spans="3:20" x14ac:dyDescent="0.15">
      <c r="D87" s="3">
        <v>2</v>
      </c>
      <c r="E87" s="3">
        <f t="shared" ref="E87:O87" si="19">E80/E71</f>
        <v>0.49753694581280788</v>
      </c>
      <c r="F87" s="3">
        <f t="shared" si="19"/>
        <v>0.49514563106796117</v>
      </c>
      <c r="G87" s="3">
        <f t="shared" si="19"/>
        <v>0.49528301886792453</v>
      </c>
      <c r="H87" s="3">
        <f t="shared" si="19"/>
        <v>0.49541284403669728</v>
      </c>
      <c r="I87" s="3">
        <f t="shared" si="19"/>
        <v>0.49779735682819382</v>
      </c>
      <c r="J87" s="3">
        <f t="shared" si="19"/>
        <v>0.49579831932773111</v>
      </c>
      <c r="K87" s="3">
        <f t="shared" si="19"/>
        <v>0.49800796812749004</v>
      </c>
      <c r="L87" s="3">
        <f t="shared" si="19"/>
        <v>0.4962686567164179</v>
      </c>
      <c r="M87" s="3">
        <f t="shared" si="19"/>
        <v>0.4982698961937716</v>
      </c>
      <c r="N87" s="3">
        <f t="shared" si="19"/>
        <v>0.49841269841269842</v>
      </c>
      <c r="O87" s="3">
        <f t="shared" si="19"/>
        <v>0.49712643678160917</v>
      </c>
    </row>
    <row r="88" spans="3:20" x14ac:dyDescent="0.15">
      <c r="D88" s="3">
        <v>3</v>
      </c>
      <c r="E88" s="3">
        <f t="shared" ref="E88:O88" si="20">E81/E72</f>
        <v>0.4975609756097561</v>
      </c>
      <c r="F88" s="3">
        <f t="shared" si="20"/>
        <v>0.49519230769230771</v>
      </c>
      <c r="G88" s="3">
        <f t="shared" si="20"/>
        <v>0.49532710280373832</v>
      </c>
      <c r="H88" s="3">
        <f t="shared" si="20"/>
        <v>0.49773755656108598</v>
      </c>
      <c r="I88" s="3">
        <f t="shared" si="20"/>
        <v>0.49781659388646288</v>
      </c>
      <c r="J88" s="3">
        <f t="shared" si="20"/>
        <v>0.49583333333333335</v>
      </c>
      <c r="K88" s="3">
        <f t="shared" si="20"/>
        <v>0.49606299212598426</v>
      </c>
      <c r="L88" s="3">
        <f t="shared" si="20"/>
        <v>0.49446494464944651</v>
      </c>
      <c r="M88" s="3">
        <f t="shared" si="20"/>
        <v>0.49657534246575341</v>
      </c>
      <c r="N88" s="3">
        <f t="shared" si="20"/>
        <v>0.49685534591194969</v>
      </c>
      <c r="O88" s="3">
        <f t="shared" si="20"/>
        <v>0.49715909090909088</v>
      </c>
    </row>
    <row r="89" spans="3:20" x14ac:dyDescent="0.15">
      <c r="D89" s="3">
        <v>4</v>
      </c>
      <c r="E89" s="3">
        <f t="shared" ref="E89:O89" si="21">E82/E73</f>
        <v>0.49519230769230771</v>
      </c>
      <c r="F89" s="3">
        <f t="shared" si="21"/>
        <v>0.49289099526066349</v>
      </c>
      <c r="G89" s="3">
        <f t="shared" si="21"/>
        <v>0.49308755760368661</v>
      </c>
      <c r="H89" s="3">
        <f t="shared" si="21"/>
        <v>0.4955357142857143</v>
      </c>
      <c r="I89" s="3">
        <f t="shared" si="21"/>
        <v>0.49356223175965663</v>
      </c>
      <c r="J89" s="3">
        <f t="shared" si="21"/>
        <v>0.49180327868852458</v>
      </c>
      <c r="K89" s="3">
        <f t="shared" si="21"/>
        <v>0.49416342412451364</v>
      </c>
      <c r="L89" s="3">
        <f t="shared" si="21"/>
        <v>0.49454545454545457</v>
      </c>
      <c r="M89" s="3">
        <f t="shared" si="21"/>
        <v>0.49324324324324326</v>
      </c>
      <c r="N89" s="3">
        <f t="shared" si="21"/>
        <v>0.49535603715170279</v>
      </c>
      <c r="O89" s="3">
        <f t="shared" si="21"/>
        <v>0.49299719887955185</v>
      </c>
    </row>
    <row r="90" spans="3:20" x14ac:dyDescent="0.15">
      <c r="D90" s="3">
        <v>5</v>
      </c>
      <c r="E90" s="3">
        <f t="shared" ref="E90:O90" si="22">E83/E74</f>
        <v>0.49763033175355448</v>
      </c>
      <c r="F90" s="3">
        <f t="shared" si="22"/>
        <v>0.49532710280373832</v>
      </c>
      <c r="G90" s="3">
        <f t="shared" si="22"/>
        <v>0.49545454545454548</v>
      </c>
      <c r="H90" s="3">
        <f t="shared" si="22"/>
        <v>0.49779735682819382</v>
      </c>
      <c r="I90" s="3">
        <f t="shared" si="22"/>
        <v>0.49576271186440679</v>
      </c>
      <c r="J90" s="3">
        <f t="shared" si="22"/>
        <v>0.49797570850202427</v>
      </c>
      <c r="K90" s="3">
        <f t="shared" si="22"/>
        <v>0.49808429118773945</v>
      </c>
      <c r="L90" s="3">
        <f t="shared" si="22"/>
        <v>0.4946236559139785</v>
      </c>
      <c r="M90" s="3">
        <f t="shared" si="22"/>
        <v>0.49666666666666665</v>
      </c>
      <c r="N90" s="3">
        <f t="shared" si="22"/>
        <v>0.49695121951219512</v>
      </c>
      <c r="O90" s="3">
        <f t="shared" si="22"/>
        <v>0.49723756906077349</v>
      </c>
    </row>
    <row r="92" spans="3:20" x14ac:dyDescent="0.15">
      <c r="D92" s="165" t="s">
        <v>903</v>
      </c>
      <c r="E92" s="165"/>
      <c r="F92" s="165"/>
      <c r="G92" s="165"/>
      <c r="H92" s="165"/>
      <c r="I92" s="165"/>
      <c r="J92" s="165"/>
      <c r="K92" s="165"/>
      <c r="L92" s="165"/>
      <c r="M92" s="165"/>
      <c r="N92" s="165"/>
      <c r="O92" s="165"/>
    </row>
    <row r="93" spans="3:20" x14ac:dyDescent="0.15">
      <c r="D93" s="165"/>
      <c r="E93" s="165"/>
      <c r="F93" s="165"/>
      <c r="G93" s="165"/>
      <c r="H93" s="165"/>
      <c r="I93" s="165"/>
      <c r="J93" s="165"/>
      <c r="K93" s="165"/>
      <c r="L93" s="165"/>
      <c r="M93" s="165"/>
      <c r="N93" s="165"/>
      <c r="O93" s="165"/>
      <c r="R93" s="3">
        <v>30</v>
      </c>
      <c r="S93" s="3">
        <v>70</v>
      </c>
    </row>
    <row r="94" spans="3:20" x14ac:dyDescent="0.15"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5"/>
      <c r="Q94" s="33"/>
      <c r="R94" s="33" t="s">
        <v>127</v>
      </c>
      <c r="S94" s="33" t="s">
        <v>128</v>
      </c>
    </row>
    <row r="95" spans="3:20" x14ac:dyDescent="0.15">
      <c r="C95" s="164" t="s">
        <v>2</v>
      </c>
      <c r="D95" s="3">
        <v>1</v>
      </c>
      <c r="E95" s="30">
        <f>3000+INT($K$10*D95^2.8*7.75)</f>
        <v>3007</v>
      </c>
      <c r="F95" s="3">
        <f>INT(E95*(1+VLOOKUP($F$15,$A$2:$B$11,2,FALSE))*D95^$O$7)</f>
        <v>3060</v>
      </c>
      <c r="G95" s="3">
        <f>INT(E95*(1+VLOOKUP($G$15,$A$2:$B$11,2,FALSE))*D95^$O$7)</f>
        <v>3141</v>
      </c>
      <c r="H95" s="3">
        <f>INT(E95*(1+VLOOKUP($H$15,$A$2:$B$11,2,FALSE))*D95^$O$7)</f>
        <v>3243</v>
      </c>
      <c r="I95" s="3">
        <f>INT(E95*(1+VLOOKUP($I$15,$A$2:$B$11,2,FALSE))*D95^$O$7)</f>
        <v>3370</v>
      </c>
      <c r="J95" s="3">
        <f>INT(E95*(1+VLOOKUP($J$15,$A$2:$B$11,2,FALSE))*D95^$O$7)</f>
        <v>3529</v>
      </c>
      <c r="K95" s="3">
        <f>INT(E95*(1+VLOOKUP($K$15,$A$2:$B$11,2,FALSE))*D95^$O$7)</f>
        <v>3728</v>
      </c>
      <c r="L95" s="3">
        <f>INT(E95*(1+VLOOKUP($L$15,$A$2:$B$11,2,FALSE))*D95^$O$7)</f>
        <v>3976</v>
      </c>
      <c r="M95" s="3">
        <f>INT(E95*(1+VLOOKUP($M$15,$A$2:$B$11,2,FALSE))*D95^$O$7)</f>
        <v>4288</v>
      </c>
      <c r="N95" s="3">
        <f>INT(E95*(1+VLOOKUP($N$15,$A$2:$B$11,2,FALSE))*D95^$O$7)</f>
        <v>4677</v>
      </c>
      <c r="O95" s="3">
        <f>INT(E95*(1+VLOOKUP($O$15,$A$2:$B$11,2,FALSE))*D95^$O$7)</f>
        <v>5164</v>
      </c>
      <c r="Q95" s="33">
        <v>1</v>
      </c>
      <c r="R95" s="3">
        <f>INT(E95*$R$93/100)</f>
        <v>902</v>
      </c>
      <c r="S95" s="3">
        <f>INT(E95*$S$93/100)</f>
        <v>2104</v>
      </c>
      <c r="T95" s="34">
        <f>SUM(R95:S95)</f>
        <v>3006</v>
      </c>
    </row>
    <row r="96" spans="3:20" x14ac:dyDescent="0.15">
      <c r="C96" s="164"/>
      <c r="D96" s="3">
        <v>2</v>
      </c>
      <c r="E96" s="30">
        <f t="shared" ref="E96:E99" si="23">3000+INT($K$10*D96^2.8*7.75)</f>
        <v>3053</v>
      </c>
      <c r="F96" s="3">
        <f>INT(E96*(1+VLOOKUP($F$15,$A$2:$B$11,2,FALSE))*D96^$O$7)</f>
        <v>3107</v>
      </c>
      <c r="G96" s="3">
        <f>INT(E96*(1+VLOOKUP($G$15,$A$2:$B$11,2,FALSE))*D96^$O$7)</f>
        <v>3189</v>
      </c>
      <c r="H96" s="3">
        <f>INT(E96*(1+VLOOKUP($H$15,$A$2:$B$11,2,FALSE))*D96^$O$7)</f>
        <v>3292</v>
      </c>
      <c r="I96" s="3">
        <f>INT(E96*(1+VLOOKUP($I$15,$A$2:$B$11,2,FALSE))*D96^$O$7)</f>
        <v>3421</v>
      </c>
      <c r="J96" s="3">
        <f>INT(E96*(1+VLOOKUP($J$15,$A$2:$B$11,2,FALSE))*D96^$O$7)</f>
        <v>3583</v>
      </c>
      <c r="K96" s="3">
        <f>INT(E96*(1+VLOOKUP($K$15,$A$2:$B$11,2,FALSE))*D96^$O$7)</f>
        <v>3785</v>
      </c>
      <c r="L96" s="3">
        <f>INT(E96*(1+VLOOKUP($L$15,$A$2:$B$11,2,FALSE))*D96^$O$7)</f>
        <v>4037</v>
      </c>
      <c r="M96" s="3">
        <f>INT(E96*(1+VLOOKUP($M$15,$A$2:$B$11,2,FALSE))*D96^$O$7)</f>
        <v>4353</v>
      </c>
      <c r="N96" s="3">
        <f>INT(E96*(1+VLOOKUP($N$15,$A$2:$B$11,2,FALSE))*D96^$O$7)</f>
        <v>4748</v>
      </c>
      <c r="O96" s="3">
        <f>INT(E96*(1+VLOOKUP($O$15,$A$2:$B$11,2,FALSE))*D96^$O$7)</f>
        <v>5243</v>
      </c>
      <c r="Q96" s="33">
        <v>2</v>
      </c>
      <c r="R96" s="3">
        <f t="shared" ref="R96:R99" si="24">INT(E96*$R$27/100)</f>
        <v>610</v>
      </c>
      <c r="S96" s="3">
        <f t="shared" ref="S96:S99" si="25">INT(E96*$S$93/100)</f>
        <v>2137</v>
      </c>
      <c r="T96" s="34">
        <f>SUM(R96:S96)</f>
        <v>2747</v>
      </c>
    </row>
    <row r="97" spans="3:20" x14ac:dyDescent="0.15">
      <c r="C97" s="164"/>
      <c r="D97" s="3">
        <v>3</v>
      </c>
      <c r="E97" s="30">
        <f t="shared" si="23"/>
        <v>3167</v>
      </c>
      <c r="F97" s="3">
        <f>INT(E97*(1+VLOOKUP($F$15,$A$2:$B$11,2,FALSE))*D97^$O$7)</f>
        <v>3223</v>
      </c>
      <c r="G97" s="3">
        <f>INT(E97*(1+VLOOKUP($G$15,$A$2:$B$11,2,FALSE))*D97^$O$7)</f>
        <v>3308</v>
      </c>
      <c r="H97" s="3">
        <f>INT(E97*(1+VLOOKUP($H$15,$A$2:$B$11,2,FALSE))*D97^$O$7)</f>
        <v>3415</v>
      </c>
      <c r="I97" s="3">
        <f>INT(E97*(1+VLOOKUP($I$15,$A$2:$B$11,2,FALSE))*D97^$O$7)</f>
        <v>3549</v>
      </c>
      <c r="J97" s="29">
        <f>INT(E97*(1+VLOOKUP($J$15,$A$2:$B$11,2,FALSE))*D97^$O$7)</f>
        <v>3716</v>
      </c>
      <c r="K97" s="3">
        <f>INT(E97*(1+VLOOKUP($K$15,$A$2:$B$11,2,FALSE))*D97^$O$7)</f>
        <v>3926</v>
      </c>
      <c r="L97" s="3">
        <f>INT(E97*(1+VLOOKUP($L$15,$A$2:$B$11,2,FALSE))*D97^$O$7)</f>
        <v>4188</v>
      </c>
      <c r="M97" s="3">
        <f>INT(E97*(1+VLOOKUP($M$15,$A$2:$B$11,2,FALSE))*D97^$O$7)</f>
        <v>4516</v>
      </c>
      <c r="N97" s="3">
        <f>INT(E97*(1+VLOOKUP($N$15,$A$2:$B$11,2,FALSE))*D97^$O$7)</f>
        <v>4926</v>
      </c>
      <c r="O97" s="3">
        <f>INT(E97*(1+VLOOKUP($O$15,$A$2:$B$11,2,FALSE))*D97^$O$7)</f>
        <v>5439</v>
      </c>
      <c r="Q97" s="33">
        <v>3</v>
      </c>
      <c r="R97" s="3">
        <f t="shared" si="24"/>
        <v>633</v>
      </c>
      <c r="S97" s="3">
        <f t="shared" si="25"/>
        <v>2216</v>
      </c>
      <c r="T97" s="34">
        <f>SUM(R97:S97)</f>
        <v>2849</v>
      </c>
    </row>
    <row r="98" spans="3:20" x14ac:dyDescent="0.15">
      <c r="C98" s="164"/>
      <c r="D98" s="3">
        <v>4</v>
      </c>
      <c r="E98" s="30">
        <f t="shared" si="23"/>
        <v>3375</v>
      </c>
      <c r="F98" s="3">
        <f>INT(E98*(1+VLOOKUP($F$15,$A$2:$B$11,2,FALSE))*D98^$O$7)</f>
        <v>3434</v>
      </c>
      <c r="G98" s="3">
        <f>INT(E98*(1+VLOOKUP($G$15,$A$2:$B$11,2,FALSE))*D98^$O$7)</f>
        <v>3525</v>
      </c>
      <c r="H98" s="3">
        <f>INT(E98*(1+VLOOKUP($H$15,$A$2:$B$11,2,FALSE))*D98^$O$7)</f>
        <v>3639</v>
      </c>
      <c r="I98" s="3">
        <f>INT(E98*(1+VLOOKUP($I$15,$A$2:$B$11,2,FALSE))*D98^$O$7)</f>
        <v>3782</v>
      </c>
      <c r="J98" s="3">
        <f>INT(E98*(1+VLOOKUP($J$15,$A$2:$B$11,2,FALSE))*D98^$O$7)</f>
        <v>3961</v>
      </c>
      <c r="K98" s="3">
        <f>INT(E98*(1+VLOOKUP($K$15,$A$2:$B$11,2,FALSE))*D98^$O$7)</f>
        <v>4184</v>
      </c>
      <c r="L98" s="3">
        <f>INT(E98*(1+VLOOKUP($L$15,$A$2:$B$11,2,FALSE))*D98^$O$7)</f>
        <v>4463</v>
      </c>
      <c r="M98" s="3">
        <f>INT(E98*(1+VLOOKUP($M$15,$A$2:$B$11,2,FALSE))*D98^$O$7)</f>
        <v>4812</v>
      </c>
      <c r="N98" s="3">
        <f>INT(E98*(1+VLOOKUP($N$15,$A$2:$B$11,2,FALSE))*D98^$O$7)</f>
        <v>5249</v>
      </c>
      <c r="O98" s="3">
        <f>INT(E98*(1+VLOOKUP($O$15,$A$2:$B$11,2,FALSE))*D98^$O$7)</f>
        <v>5796</v>
      </c>
      <c r="Q98" s="33">
        <v>4</v>
      </c>
      <c r="R98" s="3">
        <f t="shared" si="24"/>
        <v>675</v>
      </c>
      <c r="S98" s="3">
        <f t="shared" si="25"/>
        <v>2362</v>
      </c>
      <c r="T98" s="34">
        <f>SUM(R98:S98)</f>
        <v>3037</v>
      </c>
    </row>
    <row r="99" spans="3:20" x14ac:dyDescent="0.15">
      <c r="C99" s="164"/>
      <c r="D99" s="3">
        <v>5</v>
      </c>
      <c r="E99" s="30">
        <f t="shared" si="23"/>
        <v>3702</v>
      </c>
      <c r="F99" s="3">
        <f>INT(E99*(1+VLOOKUP($F$15,$A$2:$B$11,2,FALSE))*D99^$O$7)</f>
        <v>3767</v>
      </c>
      <c r="G99" s="3">
        <f>INT(E99*(1+VLOOKUP($G$15,$A$2:$B$11,2,FALSE))*D99^$O$7)</f>
        <v>3867</v>
      </c>
      <c r="H99" s="3">
        <f>INT(E99*(1+VLOOKUP($H$15,$A$2:$B$11,2,FALSE))*D99^$O$7)</f>
        <v>3992</v>
      </c>
      <c r="I99" s="3">
        <f>INT(E99*(1+VLOOKUP($I$15,$A$2:$B$11,2,FALSE))*D99^$O$7)</f>
        <v>4149</v>
      </c>
      <c r="J99" s="3">
        <f>INT(E99*(1+VLOOKUP($J$15,$A$2:$B$11,2,FALSE))*D99^$O$7)</f>
        <v>4344</v>
      </c>
      <c r="K99" s="3">
        <f>INT(E99*(1+VLOOKUP($K$15,$A$2:$B$11,2,FALSE))*D99^$O$7)</f>
        <v>4589</v>
      </c>
      <c r="L99" s="3">
        <f>INT(E99*(1+VLOOKUP($L$15,$A$2:$B$11,2,FALSE))*D99^$O$7)</f>
        <v>4896</v>
      </c>
      <c r="M99" s="3">
        <f>INT(E99*(1+VLOOKUP($M$15,$A$2:$B$11,2,FALSE))*D99^$O$7)</f>
        <v>5279</v>
      </c>
      <c r="N99" s="3">
        <f>INT(E99*(1+VLOOKUP($N$15,$A$2:$B$11,2,FALSE))*D99^$O$7)</f>
        <v>5758</v>
      </c>
      <c r="O99" s="3">
        <f>INT(E99*(1+VLOOKUP($O$15,$A$2:$B$11,2,FALSE))*D99^$O$7)</f>
        <v>6357</v>
      </c>
      <c r="Q99" s="33">
        <v>5</v>
      </c>
      <c r="R99" s="3">
        <f t="shared" si="24"/>
        <v>740</v>
      </c>
      <c r="S99" s="3">
        <f t="shared" si="25"/>
        <v>2591</v>
      </c>
      <c r="T99" s="34">
        <f>SUM(R99:S99)</f>
        <v>3331</v>
      </c>
    </row>
    <row r="101" spans="3:20" x14ac:dyDescent="0.15">
      <c r="D101" s="165" t="s">
        <v>904</v>
      </c>
      <c r="E101" s="165"/>
      <c r="F101" s="165"/>
      <c r="G101" s="165"/>
      <c r="H101" s="165"/>
      <c r="I101" s="165"/>
      <c r="J101" s="165"/>
      <c r="K101" s="165"/>
      <c r="L101" s="165"/>
      <c r="M101" s="165"/>
      <c r="N101" s="165"/>
      <c r="O101" s="165"/>
    </row>
    <row r="102" spans="3:20" x14ac:dyDescent="0.15">
      <c r="D102" s="165"/>
      <c r="E102" s="165"/>
      <c r="F102" s="165"/>
      <c r="G102" s="165"/>
      <c r="H102" s="165"/>
      <c r="I102" s="165"/>
      <c r="J102" s="165"/>
      <c r="K102" s="165"/>
      <c r="L102" s="165"/>
      <c r="M102" s="165"/>
      <c r="N102" s="165"/>
      <c r="O102" s="165"/>
      <c r="R102" s="3">
        <v>30</v>
      </c>
      <c r="S102" s="3">
        <v>70</v>
      </c>
    </row>
    <row r="103" spans="3:20" x14ac:dyDescent="0.15">
      <c r="D103" s="165"/>
      <c r="E103" s="165"/>
      <c r="F103" s="165"/>
      <c r="G103" s="165"/>
      <c r="H103" s="165"/>
      <c r="I103" s="165"/>
      <c r="J103" s="165"/>
      <c r="K103" s="165"/>
      <c r="L103" s="165"/>
      <c r="M103" s="165"/>
      <c r="N103" s="165"/>
      <c r="O103" s="165"/>
      <c r="Q103" s="33"/>
      <c r="R103" s="33" t="s">
        <v>165</v>
      </c>
      <c r="S103" s="33" t="s">
        <v>129</v>
      </c>
    </row>
    <row r="104" spans="3:20" x14ac:dyDescent="0.15">
      <c r="C104" s="164" t="s">
        <v>164</v>
      </c>
      <c r="D104" s="3">
        <v>1</v>
      </c>
      <c r="E104" s="30">
        <f>299+INT($K$10*D104^1.2*2.75)</f>
        <v>301</v>
      </c>
      <c r="F104" s="3">
        <f>INT(E104*(1+VLOOKUP($F$15,$A$2:$B$11,2,FALSE))*D104^$O$7)</f>
        <v>306</v>
      </c>
      <c r="G104" s="3">
        <f>INT(E104*(1+VLOOKUP($G$15,$A$2:$B$11,2,FALSE))*D104^$O$7)</f>
        <v>314</v>
      </c>
      <c r="H104" s="3">
        <f>INT(E104*(1+VLOOKUP($H$15,$A$2:$B$11,2,FALSE))*D104^$O$7)</f>
        <v>324</v>
      </c>
      <c r="I104" s="3">
        <f>INT(E104*(1+VLOOKUP($I$15,$A$2:$B$11,2,FALSE))*D104^$O$7)</f>
        <v>337</v>
      </c>
      <c r="J104" s="3">
        <f>INT(E104*(1+VLOOKUP($J$15,$A$2:$B$11,2,FALSE))*D104^$O$7)</f>
        <v>353</v>
      </c>
      <c r="K104" s="3">
        <f>INT(E104*(1+VLOOKUP($K$15,$A$2:$B$11,2,FALSE))*D104^$O$7)</f>
        <v>373</v>
      </c>
      <c r="L104" s="3">
        <f>INT(E104*(1+VLOOKUP($L$15,$A$2:$B$11,2,FALSE))*D104^$O$7)</f>
        <v>398</v>
      </c>
      <c r="M104" s="3">
        <f>INT(E104*(1+VLOOKUP($M$15,$A$2:$B$11,2,FALSE))*D104^$O$7)</f>
        <v>429</v>
      </c>
      <c r="N104" s="3">
        <f>INT(E104*(1+VLOOKUP($N$15,$A$2:$B$11,2,FALSE))*D104^$O$7)</f>
        <v>468</v>
      </c>
      <c r="O104" s="3">
        <f>INT(E104*(1+VLOOKUP($O$15,$A$2:$B$11,2,FALSE))*D104^$O$7)</f>
        <v>516</v>
      </c>
      <c r="Q104" s="33">
        <v>1</v>
      </c>
      <c r="R104" s="3">
        <f>INT(E104*$R$102/100)</f>
        <v>90</v>
      </c>
      <c r="S104" s="3">
        <f>INT(E104*$S$102/100)</f>
        <v>210</v>
      </c>
      <c r="T104" s="34">
        <f>SUM(R104:S104)</f>
        <v>300</v>
      </c>
    </row>
    <row r="105" spans="3:20" x14ac:dyDescent="0.15">
      <c r="C105" s="164"/>
      <c r="D105" s="3">
        <v>2</v>
      </c>
      <c r="E105" s="30">
        <f t="shared" ref="E105:E108" si="26">299+INT($K$10*D105^1.2*2.75)</f>
        <v>305</v>
      </c>
      <c r="F105" s="3">
        <f>INT(E105*(1+VLOOKUP($F$15,$A$2:$B$11,2,FALSE))*D105^$O$7)</f>
        <v>310</v>
      </c>
      <c r="G105" s="3">
        <f>INT(E105*(1+VLOOKUP($G$15,$A$2:$B$11,2,FALSE))*D105^$O$7)</f>
        <v>318</v>
      </c>
      <c r="H105" s="3">
        <f>INT(E105*(1+VLOOKUP($H$15,$A$2:$B$11,2,FALSE))*D105^$O$7)</f>
        <v>328</v>
      </c>
      <c r="I105" s="3">
        <f>INT(E105*(1+VLOOKUP($I$15,$A$2:$B$11,2,FALSE))*D105^$O$7)</f>
        <v>341</v>
      </c>
      <c r="J105" s="3">
        <f>INT(E105*(1+VLOOKUP($J$15,$A$2:$B$11,2,FALSE))*D105^$O$7)</f>
        <v>357</v>
      </c>
      <c r="K105" s="3">
        <f>INT(E105*(1+VLOOKUP($K$15,$A$2:$B$11,2,FALSE))*D105^$O$7)</f>
        <v>378</v>
      </c>
      <c r="L105" s="3">
        <f>INT(E105*(1+VLOOKUP($L$15,$A$2:$B$11,2,FALSE))*D105^$O$7)</f>
        <v>403</v>
      </c>
      <c r="M105" s="3">
        <f>INT(E105*(1+VLOOKUP($M$15,$A$2:$B$11,2,FALSE))*D105^$O$7)</f>
        <v>434</v>
      </c>
      <c r="N105" s="3">
        <f>INT(E105*(1+VLOOKUP($N$15,$A$2:$B$11,2,FALSE))*D105^$O$7)</f>
        <v>474</v>
      </c>
      <c r="O105" s="3">
        <f>INT(E105*(1+VLOOKUP($O$15,$A$2:$B$11,2,FALSE))*D105^$O$7)</f>
        <v>523</v>
      </c>
      <c r="Q105" s="33">
        <v>2</v>
      </c>
      <c r="R105" s="3">
        <f t="shared" ref="R105:R108" si="27">INT(E105*$R$27/100)</f>
        <v>61</v>
      </c>
      <c r="S105" s="3">
        <f t="shared" ref="S105:S108" si="28">INT(E105*$S$93/100)</f>
        <v>213</v>
      </c>
      <c r="T105" s="34">
        <f>SUM(R105:S105)</f>
        <v>274</v>
      </c>
    </row>
    <row r="106" spans="3:20" x14ac:dyDescent="0.15">
      <c r="C106" s="164"/>
      <c r="D106" s="3">
        <v>3</v>
      </c>
      <c r="E106" s="30">
        <f t="shared" si="26"/>
        <v>309</v>
      </c>
      <c r="F106" s="3">
        <f>INT(E106*(1+VLOOKUP($F$15,$A$2:$B$11,2,FALSE))*D106^$O$7)</f>
        <v>314</v>
      </c>
      <c r="G106" s="3">
        <f>INT(E106*(1+VLOOKUP($G$15,$A$2:$B$11,2,FALSE))*D106^$O$7)</f>
        <v>322</v>
      </c>
      <c r="H106" s="3">
        <f>INT(E106*(1+VLOOKUP($H$15,$A$2:$B$11,2,FALSE))*D106^$O$7)</f>
        <v>333</v>
      </c>
      <c r="I106" s="3">
        <f>INT(E106*(1+VLOOKUP($I$15,$A$2:$B$11,2,FALSE))*D106^$O$7)</f>
        <v>346</v>
      </c>
      <c r="J106" s="29">
        <f>INT(E106*(1+VLOOKUP($J$15,$A$2:$B$11,2,FALSE))*D106^$O$7)</f>
        <v>362</v>
      </c>
      <c r="K106" s="3">
        <f>INT(E106*(1+VLOOKUP($K$15,$A$2:$B$11,2,FALSE))*D106^$O$7)</f>
        <v>383</v>
      </c>
      <c r="L106" s="3">
        <f>INT(E106*(1+VLOOKUP($L$15,$A$2:$B$11,2,FALSE))*D106^$O$7)</f>
        <v>408</v>
      </c>
      <c r="M106" s="3">
        <f>INT(E106*(1+VLOOKUP($M$15,$A$2:$B$11,2,FALSE))*D106^$O$7)</f>
        <v>440</v>
      </c>
      <c r="N106" s="3">
        <f>INT(E106*(1+VLOOKUP($N$15,$A$2:$B$11,2,FALSE))*D106^$O$7)</f>
        <v>480</v>
      </c>
      <c r="O106" s="3">
        <f>INT(E106*(1+VLOOKUP($O$15,$A$2:$B$11,2,FALSE))*D106^$O$7)</f>
        <v>530</v>
      </c>
      <c r="Q106" s="33">
        <v>3</v>
      </c>
      <c r="R106" s="3">
        <f t="shared" si="27"/>
        <v>61</v>
      </c>
      <c r="S106" s="3">
        <f t="shared" si="28"/>
        <v>216</v>
      </c>
      <c r="T106" s="34">
        <f>SUM(R106:S106)</f>
        <v>277</v>
      </c>
    </row>
    <row r="107" spans="3:20" x14ac:dyDescent="0.15">
      <c r="C107" s="164"/>
      <c r="D107" s="3">
        <v>4</v>
      </c>
      <c r="E107" s="30">
        <f t="shared" si="26"/>
        <v>313</v>
      </c>
      <c r="F107" s="3">
        <f>INT(E107*(1+VLOOKUP($F$15,$A$2:$B$11,2,FALSE))*D107^$O$7)</f>
        <v>318</v>
      </c>
      <c r="G107" s="3">
        <f>INT(E107*(1+VLOOKUP($G$15,$A$2:$B$11,2,FALSE))*D107^$O$7)</f>
        <v>326</v>
      </c>
      <c r="H107" s="3">
        <f>INT(E107*(1+VLOOKUP($H$15,$A$2:$B$11,2,FALSE))*D107^$O$7)</f>
        <v>337</v>
      </c>
      <c r="I107" s="3">
        <f>INT(E107*(1+VLOOKUP($I$15,$A$2:$B$11,2,FALSE))*D107^$O$7)</f>
        <v>350</v>
      </c>
      <c r="J107" s="3">
        <f>INT(E107*(1+VLOOKUP($J$15,$A$2:$B$11,2,FALSE))*D107^$O$7)</f>
        <v>367</v>
      </c>
      <c r="K107" s="3">
        <f>INT(E107*(1+VLOOKUP($K$15,$A$2:$B$11,2,FALSE))*D107^$O$7)</f>
        <v>388</v>
      </c>
      <c r="L107" s="3">
        <f>INT(E107*(1+VLOOKUP($L$15,$A$2:$B$11,2,FALSE))*D107^$O$7)</f>
        <v>413</v>
      </c>
      <c r="M107" s="3">
        <f>INT(E107*(1+VLOOKUP($M$15,$A$2:$B$11,2,FALSE))*D107^$O$7)</f>
        <v>446</v>
      </c>
      <c r="N107" s="3">
        <f>INT(E107*(1+VLOOKUP($N$15,$A$2:$B$11,2,FALSE))*D107^$O$7)</f>
        <v>486</v>
      </c>
      <c r="O107" s="3">
        <f>INT(E107*(1+VLOOKUP($O$15,$A$2:$B$11,2,FALSE))*D107^$O$7)</f>
        <v>537</v>
      </c>
      <c r="Q107" s="33">
        <v>4</v>
      </c>
      <c r="R107" s="3">
        <f t="shared" si="27"/>
        <v>62</v>
      </c>
      <c r="S107" s="3">
        <f t="shared" si="28"/>
        <v>219</v>
      </c>
      <c r="T107" s="34">
        <f>SUM(R107:S107)</f>
        <v>281</v>
      </c>
    </row>
    <row r="108" spans="3:20" x14ac:dyDescent="0.15">
      <c r="C108" s="164"/>
      <c r="D108" s="3">
        <v>5</v>
      </c>
      <c r="E108" s="30">
        <f t="shared" si="26"/>
        <v>317</v>
      </c>
      <c r="F108" s="3">
        <f>INT(E108*(1+VLOOKUP($F$15,$A$2:$B$11,2,FALSE))*D108^$O$7)</f>
        <v>322</v>
      </c>
      <c r="G108" s="3">
        <f>INT(E108*(1+VLOOKUP($G$15,$A$2:$B$11,2,FALSE))*D108^$O$7)</f>
        <v>331</v>
      </c>
      <c r="H108" s="3">
        <f>INT(E108*(1+VLOOKUP($H$15,$A$2:$B$11,2,FALSE))*D108^$O$7)</f>
        <v>341</v>
      </c>
      <c r="I108" s="3">
        <f>INT(E108*(1+VLOOKUP($I$15,$A$2:$B$11,2,FALSE))*D108^$O$7)</f>
        <v>355</v>
      </c>
      <c r="J108" s="3">
        <f>INT(E108*(1+VLOOKUP($J$15,$A$2:$B$11,2,FALSE))*D108^$O$7)</f>
        <v>372</v>
      </c>
      <c r="K108" s="3">
        <f>INT(E108*(1+VLOOKUP($K$15,$A$2:$B$11,2,FALSE))*D108^$O$7)</f>
        <v>393</v>
      </c>
      <c r="L108" s="3">
        <f>INT(E108*(1+VLOOKUP($L$15,$A$2:$B$11,2,FALSE))*D108^$O$7)</f>
        <v>419</v>
      </c>
      <c r="M108" s="3">
        <f>INT(E108*(1+VLOOKUP($M$15,$A$2:$B$11,2,FALSE))*D108^$O$7)</f>
        <v>452</v>
      </c>
      <c r="N108" s="3">
        <f>INT(E108*(1+VLOOKUP($N$15,$A$2:$B$11,2,FALSE))*D108^$O$7)</f>
        <v>493</v>
      </c>
      <c r="O108" s="3">
        <f>INT(E108*(1+VLOOKUP($O$15,$A$2:$B$11,2,FALSE))*D108^$O$7)</f>
        <v>544</v>
      </c>
      <c r="Q108" s="33">
        <v>5</v>
      </c>
      <c r="R108" s="3">
        <f t="shared" si="27"/>
        <v>63</v>
      </c>
      <c r="S108" s="3">
        <f t="shared" si="28"/>
        <v>221</v>
      </c>
      <c r="T108" s="34">
        <f>SUM(R108:S108)</f>
        <v>284</v>
      </c>
    </row>
  </sheetData>
  <mergeCells count="20">
    <mergeCell ref="D92:O94"/>
    <mergeCell ref="C95:C99"/>
    <mergeCell ref="D101:O103"/>
    <mergeCell ref="C104:C108"/>
    <mergeCell ref="D76:O78"/>
    <mergeCell ref="C79:C83"/>
    <mergeCell ref="K10:L10"/>
    <mergeCell ref="C20:C24"/>
    <mergeCell ref="K2:O4"/>
    <mergeCell ref="D42:O44"/>
    <mergeCell ref="C45:C49"/>
    <mergeCell ref="K7:L7"/>
    <mergeCell ref="K8:L9"/>
    <mergeCell ref="C70:C74"/>
    <mergeCell ref="D67:O69"/>
    <mergeCell ref="D17:O19"/>
    <mergeCell ref="D26:O28"/>
    <mergeCell ref="C29:C33"/>
    <mergeCell ref="D51:O53"/>
    <mergeCell ref="C54:C58"/>
  </mergeCells>
  <phoneticPr fontId="1" type="noConversion"/>
  <conditionalFormatting sqref="E36:O40">
    <cfRule type="cellIs" dxfId="7" priority="9" operator="between">
      <formula>0.74</formula>
      <formula>0.76</formula>
    </cfRule>
    <cfRule type="cellIs" dxfId="6" priority="10" operator="between">
      <formula>0.7</formula>
      <formula>0.8</formula>
    </cfRule>
  </conditionalFormatting>
  <conditionalFormatting sqref="E61:O65">
    <cfRule type="cellIs" dxfId="5" priority="4" operator="between">
      <formula>0.48</formula>
      <formula>0.51</formula>
    </cfRule>
    <cfRule type="cellIs" dxfId="4" priority="7" operator="between">
      <formula>0.74</formula>
      <formula>0.76</formula>
    </cfRule>
    <cfRule type="cellIs" dxfId="3" priority="8" operator="between">
      <formula>0.7</formula>
      <formula>0.8</formula>
    </cfRule>
  </conditionalFormatting>
  <conditionalFormatting sqref="E86:O90">
    <cfRule type="cellIs" dxfId="2" priority="1" operator="between">
      <formula>0.48</formula>
      <formula>0.51</formula>
    </cfRule>
    <cfRule type="cellIs" dxfId="1" priority="2" operator="between">
      <formula>0.74</formula>
      <formula>0.76</formula>
    </cfRule>
    <cfRule type="cellIs" dxfId="0" priority="3" operator="between">
      <formula>0.7</formula>
      <formula>0.8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Scroll Bar 5">
              <controlPr defaultSize="0" autoPict="0">
                <anchor moveWithCells="1">
                  <from>
                    <xdr:col>10</xdr:col>
                    <xdr:colOff>57150</xdr:colOff>
                    <xdr:row>7</xdr:row>
                    <xdr:rowOff>38100</xdr:rowOff>
                  </from>
                  <to>
                    <xdr:col>11</xdr:col>
                    <xdr:colOff>647700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G58"/>
  <sheetViews>
    <sheetView workbookViewId="0">
      <pane ySplit="3" topLeftCell="A43" activePane="bottomLeft" state="frozen"/>
      <selection pane="bottomLeft" activeCell="F72" sqref="F72"/>
    </sheetView>
  </sheetViews>
  <sheetFormatPr defaultRowHeight="12" x14ac:dyDescent="0.15"/>
  <cols>
    <col min="1" max="4" width="9" style="36"/>
    <col min="5" max="5" width="11.375" style="36" bestFit="1" customWidth="1"/>
    <col min="6" max="6" width="9" style="36"/>
    <col min="7" max="7" width="11.375" style="36" bestFit="1" customWidth="1"/>
    <col min="8" max="8" width="11.375" style="36" customWidth="1"/>
    <col min="9" max="9" width="11.375" style="36" bestFit="1" customWidth="1"/>
    <col min="10" max="10" width="11.375" style="36" customWidth="1"/>
    <col min="11" max="11" width="11.375" style="36" bestFit="1" customWidth="1"/>
    <col min="12" max="12" width="11.375" style="36" customWidth="1"/>
    <col min="13" max="13" width="11.375" style="36" bestFit="1" customWidth="1"/>
    <col min="14" max="14" width="11.375" style="36" customWidth="1"/>
    <col min="15" max="15" width="11.375" style="36" bestFit="1" customWidth="1"/>
    <col min="16" max="16" width="11.375" style="36" customWidth="1"/>
    <col min="17" max="17" width="11.375" style="36" bestFit="1" customWidth="1"/>
    <col min="18" max="18" width="11.375" style="36" customWidth="1"/>
    <col min="19" max="19" width="11.375" style="36" bestFit="1" customWidth="1"/>
    <col min="20" max="20" width="11.375" style="36" customWidth="1"/>
    <col min="21" max="21" width="11.375" style="36" bestFit="1" customWidth="1"/>
    <col min="22" max="22" width="11.375" style="36" customWidth="1"/>
    <col min="23" max="16384" width="9" style="36"/>
  </cols>
  <sheetData>
    <row r="1" spans="1:33" x14ac:dyDescent="0.15">
      <c r="I1" s="36">
        <v>0.3</v>
      </c>
      <c r="K1" s="36">
        <v>0.35</v>
      </c>
      <c r="M1" s="36">
        <v>0.3</v>
      </c>
      <c r="O1" s="36">
        <v>0.7</v>
      </c>
      <c r="Q1" s="36">
        <v>1</v>
      </c>
    </row>
    <row r="2" spans="1:33" x14ac:dyDescent="0.15">
      <c r="A2" s="11" t="s">
        <v>74</v>
      </c>
      <c r="B2" s="11">
        <v>1.2</v>
      </c>
      <c r="C2" s="96"/>
      <c r="I2" s="36">
        <v>0.2</v>
      </c>
      <c r="K2" s="36">
        <v>0.7</v>
      </c>
      <c r="M2" s="36">
        <v>1</v>
      </c>
      <c r="O2" s="36">
        <v>0.3</v>
      </c>
      <c r="Q2" s="36">
        <v>0.15</v>
      </c>
      <c r="Y2" s="36" t="s">
        <v>238</v>
      </c>
      <c r="Z2" s="36" t="s">
        <v>0</v>
      </c>
      <c r="AA2" s="36" t="s">
        <v>1</v>
      </c>
      <c r="AB2" s="36" t="s">
        <v>2</v>
      </c>
      <c r="AC2" s="36" t="s">
        <v>3</v>
      </c>
      <c r="AD2" s="36" t="s">
        <v>4</v>
      </c>
      <c r="AE2" s="36" t="s">
        <v>5</v>
      </c>
      <c r="AF2" s="36" t="s">
        <v>243</v>
      </c>
      <c r="AG2" s="36" t="s">
        <v>164</v>
      </c>
    </row>
    <row r="3" spans="1:33" x14ac:dyDescent="0.15">
      <c r="A3" s="11" t="s">
        <v>58</v>
      </c>
      <c r="B3" s="11">
        <v>2.5</v>
      </c>
      <c r="C3" s="96"/>
      <c r="D3" s="97" t="s">
        <v>452</v>
      </c>
      <c r="E3" s="97" t="s">
        <v>453</v>
      </c>
      <c r="F3" s="97" t="s">
        <v>454</v>
      </c>
      <c r="G3" s="97" t="s">
        <v>457</v>
      </c>
      <c r="H3" s="97" t="s">
        <v>456</v>
      </c>
      <c r="I3" s="97" t="s">
        <v>459</v>
      </c>
      <c r="J3" s="97" t="s">
        <v>471</v>
      </c>
      <c r="K3" s="97" t="s">
        <v>460</v>
      </c>
      <c r="L3" s="97" t="s">
        <v>470</v>
      </c>
      <c r="M3" s="97" t="s">
        <v>461</v>
      </c>
      <c r="N3" s="97" t="s">
        <v>469</v>
      </c>
      <c r="O3" s="97" t="s">
        <v>462</v>
      </c>
      <c r="P3" s="97" t="s">
        <v>468</v>
      </c>
      <c r="Q3" s="97" t="s">
        <v>463</v>
      </c>
      <c r="R3" s="97" t="s">
        <v>467</v>
      </c>
      <c r="S3" s="97" t="s">
        <v>464</v>
      </c>
      <c r="T3" s="97" t="s">
        <v>466</v>
      </c>
      <c r="U3" s="97" t="s">
        <v>458</v>
      </c>
      <c r="V3" s="97" t="s">
        <v>465</v>
      </c>
      <c r="Y3" s="36">
        <v>1</v>
      </c>
      <c r="Z3" s="36">
        <f>SUM(AA3:AG3)/7</f>
        <v>0.12128501484625857</v>
      </c>
      <c r="AA3" s="36">
        <v>8.3263238109347104E-2</v>
      </c>
      <c r="AB3" s="36">
        <v>0.28265661617663901</v>
      </c>
      <c r="AC3" s="36">
        <v>0.136863007781796</v>
      </c>
      <c r="AD3" s="36">
        <v>1.40775532233746E-2</v>
      </c>
      <c r="AE3" s="36">
        <v>9.2264904196603797E-2</v>
      </c>
      <c r="AF3" s="36">
        <v>9.8541476347729598E-2</v>
      </c>
      <c r="AG3" s="36">
        <v>0.14132830808832</v>
      </c>
    </row>
    <row r="4" spans="1:33" x14ac:dyDescent="0.15">
      <c r="A4" s="11" t="s">
        <v>59</v>
      </c>
      <c r="B4" s="11">
        <v>1.9</v>
      </c>
      <c r="C4" s="96"/>
      <c r="D4" s="36">
        <v>1</v>
      </c>
      <c r="E4" s="36">
        <v>0</v>
      </c>
      <c r="F4" s="36">
        <f>$B$5+INT( D4^$B$2 +(E4+1)^$B$3*D4*$B$4 )</f>
        <v>201</v>
      </c>
      <c r="G4" s="98">
        <f t="shared" ref="G4:G35" si="0">ROUNDUP(VLOOKUP(D4,Y:AG,2,FALSE)*F4*$B$7/$B$6,0)</f>
        <v>15</v>
      </c>
      <c r="H4" s="36">
        <f>ROUNDUP(G4*15.23+$D4*2.5,0)</f>
        <v>231</v>
      </c>
      <c r="I4" s="98">
        <f t="shared" ref="I4:I35" si="1">ROUNDUP((VLOOKUP(D4,Y:AG,3,FALSE)*$I$1+VLOOKUP(D4,Y:AG,4,FALSE)*$I$2)*F4*$B$7/$B$6,0)</f>
        <v>10</v>
      </c>
      <c r="J4" s="36">
        <f>ROUNDUP(I4*15.23+$D4*2.5,0)</f>
        <v>155</v>
      </c>
      <c r="K4" s="98">
        <f t="shared" ref="K4:K35" si="2">ROUNDUP((VLOOKUP(D4,Y:AG,3,FALSE)*$K$1+VLOOKUP(D4,Y:AG,4,FALSE)*$K$2)*F4*$B$7/($B$6*2.5),0)</f>
        <v>11</v>
      </c>
      <c r="L4" s="36">
        <f>ROUNDUP(K4*15.23+$D4*2.5,0)</f>
        <v>171</v>
      </c>
      <c r="M4" s="98">
        <f t="shared" ref="M4:M35" si="3">ROUNDUP((VLOOKUP(D4,Y:AG,6,FALSE)*$M$2+VLOOKUP(D4,Y:AG,9,FALSE)*$M$1)*F4*$B$7/$B$6,0)</f>
        <v>7</v>
      </c>
      <c r="N4" s="36">
        <f>ROUNDUP(M4*15.23+$D4*2.5,0)</f>
        <v>110</v>
      </c>
      <c r="O4" s="98">
        <f t="shared" ref="O4:O35" si="4">ROUNDUP((VLOOKUP(D4,Y:AG,3,FALSE)*$O$2+VLOOKUP(D4,Y:AG,9,FALSE)*$O$1)*F4*$B$7/$B$6,0)</f>
        <v>15</v>
      </c>
      <c r="P4" s="36">
        <f>ROUNDUP(O4*15.23+$D4*2.5,0)</f>
        <v>231</v>
      </c>
      <c r="Q4" s="98">
        <f t="shared" ref="Q4:Q35" si="5">ROUNDUP((VLOOKUP(D4,Y:AG,3,FALSE)*$Q$2+VLOOKUP(D4,Y:AG,8,FALSE)*$Q$1)*F4*$B$7/$B$6,0)</f>
        <v>14</v>
      </c>
      <c r="R4" s="36">
        <f>ROUNDUP(Q4*15.23+$D4*2.5,0)</f>
        <v>216</v>
      </c>
      <c r="S4" s="98">
        <f t="shared" ref="S4:S35" si="6">ROUNDUP(VLOOKUP(D4,Y:AG,7,FALSE)*F4*$B$7/$B$6,0)</f>
        <v>12</v>
      </c>
      <c r="T4" s="36">
        <f>ROUNDUP(S4*15.23+$D4*2.5,0)</f>
        <v>186</v>
      </c>
      <c r="U4" s="98">
        <f t="shared" ref="U4:U35" si="7">ROUNDUP(VLOOKUP(D4,Y:AG,5,FALSE)*F4*$B$7/$B$6,0)</f>
        <v>17</v>
      </c>
      <c r="V4" s="36">
        <f>ROUNDUP(U4*15.23+$D4*2.5,0)</f>
        <v>262</v>
      </c>
      <c r="Y4" s="36">
        <v>2</v>
      </c>
      <c r="Z4" s="36">
        <f t="shared" ref="Z4:Z52" si="8">SUM(AA4:AG4)/7</f>
        <v>0.13770478042363427</v>
      </c>
      <c r="AA4" s="36">
        <v>8.6428372144325666E-2</v>
      </c>
      <c r="AB4" s="36">
        <v>0.31101512954955818</v>
      </c>
      <c r="AC4" s="36">
        <v>0.137034136005733</v>
      </c>
      <c r="AD4" s="36">
        <v>8.3349910948506398E-2</v>
      </c>
      <c r="AE4" s="36">
        <v>9.3793318736507314E-2</v>
      </c>
      <c r="AF4" s="36">
        <v>9.6805030806030049E-2</v>
      </c>
      <c r="AG4" s="36">
        <v>0.15550756477477909</v>
      </c>
    </row>
    <row r="5" spans="1:33" x14ac:dyDescent="0.15">
      <c r="A5" s="11" t="s">
        <v>60</v>
      </c>
      <c r="B5" s="11">
        <v>199</v>
      </c>
      <c r="C5" s="96"/>
      <c r="D5" s="36">
        <v>1</v>
      </c>
      <c r="E5" s="36">
        <v>1</v>
      </c>
      <c r="F5" s="36">
        <f t="shared" ref="F5:F58" si="9">$B$5+INT( D5^$B$2 +(E5+1)^$B$3*D5*$B$4 )</f>
        <v>210</v>
      </c>
      <c r="G5" s="98">
        <f t="shared" si="0"/>
        <v>16</v>
      </c>
      <c r="H5" s="36">
        <f t="shared" ref="H5:J58" si="10">ROUNDUP(G5*15.23+$D5*2.5,0)</f>
        <v>247</v>
      </c>
      <c r="I5" s="98">
        <f t="shared" si="1"/>
        <v>11</v>
      </c>
      <c r="J5" s="36">
        <f t="shared" si="10"/>
        <v>171</v>
      </c>
      <c r="K5" s="98">
        <f t="shared" si="2"/>
        <v>12</v>
      </c>
      <c r="L5" s="36">
        <f t="shared" ref="L5" si="11">ROUNDUP(K5*15.23+$D5*2.5,0)</f>
        <v>186</v>
      </c>
      <c r="M5" s="98">
        <f t="shared" si="3"/>
        <v>8</v>
      </c>
      <c r="N5" s="36">
        <f t="shared" ref="N5" si="12">ROUNDUP(M5*15.23+$D5*2.5,0)</f>
        <v>125</v>
      </c>
      <c r="O5" s="98">
        <f t="shared" si="4"/>
        <v>16</v>
      </c>
      <c r="P5" s="36">
        <f t="shared" ref="P5:R5" si="13">ROUNDUP(O5*15.23+$D5*2.5,0)</f>
        <v>247</v>
      </c>
      <c r="Q5" s="98">
        <f t="shared" si="5"/>
        <v>14</v>
      </c>
      <c r="R5" s="36">
        <f t="shared" si="13"/>
        <v>216</v>
      </c>
      <c r="S5" s="98">
        <f t="shared" si="6"/>
        <v>12</v>
      </c>
      <c r="T5" s="36">
        <f t="shared" ref="T5" si="14">ROUNDUP(S5*15.23+$D5*2.5,0)</f>
        <v>186</v>
      </c>
      <c r="U5" s="98">
        <f t="shared" si="7"/>
        <v>18</v>
      </c>
      <c r="V5" s="36">
        <f t="shared" ref="V5" si="15">ROUNDUP(U5*15.23+$D5*2.5,0)</f>
        <v>277</v>
      </c>
      <c r="Y5" s="36">
        <v>3</v>
      </c>
      <c r="Z5" s="36">
        <f t="shared" si="8"/>
        <v>0.15412454600101011</v>
      </c>
      <c r="AA5" s="36">
        <v>8.9593506179304214E-2</v>
      </c>
      <c r="AB5" s="36">
        <v>0.33937364292247724</v>
      </c>
      <c r="AC5" s="36">
        <v>0.137205264229671</v>
      </c>
      <c r="AD5" s="36">
        <v>0.15262226867363823</v>
      </c>
      <c r="AE5" s="36">
        <v>9.5321733276410858E-2</v>
      </c>
      <c r="AF5" s="36">
        <v>9.5068585264330471E-2</v>
      </c>
      <c r="AG5" s="36">
        <v>0.16968682146123862</v>
      </c>
    </row>
    <row r="6" spans="1:33" x14ac:dyDescent="0.15">
      <c r="A6" s="11" t="s">
        <v>455</v>
      </c>
      <c r="B6" s="11">
        <v>5</v>
      </c>
      <c r="D6" s="36">
        <v>1</v>
      </c>
      <c r="E6" s="36">
        <v>2</v>
      </c>
      <c r="F6" s="36">
        <f t="shared" si="9"/>
        <v>229</v>
      </c>
      <c r="G6" s="98">
        <f t="shared" si="0"/>
        <v>17</v>
      </c>
      <c r="H6" s="36">
        <f t="shared" si="10"/>
        <v>262</v>
      </c>
      <c r="I6" s="98">
        <f t="shared" si="1"/>
        <v>12</v>
      </c>
      <c r="J6" s="36">
        <f t="shared" si="10"/>
        <v>186</v>
      </c>
      <c r="K6" s="98">
        <f t="shared" si="2"/>
        <v>13</v>
      </c>
      <c r="L6" s="36">
        <f t="shared" ref="L6" si="16">ROUNDUP(K6*15.23+$D6*2.5,0)</f>
        <v>201</v>
      </c>
      <c r="M6" s="98">
        <f t="shared" si="3"/>
        <v>8</v>
      </c>
      <c r="N6" s="36">
        <f t="shared" ref="N6" si="17">ROUNDUP(M6*15.23+$D6*2.5,0)</f>
        <v>125</v>
      </c>
      <c r="O6" s="98">
        <f t="shared" si="4"/>
        <v>18</v>
      </c>
      <c r="P6" s="36">
        <f t="shared" ref="P6:R6" si="18">ROUNDUP(O6*15.23+$D6*2.5,0)</f>
        <v>277</v>
      </c>
      <c r="Q6" s="98">
        <f t="shared" si="5"/>
        <v>16</v>
      </c>
      <c r="R6" s="36">
        <f t="shared" si="18"/>
        <v>247</v>
      </c>
      <c r="S6" s="98">
        <f t="shared" si="6"/>
        <v>13</v>
      </c>
      <c r="T6" s="36">
        <f t="shared" ref="T6" si="19">ROUNDUP(S6*15.23+$D6*2.5,0)</f>
        <v>201</v>
      </c>
      <c r="U6" s="98">
        <f t="shared" si="7"/>
        <v>19</v>
      </c>
      <c r="V6" s="36">
        <f t="shared" ref="V6" si="20">ROUNDUP(U6*15.23+$D6*2.5,0)</f>
        <v>292</v>
      </c>
      <c r="Y6" s="36">
        <v>4</v>
      </c>
      <c r="Z6" s="36">
        <f t="shared" si="8"/>
        <v>0.17200745537574424</v>
      </c>
      <c r="AA6" s="36">
        <v>9.3370608301939703E-2</v>
      </c>
      <c r="AB6" s="36">
        <v>0.3611617999990549</v>
      </c>
      <c r="AC6" s="36">
        <v>0.137376392453608</v>
      </c>
      <c r="AD6" s="36">
        <v>0.21556666742023187</v>
      </c>
      <c r="AE6" s="36">
        <v>0.10394500803835438</v>
      </c>
      <c r="AF6" s="36">
        <v>0.11205081141749332</v>
      </c>
      <c r="AG6" s="36">
        <v>0.18058089999952745</v>
      </c>
    </row>
    <row r="7" spans="1:33" x14ac:dyDescent="0.15">
      <c r="A7" s="11" t="s">
        <v>58</v>
      </c>
      <c r="B7" s="11">
        <v>3</v>
      </c>
      <c r="D7" s="36">
        <v>1</v>
      </c>
      <c r="E7" s="36">
        <v>3</v>
      </c>
      <c r="F7" s="36">
        <f t="shared" si="9"/>
        <v>260</v>
      </c>
      <c r="G7" s="98">
        <f t="shared" si="0"/>
        <v>19</v>
      </c>
      <c r="H7" s="36">
        <f t="shared" si="10"/>
        <v>292</v>
      </c>
      <c r="I7" s="98">
        <f t="shared" si="1"/>
        <v>13</v>
      </c>
      <c r="J7" s="36">
        <f t="shared" si="10"/>
        <v>201</v>
      </c>
      <c r="K7" s="98">
        <f t="shared" si="2"/>
        <v>15</v>
      </c>
      <c r="L7" s="36">
        <f t="shared" ref="L7" si="21">ROUNDUP(K7*15.23+$D7*2.5,0)</f>
        <v>231</v>
      </c>
      <c r="M7" s="98">
        <f t="shared" si="3"/>
        <v>9</v>
      </c>
      <c r="N7" s="36">
        <f t="shared" ref="N7" si="22">ROUNDUP(M7*15.23+$D7*2.5,0)</f>
        <v>140</v>
      </c>
      <c r="O7" s="98">
        <f t="shared" si="4"/>
        <v>20</v>
      </c>
      <c r="P7" s="36">
        <f t="shared" ref="P7:R7" si="23">ROUNDUP(O7*15.23+$D7*2.5,0)</f>
        <v>308</v>
      </c>
      <c r="Q7" s="98">
        <f t="shared" si="5"/>
        <v>18</v>
      </c>
      <c r="R7" s="36">
        <f t="shared" si="23"/>
        <v>277</v>
      </c>
      <c r="S7" s="98">
        <f t="shared" si="6"/>
        <v>15</v>
      </c>
      <c r="T7" s="36">
        <f t="shared" ref="T7" si="24">ROUNDUP(S7*15.23+$D7*2.5,0)</f>
        <v>231</v>
      </c>
      <c r="U7" s="98">
        <f t="shared" si="7"/>
        <v>22</v>
      </c>
      <c r="V7" s="36">
        <f t="shared" ref="V7" si="25">ROUNDUP(U7*15.23+$D7*2.5,0)</f>
        <v>338</v>
      </c>
      <c r="Y7" s="36">
        <v>5</v>
      </c>
      <c r="Z7" s="36">
        <f t="shared" si="8"/>
        <v>0.18599621267513081</v>
      </c>
      <c r="AA7" s="36">
        <v>9.7555266754782766E-2</v>
      </c>
      <c r="AB7" s="36">
        <v>0.3870529210321863</v>
      </c>
      <c r="AC7" s="36">
        <v>0.137547520677545</v>
      </c>
      <c r="AD7" s="36">
        <v>0.26877024202618821</v>
      </c>
      <c r="AE7" s="36">
        <v>0.10376278980912117</v>
      </c>
      <c r="AF7" s="36">
        <v>0.11375828790999895</v>
      </c>
      <c r="AG7" s="36">
        <v>0.19352646051609315</v>
      </c>
    </row>
    <row r="8" spans="1:33" x14ac:dyDescent="0.15">
      <c r="D8" s="36">
        <v>1</v>
      </c>
      <c r="E8" s="36">
        <v>4</v>
      </c>
      <c r="F8" s="36">
        <f t="shared" si="9"/>
        <v>306</v>
      </c>
      <c r="G8" s="98">
        <f t="shared" si="0"/>
        <v>23</v>
      </c>
      <c r="H8" s="36">
        <f t="shared" si="10"/>
        <v>353</v>
      </c>
      <c r="I8" s="98">
        <f t="shared" si="1"/>
        <v>15</v>
      </c>
      <c r="J8" s="36">
        <f t="shared" si="10"/>
        <v>231</v>
      </c>
      <c r="K8" s="98">
        <f t="shared" si="2"/>
        <v>17</v>
      </c>
      <c r="L8" s="36">
        <f t="shared" ref="L8" si="26">ROUNDUP(K8*15.23+$D8*2.5,0)</f>
        <v>262</v>
      </c>
      <c r="M8" s="98">
        <f t="shared" si="3"/>
        <v>11</v>
      </c>
      <c r="N8" s="36">
        <f t="shared" ref="N8" si="27">ROUNDUP(M8*15.23+$D8*2.5,0)</f>
        <v>171</v>
      </c>
      <c r="O8" s="98">
        <f t="shared" si="4"/>
        <v>23</v>
      </c>
      <c r="P8" s="36">
        <f t="shared" ref="P8:R8" si="28">ROUNDUP(O8*15.23+$D8*2.5,0)</f>
        <v>353</v>
      </c>
      <c r="Q8" s="98">
        <f t="shared" si="5"/>
        <v>21</v>
      </c>
      <c r="R8" s="36">
        <f t="shared" si="28"/>
        <v>323</v>
      </c>
      <c r="S8" s="98">
        <f t="shared" si="6"/>
        <v>17</v>
      </c>
      <c r="T8" s="36">
        <f t="shared" ref="T8" si="29">ROUNDUP(S8*15.23+$D8*2.5,0)</f>
        <v>262</v>
      </c>
      <c r="U8" s="98">
        <f t="shared" si="7"/>
        <v>26</v>
      </c>
      <c r="V8" s="36">
        <f t="shared" ref="V8" si="30">ROUNDUP(U8*15.23+$D8*2.5,0)</f>
        <v>399</v>
      </c>
      <c r="Y8" s="36">
        <v>6</v>
      </c>
      <c r="Z8" s="36">
        <f t="shared" si="8"/>
        <v>0.20131157122524843</v>
      </c>
      <c r="AA8" s="36">
        <v>0.10450571709097566</v>
      </c>
      <c r="AB8" s="36">
        <v>0.41313397337812935</v>
      </c>
      <c r="AC8" s="36">
        <v>0.137718648901483</v>
      </c>
      <c r="AD8" s="36">
        <v>0.31598679166575366</v>
      </c>
      <c r="AE8" s="36">
        <v>0.10912687451426503</v>
      </c>
      <c r="AF8" s="36">
        <v>0.12214200633706741</v>
      </c>
      <c r="AG8" s="36">
        <v>0.20656698668906467</v>
      </c>
    </row>
    <row r="9" spans="1:33" x14ac:dyDescent="0.15">
      <c r="D9" s="36">
        <v>5</v>
      </c>
      <c r="E9" s="36">
        <v>0</v>
      </c>
      <c r="F9" s="36">
        <f t="shared" si="9"/>
        <v>215</v>
      </c>
      <c r="G9" s="98">
        <f t="shared" si="0"/>
        <v>24</v>
      </c>
      <c r="H9" s="36">
        <f t="shared" si="10"/>
        <v>379</v>
      </c>
      <c r="I9" s="98">
        <f t="shared" si="1"/>
        <v>14</v>
      </c>
      <c r="J9" s="36">
        <f t="shared" si="10"/>
        <v>226</v>
      </c>
      <c r="K9" s="98">
        <f t="shared" si="2"/>
        <v>16</v>
      </c>
      <c r="L9" s="36">
        <f t="shared" ref="L9" si="31">ROUNDUP(K9*15.23+$D9*2.5,0)</f>
        <v>257</v>
      </c>
      <c r="M9" s="98">
        <f t="shared" si="3"/>
        <v>43</v>
      </c>
      <c r="N9" s="36">
        <f t="shared" ref="N9" si="32">ROUNDUP(M9*15.23+$D9*2.5,0)</f>
        <v>668</v>
      </c>
      <c r="O9" s="98">
        <f t="shared" si="4"/>
        <v>22</v>
      </c>
      <c r="P9" s="36">
        <f t="shared" ref="P9:R9" si="33">ROUNDUP(O9*15.23+$D9*2.5,0)</f>
        <v>348</v>
      </c>
      <c r="Q9" s="98">
        <f t="shared" si="5"/>
        <v>17</v>
      </c>
      <c r="R9" s="36">
        <f t="shared" si="33"/>
        <v>272</v>
      </c>
      <c r="S9" s="98">
        <f t="shared" si="6"/>
        <v>14</v>
      </c>
      <c r="T9" s="36">
        <f t="shared" ref="T9" si="34">ROUNDUP(S9*15.23+$D9*2.5,0)</f>
        <v>226</v>
      </c>
      <c r="U9" s="98">
        <f t="shared" si="7"/>
        <v>18</v>
      </c>
      <c r="V9" s="36">
        <f t="shared" ref="V9" si="35">ROUNDUP(U9*15.23+$D9*2.5,0)</f>
        <v>287</v>
      </c>
      <c r="Y9" s="36">
        <v>7</v>
      </c>
      <c r="Z9" s="36">
        <f t="shared" si="8"/>
        <v>0.21616399072780612</v>
      </c>
      <c r="AA9" s="36">
        <v>0.11117958889058485</v>
      </c>
      <c r="AB9" s="36">
        <v>0.43952105301211614</v>
      </c>
      <c r="AC9" s="36">
        <v>0.13788977712542</v>
      </c>
      <c r="AD9" s="36">
        <v>0.35797590992512807</v>
      </c>
      <c r="AE9" s="36">
        <v>0.11219632482984622</v>
      </c>
      <c r="AF9" s="36">
        <v>0.13462475480548944</v>
      </c>
      <c r="AG9" s="36">
        <v>0.21976052650605807</v>
      </c>
    </row>
    <row r="10" spans="1:33" x14ac:dyDescent="0.15">
      <c r="D10" s="36">
        <v>5</v>
      </c>
      <c r="E10" s="36">
        <v>1</v>
      </c>
      <c r="F10" s="36">
        <f t="shared" si="9"/>
        <v>259</v>
      </c>
      <c r="G10" s="98">
        <f t="shared" si="0"/>
        <v>29</v>
      </c>
      <c r="H10" s="36">
        <f t="shared" si="10"/>
        <v>455</v>
      </c>
      <c r="I10" s="98">
        <f t="shared" si="1"/>
        <v>17</v>
      </c>
      <c r="J10" s="36">
        <f t="shared" si="10"/>
        <v>272</v>
      </c>
      <c r="K10" s="98">
        <f t="shared" si="2"/>
        <v>19</v>
      </c>
      <c r="L10" s="36">
        <f t="shared" ref="L10" si="36">ROUNDUP(K10*15.23+$D10*2.5,0)</f>
        <v>302</v>
      </c>
      <c r="M10" s="98">
        <f t="shared" si="3"/>
        <v>51</v>
      </c>
      <c r="N10" s="36">
        <f t="shared" ref="N10" si="37">ROUNDUP(M10*15.23+$D10*2.5,0)</f>
        <v>790</v>
      </c>
      <c r="O10" s="98">
        <f t="shared" si="4"/>
        <v>26</v>
      </c>
      <c r="P10" s="36">
        <f t="shared" ref="P10:R10" si="38">ROUNDUP(O10*15.23+$D10*2.5,0)</f>
        <v>409</v>
      </c>
      <c r="Q10" s="98">
        <f t="shared" si="5"/>
        <v>20</v>
      </c>
      <c r="R10" s="36">
        <f t="shared" si="38"/>
        <v>318</v>
      </c>
      <c r="S10" s="98">
        <f t="shared" si="6"/>
        <v>17</v>
      </c>
      <c r="T10" s="36">
        <f t="shared" ref="T10" si="39">ROUNDUP(S10*15.23+$D10*2.5,0)</f>
        <v>272</v>
      </c>
      <c r="U10" s="98">
        <f t="shared" si="7"/>
        <v>22</v>
      </c>
      <c r="V10" s="36">
        <f t="shared" ref="V10" si="40">ROUNDUP(U10*15.23+$D10*2.5,0)</f>
        <v>348</v>
      </c>
      <c r="Y10" s="36">
        <v>8</v>
      </c>
      <c r="Z10" s="36">
        <f t="shared" si="8"/>
        <v>0.22860640233222393</v>
      </c>
      <c r="AA10" s="36">
        <v>0.11545440174800721</v>
      </c>
      <c r="AB10" s="36">
        <v>0.46387000806600392</v>
      </c>
      <c r="AC10" s="36">
        <v>0.138060905349357</v>
      </c>
      <c r="AD10" s="36">
        <v>0.39710687737835021</v>
      </c>
      <c r="AE10" s="36">
        <v>0.11641942450951101</v>
      </c>
      <c r="AF10" s="36">
        <v>0.13739819524133623</v>
      </c>
      <c r="AG10" s="36">
        <v>0.23193500403300196</v>
      </c>
    </row>
    <row r="11" spans="1:33" x14ac:dyDescent="0.15">
      <c r="D11" s="36">
        <v>5</v>
      </c>
      <c r="E11" s="36">
        <v>2</v>
      </c>
      <c r="F11" s="36">
        <f t="shared" si="9"/>
        <v>353</v>
      </c>
      <c r="G11" s="98">
        <f t="shared" si="0"/>
        <v>40</v>
      </c>
      <c r="H11" s="36">
        <f t="shared" si="10"/>
        <v>622</v>
      </c>
      <c r="I11" s="98">
        <f t="shared" si="1"/>
        <v>23</v>
      </c>
      <c r="J11" s="36">
        <f t="shared" si="10"/>
        <v>363</v>
      </c>
      <c r="K11" s="98">
        <f t="shared" si="2"/>
        <v>26</v>
      </c>
      <c r="L11" s="36">
        <f t="shared" ref="L11" si="41">ROUNDUP(K11*15.23+$D11*2.5,0)</f>
        <v>409</v>
      </c>
      <c r="M11" s="98">
        <f t="shared" si="3"/>
        <v>70</v>
      </c>
      <c r="N11" s="36">
        <f t="shared" ref="N11" si="42">ROUNDUP(M11*15.23+$D11*2.5,0)</f>
        <v>1079</v>
      </c>
      <c r="O11" s="98">
        <f t="shared" si="4"/>
        <v>35</v>
      </c>
      <c r="P11" s="36">
        <f t="shared" ref="P11:R11" si="43">ROUNDUP(O11*15.23+$D11*2.5,0)</f>
        <v>546</v>
      </c>
      <c r="Q11" s="98">
        <f t="shared" si="5"/>
        <v>28</v>
      </c>
      <c r="R11" s="36">
        <f t="shared" si="43"/>
        <v>439</v>
      </c>
      <c r="S11" s="98">
        <f t="shared" si="6"/>
        <v>22</v>
      </c>
      <c r="T11" s="36">
        <f t="shared" ref="T11" si="44">ROUNDUP(S11*15.23+$D11*2.5,0)</f>
        <v>348</v>
      </c>
      <c r="U11" s="98">
        <f t="shared" si="7"/>
        <v>30</v>
      </c>
      <c r="V11" s="36">
        <f t="shared" ref="V11" si="45">ROUNDUP(U11*15.23+$D11*2.5,0)</f>
        <v>470</v>
      </c>
      <c r="Y11" s="36">
        <v>9</v>
      </c>
      <c r="Z11" s="36">
        <f t="shared" si="8"/>
        <v>0.24116496843048077</v>
      </c>
      <c r="AA11" s="36">
        <v>0.12247195459717378</v>
      </c>
      <c r="AB11" s="36">
        <v>0.4916283536862871</v>
      </c>
      <c r="AC11" s="36">
        <v>0.138232033573294</v>
      </c>
      <c r="AD11" s="36">
        <v>0.42966280622994341</v>
      </c>
      <c r="AE11" s="36">
        <v>0.11850356832587994</v>
      </c>
      <c r="AF11" s="36">
        <v>0.14184188575764328</v>
      </c>
      <c r="AG11" s="36">
        <v>0.24581417684314355</v>
      </c>
    </row>
    <row r="12" spans="1:33" x14ac:dyDescent="0.15">
      <c r="D12" s="36">
        <v>5</v>
      </c>
      <c r="E12" s="36">
        <v>3</v>
      </c>
      <c r="F12" s="36">
        <f t="shared" si="9"/>
        <v>509</v>
      </c>
      <c r="G12" s="98">
        <f t="shared" si="0"/>
        <v>57</v>
      </c>
      <c r="H12" s="36">
        <f t="shared" si="10"/>
        <v>881</v>
      </c>
      <c r="I12" s="98">
        <f t="shared" si="1"/>
        <v>33</v>
      </c>
      <c r="J12" s="36">
        <f t="shared" si="10"/>
        <v>516</v>
      </c>
      <c r="K12" s="98">
        <f t="shared" si="2"/>
        <v>38</v>
      </c>
      <c r="L12" s="36">
        <f t="shared" ref="L12" si="46">ROUNDUP(K12*15.23+$D12*2.5,0)</f>
        <v>592</v>
      </c>
      <c r="M12" s="98">
        <f t="shared" si="3"/>
        <v>100</v>
      </c>
      <c r="N12" s="36">
        <f t="shared" ref="N12" si="47">ROUNDUP(M12*15.23+$D12*2.5,0)</f>
        <v>1536</v>
      </c>
      <c r="O12" s="98">
        <f t="shared" si="4"/>
        <v>51</v>
      </c>
      <c r="P12" s="36">
        <f t="shared" ref="P12:R12" si="48">ROUNDUP(O12*15.23+$D12*2.5,0)</f>
        <v>790</v>
      </c>
      <c r="Q12" s="98">
        <f t="shared" si="5"/>
        <v>40</v>
      </c>
      <c r="R12" s="36">
        <f t="shared" si="48"/>
        <v>622</v>
      </c>
      <c r="S12" s="98">
        <f t="shared" si="6"/>
        <v>32</v>
      </c>
      <c r="T12" s="36">
        <f t="shared" ref="T12" si="49">ROUNDUP(S12*15.23+$D12*2.5,0)</f>
        <v>500</v>
      </c>
      <c r="U12" s="98">
        <f t="shared" si="7"/>
        <v>43</v>
      </c>
      <c r="V12" s="36">
        <f t="shared" ref="V12" si="50">ROUNDUP(U12*15.23+$D12*2.5,0)</f>
        <v>668</v>
      </c>
      <c r="Y12" s="36">
        <v>10</v>
      </c>
      <c r="Z12" s="36">
        <f t="shared" si="8"/>
        <v>0.25293027940696378</v>
      </c>
      <c r="AA12" s="36">
        <v>0.12707245090937791</v>
      </c>
      <c r="AB12" s="36">
        <v>0.51677493966112609</v>
      </c>
      <c r="AC12" s="36">
        <v>0.138403161797232</v>
      </c>
      <c r="AD12" s="36">
        <v>0.46154847321007592</v>
      </c>
      <c r="AE12" s="36">
        <v>0.12252515480433883</v>
      </c>
      <c r="AF12" s="36">
        <v>0.14580030563603263</v>
      </c>
      <c r="AG12" s="36">
        <v>0.25838746983056304</v>
      </c>
    </row>
    <row r="13" spans="1:33" x14ac:dyDescent="0.15">
      <c r="D13" s="36">
        <v>5</v>
      </c>
      <c r="E13" s="36">
        <v>4</v>
      </c>
      <c r="F13" s="36">
        <f t="shared" si="9"/>
        <v>736</v>
      </c>
      <c r="G13" s="98">
        <f t="shared" si="0"/>
        <v>83</v>
      </c>
      <c r="H13" s="36">
        <f t="shared" si="10"/>
        <v>1277</v>
      </c>
      <c r="I13" s="98">
        <f t="shared" si="1"/>
        <v>48</v>
      </c>
      <c r="J13" s="36">
        <f t="shared" si="10"/>
        <v>744</v>
      </c>
      <c r="K13" s="98">
        <f t="shared" si="2"/>
        <v>54</v>
      </c>
      <c r="L13" s="36">
        <f t="shared" ref="L13" si="51">ROUNDUP(K13*15.23+$D13*2.5,0)</f>
        <v>835</v>
      </c>
      <c r="M13" s="98">
        <f t="shared" si="3"/>
        <v>145</v>
      </c>
      <c r="N13" s="36">
        <f t="shared" ref="N13" si="52">ROUNDUP(M13*15.23+$D13*2.5,0)</f>
        <v>2221</v>
      </c>
      <c r="O13" s="98">
        <f t="shared" si="4"/>
        <v>73</v>
      </c>
      <c r="P13" s="36">
        <f t="shared" ref="P13:R13" si="53">ROUNDUP(O13*15.23+$D13*2.5,0)</f>
        <v>1125</v>
      </c>
      <c r="Q13" s="98">
        <f t="shared" si="5"/>
        <v>57</v>
      </c>
      <c r="R13" s="36">
        <f t="shared" si="53"/>
        <v>881</v>
      </c>
      <c r="S13" s="98">
        <f t="shared" si="6"/>
        <v>46</v>
      </c>
      <c r="T13" s="36">
        <f t="shared" ref="T13" si="54">ROUNDUP(S13*15.23+$D13*2.5,0)</f>
        <v>714</v>
      </c>
      <c r="U13" s="98">
        <f t="shared" si="7"/>
        <v>61</v>
      </c>
      <c r="V13" s="36">
        <f t="shared" ref="V13" si="55">ROUNDUP(U13*15.23+$D13*2.5,0)</f>
        <v>942</v>
      </c>
      <c r="Y13" s="36">
        <v>11</v>
      </c>
      <c r="Z13" s="36">
        <f t="shared" si="8"/>
        <v>0.26592392028004669</v>
      </c>
      <c r="AA13" s="36">
        <v>0.1339409842415856</v>
      </c>
      <c r="AB13" s="36">
        <v>0.54492132514676506</v>
      </c>
      <c r="AC13" s="36">
        <v>0.138574290021169</v>
      </c>
      <c r="AD13" s="36">
        <v>0.48833337402250698</v>
      </c>
      <c r="AE13" s="36">
        <v>0.12583662795135242</v>
      </c>
      <c r="AF13" s="36">
        <v>0.15740017800356515</v>
      </c>
      <c r="AG13" s="36">
        <v>0.27246066257338253</v>
      </c>
    </row>
    <row r="14" spans="1:33" x14ac:dyDescent="0.15">
      <c r="D14" s="36">
        <v>10</v>
      </c>
      <c r="E14" s="36">
        <v>0</v>
      </c>
      <c r="F14" s="36">
        <f t="shared" si="9"/>
        <v>233</v>
      </c>
      <c r="G14" s="98">
        <f t="shared" si="0"/>
        <v>36</v>
      </c>
      <c r="H14" s="36">
        <f t="shared" si="10"/>
        <v>574</v>
      </c>
      <c r="I14" s="98">
        <f t="shared" si="1"/>
        <v>20</v>
      </c>
      <c r="J14" s="36">
        <f t="shared" si="10"/>
        <v>330</v>
      </c>
      <c r="K14" s="98">
        <f t="shared" si="2"/>
        <v>23</v>
      </c>
      <c r="L14" s="36">
        <f t="shared" ref="L14" si="56">ROUNDUP(K14*15.23+$D14*2.5,0)</f>
        <v>376</v>
      </c>
      <c r="M14" s="98">
        <f t="shared" si="3"/>
        <v>76</v>
      </c>
      <c r="N14" s="36">
        <f t="shared" ref="N14" si="57">ROUNDUP(M14*15.23+$D14*2.5,0)</f>
        <v>1183</v>
      </c>
      <c r="O14" s="98">
        <f t="shared" si="4"/>
        <v>31</v>
      </c>
      <c r="P14" s="36">
        <f t="shared" ref="P14:R14" si="58">ROUNDUP(O14*15.23+$D14*2.5,0)</f>
        <v>498</v>
      </c>
      <c r="Q14" s="98">
        <f t="shared" si="5"/>
        <v>24</v>
      </c>
      <c r="R14" s="36">
        <f t="shared" si="58"/>
        <v>391</v>
      </c>
      <c r="S14" s="98">
        <f t="shared" si="6"/>
        <v>18</v>
      </c>
      <c r="T14" s="36">
        <f t="shared" ref="T14" si="59">ROUNDUP(S14*15.23+$D14*2.5,0)</f>
        <v>300</v>
      </c>
      <c r="U14" s="98">
        <f t="shared" si="7"/>
        <v>20</v>
      </c>
      <c r="V14" s="36">
        <f t="shared" ref="V14" si="60">ROUNDUP(U14*15.23+$D14*2.5,0)</f>
        <v>330</v>
      </c>
      <c r="Y14" s="36">
        <v>12</v>
      </c>
      <c r="Z14" s="36">
        <f t="shared" si="8"/>
        <v>0.27733749419327786</v>
      </c>
      <c r="AA14" s="36">
        <v>0.13944178527813736</v>
      </c>
      <c r="AB14" s="36">
        <v>0.57078919927789362</v>
      </c>
      <c r="AC14" s="36">
        <v>0.138745418245106</v>
      </c>
      <c r="AD14" s="36">
        <v>0.5148277163300975</v>
      </c>
      <c r="AE14" s="36">
        <v>0.13054124579229859</v>
      </c>
      <c r="AF14" s="36">
        <v>0.16162249479046531</v>
      </c>
      <c r="AG14" s="36">
        <v>0.28539459963894681</v>
      </c>
    </row>
    <row r="15" spans="1:33" x14ac:dyDescent="0.15">
      <c r="D15" s="36">
        <v>10</v>
      </c>
      <c r="E15" s="36">
        <v>1</v>
      </c>
      <c r="F15" s="36">
        <f t="shared" si="9"/>
        <v>322</v>
      </c>
      <c r="G15" s="98">
        <f t="shared" si="0"/>
        <v>49</v>
      </c>
      <c r="H15" s="36">
        <f t="shared" si="10"/>
        <v>772</v>
      </c>
      <c r="I15" s="98">
        <f t="shared" si="1"/>
        <v>28</v>
      </c>
      <c r="J15" s="36">
        <f t="shared" si="10"/>
        <v>452</v>
      </c>
      <c r="K15" s="98">
        <f t="shared" si="2"/>
        <v>32</v>
      </c>
      <c r="L15" s="36">
        <f t="shared" ref="L15" si="61">ROUNDUP(K15*15.23+$D15*2.5,0)</f>
        <v>513</v>
      </c>
      <c r="M15" s="98">
        <f t="shared" si="3"/>
        <v>105</v>
      </c>
      <c r="N15" s="36">
        <f t="shared" ref="N15" si="62">ROUNDUP(M15*15.23+$D15*2.5,0)</f>
        <v>1625</v>
      </c>
      <c r="O15" s="98">
        <f t="shared" si="4"/>
        <v>43</v>
      </c>
      <c r="P15" s="36">
        <f t="shared" ref="P15:R15" si="63">ROUNDUP(O15*15.23+$D15*2.5,0)</f>
        <v>680</v>
      </c>
      <c r="Q15" s="98">
        <f t="shared" si="5"/>
        <v>32</v>
      </c>
      <c r="R15" s="36">
        <f t="shared" si="63"/>
        <v>513</v>
      </c>
      <c r="S15" s="98">
        <f t="shared" si="6"/>
        <v>24</v>
      </c>
      <c r="T15" s="36">
        <f t="shared" ref="T15" si="64">ROUNDUP(S15*15.23+$D15*2.5,0)</f>
        <v>391</v>
      </c>
      <c r="U15" s="98">
        <f t="shared" si="7"/>
        <v>27</v>
      </c>
      <c r="V15" s="36">
        <f t="shared" ref="V15" si="65">ROUNDUP(U15*15.23+$D15*2.5,0)</f>
        <v>437</v>
      </c>
      <c r="Y15" s="36">
        <v>13</v>
      </c>
      <c r="Z15" s="36">
        <f t="shared" si="8"/>
        <v>0.28887970649328526</v>
      </c>
      <c r="AA15" s="36">
        <v>0.14526905663082912</v>
      </c>
      <c r="AB15" s="36">
        <v>0.598142916672875</v>
      </c>
      <c r="AC15" s="36">
        <v>0.138916546469044</v>
      </c>
      <c r="AD15" s="36">
        <v>0.53804510646240378</v>
      </c>
      <c r="AE15" s="36">
        <v>0.13331596701443815</v>
      </c>
      <c r="AF15" s="36">
        <v>0.16939689386696913</v>
      </c>
      <c r="AG15" s="36">
        <v>0.2990714583364375</v>
      </c>
    </row>
    <row r="16" spans="1:33" x14ac:dyDescent="0.15">
      <c r="D16" s="36">
        <v>10</v>
      </c>
      <c r="E16" s="36">
        <v>2</v>
      </c>
      <c r="F16" s="36">
        <f t="shared" si="9"/>
        <v>511</v>
      </c>
      <c r="G16" s="98">
        <f t="shared" si="0"/>
        <v>78</v>
      </c>
      <c r="H16" s="36">
        <f t="shared" si="10"/>
        <v>1213</v>
      </c>
      <c r="I16" s="98">
        <f t="shared" si="1"/>
        <v>44</v>
      </c>
      <c r="J16" s="36">
        <f t="shared" si="10"/>
        <v>696</v>
      </c>
      <c r="K16" s="98">
        <f t="shared" si="2"/>
        <v>50</v>
      </c>
      <c r="L16" s="36">
        <f t="shared" ref="L16" si="66">ROUNDUP(K16*15.23+$D16*2.5,0)</f>
        <v>787</v>
      </c>
      <c r="M16" s="98">
        <f t="shared" si="3"/>
        <v>166</v>
      </c>
      <c r="N16" s="36">
        <f t="shared" ref="N16" si="67">ROUNDUP(M16*15.23+$D16*2.5,0)</f>
        <v>2554</v>
      </c>
      <c r="O16" s="98">
        <f t="shared" si="4"/>
        <v>68</v>
      </c>
      <c r="P16" s="36">
        <f t="shared" ref="P16:R16" si="68">ROUNDUP(O16*15.23+$D16*2.5,0)</f>
        <v>1061</v>
      </c>
      <c r="Q16" s="98">
        <f t="shared" si="5"/>
        <v>51</v>
      </c>
      <c r="R16" s="36">
        <f t="shared" si="68"/>
        <v>802</v>
      </c>
      <c r="S16" s="98">
        <f t="shared" si="6"/>
        <v>38</v>
      </c>
      <c r="T16" s="36">
        <f t="shared" ref="T16" si="69">ROUNDUP(S16*15.23+$D16*2.5,0)</f>
        <v>604</v>
      </c>
      <c r="U16" s="98">
        <f t="shared" si="7"/>
        <v>43</v>
      </c>
      <c r="V16" s="36">
        <f t="shared" ref="V16" si="70">ROUNDUP(U16*15.23+$D16*2.5,0)</f>
        <v>680</v>
      </c>
      <c r="Y16" s="36">
        <v>14</v>
      </c>
      <c r="Z16" s="36">
        <f t="shared" si="8"/>
        <v>0.3005030392921112</v>
      </c>
      <c r="AA16" s="36">
        <v>0.15151623028400718</v>
      </c>
      <c r="AB16" s="36">
        <v>0.6247724877446188</v>
      </c>
      <c r="AC16" s="36">
        <v>0.139087674692981</v>
      </c>
      <c r="AD16" s="36">
        <v>0.56022554633881239</v>
      </c>
      <c r="AE16" s="36">
        <v>0.13584291591433478</v>
      </c>
      <c r="AF16" s="36">
        <v>0.1796901761977146</v>
      </c>
      <c r="AG16" s="36">
        <v>0.3123862438723094</v>
      </c>
    </row>
    <row r="17" spans="4:33" x14ac:dyDescent="0.15">
      <c r="D17" s="36">
        <v>10</v>
      </c>
      <c r="E17" s="36">
        <v>3</v>
      </c>
      <c r="F17" s="36">
        <f t="shared" si="9"/>
        <v>822</v>
      </c>
      <c r="G17" s="98">
        <f t="shared" si="0"/>
        <v>125</v>
      </c>
      <c r="H17" s="36">
        <f t="shared" si="10"/>
        <v>1929</v>
      </c>
      <c r="I17" s="98">
        <f t="shared" si="1"/>
        <v>70</v>
      </c>
      <c r="J17" s="36">
        <f t="shared" si="10"/>
        <v>1092</v>
      </c>
      <c r="K17" s="98">
        <f t="shared" si="2"/>
        <v>81</v>
      </c>
      <c r="L17" s="36">
        <f t="shared" ref="L17" si="71">ROUNDUP(K17*15.23+$D17*2.5,0)</f>
        <v>1259</v>
      </c>
      <c r="M17" s="98">
        <f t="shared" si="3"/>
        <v>266</v>
      </c>
      <c r="N17" s="36">
        <f t="shared" ref="N17" si="72">ROUNDUP(M17*15.23+$D17*2.5,0)</f>
        <v>4077</v>
      </c>
      <c r="O17" s="98">
        <f t="shared" si="4"/>
        <v>109</v>
      </c>
      <c r="P17" s="36">
        <f t="shared" ref="P17:R17" si="73">ROUNDUP(O17*15.23+$D17*2.5,0)</f>
        <v>1686</v>
      </c>
      <c r="Q17" s="98">
        <f t="shared" si="5"/>
        <v>82</v>
      </c>
      <c r="R17" s="36">
        <f t="shared" si="73"/>
        <v>1274</v>
      </c>
      <c r="S17" s="98">
        <f t="shared" si="6"/>
        <v>61</v>
      </c>
      <c r="T17" s="36">
        <f t="shared" ref="T17" si="74">ROUNDUP(S17*15.23+$D17*2.5,0)</f>
        <v>955</v>
      </c>
      <c r="U17" s="98">
        <f t="shared" si="7"/>
        <v>69</v>
      </c>
      <c r="V17" s="36">
        <f t="shared" ref="V17" si="75">ROUNDUP(U17*15.23+$D17*2.5,0)</f>
        <v>1076</v>
      </c>
      <c r="Y17" s="36">
        <v>15</v>
      </c>
      <c r="Z17" s="36">
        <f t="shared" si="8"/>
        <v>0.31123074633313663</v>
      </c>
      <c r="AA17" s="36">
        <v>0.15675592204157077</v>
      </c>
      <c r="AB17" s="36">
        <v>0.65268320083497922</v>
      </c>
      <c r="AC17" s="36">
        <v>0.139258802916918</v>
      </c>
      <c r="AD17" s="36">
        <v>0.57968835811867025</v>
      </c>
      <c r="AE17" s="36">
        <v>0.13936023649220913</v>
      </c>
      <c r="AF17" s="36">
        <v>0.1845271035101195</v>
      </c>
      <c r="AG17" s="36">
        <v>0.32634160041748961</v>
      </c>
    </row>
    <row r="18" spans="4:33" x14ac:dyDescent="0.15">
      <c r="D18" s="36">
        <v>10</v>
      </c>
      <c r="E18" s="36">
        <v>4</v>
      </c>
      <c r="F18" s="36">
        <f t="shared" si="9"/>
        <v>1276</v>
      </c>
      <c r="G18" s="98">
        <f t="shared" si="0"/>
        <v>194</v>
      </c>
      <c r="H18" s="36">
        <f t="shared" si="10"/>
        <v>2980</v>
      </c>
      <c r="I18" s="98">
        <f t="shared" si="1"/>
        <v>109</v>
      </c>
      <c r="J18" s="36">
        <f t="shared" si="10"/>
        <v>1686</v>
      </c>
      <c r="K18" s="98">
        <f t="shared" si="2"/>
        <v>125</v>
      </c>
      <c r="L18" s="36">
        <f t="shared" ref="L18" si="76">ROUNDUP(K18*15.23+$D18*2.5,0)</f>
        <v>1929</v>
      </c>
      <c r="M18" s="98">
        <f t="shared" si="3"/>
        <v>413</v>
      </c>
      <c r="N18" s="36">
        <f t="shared" ref="N18" si="77">ROUNDUP(M18*15.23+$D18*2.5,0)</f>
        <v>6315</v>
      </c>
      <c r="O18" s="98">
        <f t="shared" si="4"/>
        <v>168</v>
      </c>
      <c r="P18" s="36">
        <f t="shared" ref="P18:R18" si="78">ROUNDUP(O18*15.23+$D18*2.5,0)</f>
        <v>2584</v>
      </c>
      <c r="Q18" s="98">
        <f t="shared" si="5"/>
        <v>127</v>
      </c>
      <c r="R18" s="36">
        <f t="shared" si="78"/>
        <v>1960</v>
      </c>
      <c r="S18" s="98">
        <f t="shared" si="6"/>
        <v>94</v>
      </c>
      <c r="T18" s="36">
        <f t="shared" ref="T18" si="79">ROUNDUP(S18*15.23+$D18*2.5,0)</f>
        <v>1457</v>
      </c>
      <c r="U18" s="98">
        <f t="shared" si="7"/>
        <v>106</v>
      </c>
      <c r="V18" s="36">
        <f t="shared" ref="V18" si="80">ROUNDUP(U18*15.23+$D18*2.5,0)</f>
        <v>1640</v>
      </c>
      <c r="Y18" s="36">
        <v>16</v>
      </c>
      <c r="Z18" s="36">
        <f t="shared" si="8"/>
        <v>0.32202728622989957</v>
      </c>
      <c r="AA18" s="36">
        <v>0.16244292157384418</v>
      </c>
      <c r="AB18" s="36">
        <v>0.67999645246377793</v>
      </c>
      <c r="AC18" s="36">
        <v>0.139429931140855</v>
      </c>
      <c r="AD18" s="36">
        <v>0.59858527735217337</v>
      </c>
      <c r="AE18" s="36">
        <v>0.14179521767329437</v>
      </c>
      <c r="AF18" s="36">
        <v>0.19194297717346323</v>
      </c>
      <c r="AG18" s="36">
        <v>0.33999822623188897</v>
      </c>
    </row>
    <row r="19" spans="4:33" x14ac:dyDescent="0.15">
      <c r="D19" s="36">
        <v>15</v>
      </c>
      <c r="E19" s="36">
        <v>0</v>
      </c>
      <c r="F19" s="36">
        <f t="shared" si="9"/>
        <v>253</v>
      </c>
      <c r="G19" s="98">
        <f t="shared" si="0"/>
        <v>48</v>
      </c>
      <c r="H19" s="36">
        <f t="shared" si="10"/>
        <v>769</v>
      </c>
      <c r="I19" s="98">
        <f t="shared" si="1"/>
        <v>27</v>
      </c>
      <c r="J19" s="36">
        <f t="shared" si="10"/>
        <v>449</v>
      </c>
      <c r="K19" s="98">
        <f t="shared" si="2"/>
        <v>32</v>
      </c>
      <c r="L19" s="36">
        <f t="shared" ref="L19" si="81">ROUNDUP(K19*15.23+$D19*2.5,0)</f>
        <v>525</v>
      </c>
      <c r="M19" s="98">
        <f t="shared" si="3"/>
        <v>103</v>
      </c>
      <c r="N19" s="36">
        <f t="shared" ref="N19" si="82">ROUNDUP(M19*15.23+$D19*2.5,0)</f>
        <v>1607</v>
      </c>
      <c r="O19" s="98">
        <f t="shared" si="4"/>
        <v>42</v>
      </c>
      <c r="P19" s="36">
        <f t="shared" ref="P19:R19" si="83">ROUNDUP(O19*15.23+$D19*2.5,0)</f>
        <v>678</v>
      </c>
      <c r="Q19" s="98">
        <f t="shared" si="5"/>
        <v>32</v>
      </c>
      <c r="R19" s="36">
        <f t="shared" si="83"/>
        <v>525</v>
      </c>
      <c r="S19" s="98">
        <f t="shared" si="6"/>
        <v>22</v>
      </c>
      <c r="T19" s="36">
        <f t="shared" ref="T19" si="84">ROUNDUP(S19*15.23+$D19*2.5,0)</f>
        <v>373</v>
      </c>
      <c r="U19" s="98">
        <f t="shared" si="7"/>
        <v>22</v>
      </c>
      <c r="V19" s="36">
        <f t="shared" ref="V19" si="85">ROUNDUP(U19*15.23+$D19*2.5,0)</f>
        <v>373</v>
      </c>
      <c r="Y19" s="36">
        <v>17</v>
      </c>
      <c r="Z19" s="36">
        <f t="shared" si="8"/>
        <v>0.3322840878446619</v>
      </c>
      <c r="AA19" s="36">
        <v>0.16912110541904468</v>
      </c>
      <c r="AB19" s="36">
        <v>0.70903392098887508</v>
      </c>
      <c r="AC19" s="36">
        <v>0.139601059364793</v>
      </c>
      <c r="AD19" s="36">
        <v>0.61456840084633568</v>
      </c>
      <c r="AE19" s="36">
        <v>0.1445314976064152</v>
      </c>
      <c r="AF19" s="36">
        <v>0.19461567019273218</v>
      </c>
      <c r="AG19" s="36">
        <v>0.35451696049443754</v>
      </c>
    </row>
    <row r="20" spans="4:33" x14ac:dyDescent="0.15">
      <c r="D20" s="36">
        <v>15</v>
      </c>
      <c r="E20" s="36">
        <v>1</v>
      </c>
      <c r="F20" s="36">
        <f t="shared" si="9"/>
        <v>386</v>
      </c>
      <c r="G20" s="98">
        <f t="shared" si="0"/>
        <v>73</v>
      </c>
      <c r="H20" s="36">
        <f t="shared" si="10"/>
        <v>1150</v>
      </c>
      <c r="I20" s="98">
        <f t="shared" si="1"/>
        <v>42</v>
      </c>
      <c r="J20" s="36">
        <f t="shared" si="10"/>
        <v>678</v>
      </c>
      <c r="K20" s="98">
        <f t="shared" si="2"/>
        <v>48</v>
      </c>
      <c r="L20" s="36">
        <f t="shared" ref="L20" si="86">ROUNDUP(K20*15.23+$D20*2.5,0)</f>
        <v>769</v>
      </c>
      <c r="M20" s="98">
        <f t="shared" si="3"/>
        <v>157</v>
      </c>
      <c r="N20" s="36">
        <f t="shared" ref="N20" si="87">ROUNDUP(M20*15.23+$D20*2.5,0)</f>
        <v>2429</v>
      </c>
      <c r="O20" s="98">
        <f t="shared" si="4"/>
        <v>64</v>
      </c>
      <c r="P20" s="36">
        <f t="shared" ref="P20:R20" si="88">ROUNDUP(O20*15.23+$D20*2.5,0)</f>
        <v>1013</v>
      </c>
      <c r="Q20" s="98">
        <f t="shared" si="5"/>
        <v>49</v>
      </c>
      <c r="R20" s="36">
        <f t="shared" si="88"/>
        <v>784</v>
      </c>
      <c r="S20" s="98">
        <f t="shared" si="6"/>
        <v>33</v>
      </c>
      <c r="T20" s="36">
        <f t="shared" ref="T20" si="89">ROUNDUP(S20*15.23+$D20*2.5,0)</f>
        <v>541</v>
      </c>
      <c r="U20" s="98">
        <f t="shared" si="7"/>
        <v>33</v>
      </c>
      <c r="V20" s="36">
        <f t="shared" ref="V20" si="90">ROUNDUP(U20*15.23+$D20*2.5,0)</f>
        <v>541</v>
      </c>
      <c r="Y20" s="36">
        <v>18</v>
      </c>
      <c r="Z20" s="36">
        <f t="shared" si="8"/>
        <v>0.34310667565767916</v>
      </c>
      <c r="AA20" s="36">
        <v>0.1742734115877356</v>
      </c>
      <c r="AB20" s="36">
        <v>0.73694014246263462</v>
      </c>
      <c r="AC20" s="36">
        <v>0.13977218758873</v>
      </c>
      <c r="AD20" s="36">
        <v>0.63072608124032026</v>
      </c>
      <c r="AE20" s="36">
        <v>0.14689244683752281</v>
      </c>
      <c r="AF20" s="36">
        <v>0.2046723886554935</v>
      </c>
      <c r="AG20" s="36">
        <v>0.36847007123131731</v>
      </c>
    </row>
    <row r="21" spans="4:33" x14ac:dyDescent="0.15">
      <c r="D21" s="36">
        <v>15</v>
      </c>
      <c r="E21" s="36">
        <v>2</v>
      </c>
      <c r="F21" s="36">
        <f t="shared" si="9"/>
        <v>669</v>
      </c>
      <c r="G21" s="98">
        <f t="shared" si="0"/>
        <v>125</v>
      </c>
      <c r="H21" s="36">
        <f t="shared" si="10"/>
        <v>1942</v>
      </c>
      <c r="I21" s="98">
        <f t="shared" si="1"/>
        <v>72</v>
      </c>
      <c r="J21" s="36">
        <f t="shared" si="10"/>
        <v>1135</v>
      </c>
      <c r="K21" s="98">
        <f t="shared" si="2"/>
        <v>83</v>
      </c>
      <c r="L21" s="36">
        <f t="shared" ref="L21" si="91">ROUNDUP(K21*15.23+$D21*2.5,0)</f>
        <v>1302</v>
      </c>
      <c r="M21" s="98">
        <f t="shared" si="3"/>
        <v>272</v>
      </c>
      <c r="N21" s="36">
        <f t="shared" ref="N21" si="92">ROUNDUP(M21*15.23+$D21*2.5,0)</f>
        <v>4181</v>
      </c>
      <c r="O21" s="98">
        <f t="shared" si="4"/>
        <v>111</v>
      </c>
      <c r="P21" s="36">
        <f t="shared" ref="P21:R21" si="93">ROUNDUP(O21*15.23+$D21*2.5,0)</f>
        <v>1729</v>
      </c>
      <c r="Q21" s="98">
        <f t="shared" si="5"/>
        <v>84</v>
      </c>
      <c r="R21" s="36">
        <f t="shared" si="93"/>
        <v>1317</v>
      </c>
      <c r="S21" s="98">
        <f t="shared" si="6"/>
        <v>56</v>
      </c>
      <c r="T21" s="36">
        <f t="shared" ref="T21" si="94">ROUNDUP(S21*15.23+$D21*2.5,0)</f>
        <v>891</v>
      </c>
      <c r="U21" s="98">
        <f t="shared" si="7"/>
        <v>56</v>
      </c>
      <c r="V21" s="36">
        <f t="shared" ref="V21" si="95">ROUNDUP(U21*15.23+$D21*2.5,0)</f>
        <v>891</v>
      </c>
      <c r="Y21" s="36">
        <v>19</v>
      </c>
      <c r="Z21" s="36">
        <f t="shared" si="8"/>
        <v>0.35369610685045333</v>
      </c>
      <c r="AA21" s="36">
        <v>0.18130286091511405</v>
      </c>
      <c r="AB21" s="36">
        <v>0.76607388287515821</v>
      </c>
      <c r="AC21" s="36">
        <v>0.139943315812667</v>
      </c>
      <c r="AD21" s="36">
        <v>0.64502237975466514</v>
      </c>
      <c r="AE21" s="36">
        <v>0.15063355946908547</v>
      </c>
      <c r="AF21" s="36">
        <v>0.20985980768890439</v>
      </c>
      <c r="AG21" s="36">
        <v>0.3830369414375791</v>
      </c>
    </row>
    <row r="22" spans="4:33" x14ac:dyDescent="0.15">
      <c r="D22" s="36">
        <v>15</v>
      </c>
      <c r="E22" s="36">
        <v>3</v>
      </c>
      <c r="F22" s="36">
        <f t="shared" si="9"/>
        <v>1136</v>
      </c>
      <c r="G22" s="98">
        <f t="shared" si="0"/>
        <v>213</v>
      </c>
      <c r="H22" s="36">
        <f t="shared" si="10"/>
        <v>3282</v>
      </c>
      <c r="I22" s="98">
        <f t="shared" si="1"/>
        <v>122</v>
      </c>
      <c r="J22" s="36">
        <f t="shared" si="10"/>
        <v>1896</v>
      </c>
      <c r="K22" s="98">
        <f t="shared" si="2"/>
        <v>140</v>
      </c>
      <c r="L22" s="36">
        <f t="shared" ref="L22" si="96">ROUNDUP(K22*15.23+$D22*2.5,0)</f>
        <v>2170</v>
      </c>
      <c r="M22" s="98">
        <f t="shared" si="3"/>
        <v>462</v>
      </c>
      <c r="N22" s="36">
        <f t="shared" ref="N22" si="97">ROUNDUP(M22*15.23+$D22*2.5,0)</f>
        <v>7074</v>
      </c>
      <c r="O22" s="98">
        <f t="shared" si="4"/>
        <v>188</v>
      </c>
      <c r="P22" s="36">
        <f t="shared" ref="P22:R22" si="98">ROUNDUP(O22*15.23+$D22*2.5,0)</f>
        <v>2901</v>
      </c>
      <c r="Q22" s="98">
        <f t="shared" si="5"/>
        <v>142</v>
      </c>
      <c r="R22" s="36">
        <f t="shared" si="98"/>
        <v>2201</v>
      </c>
      <c r="S22" s="98">
        <f t="shared" si="6"/>
        <v>95</v>
      </c>
      <c r="T22" s="36">
        <f t="shared" ref="T22" si="99">ROUNDUP(S22*15.23+$D22*2.5,0)</f>
        <v>1485</v>
      </c>
      <c r="U22" s="98">
        <f t="shared" si="7"/>
        <v>95</v>
      </c>
      <c r="V22" s="36">
        <f t="shared" ref="V22" si="100">ROUNDUP(U22*15.23+$D22*2.5,0)</f>
        <v>1485</v>
      </c>
      <c r="Y22" s="36">
        <v>20</v>
      </c>
      <c r="Z22" s="36">
        <f t="shared" si="8"/>
        <v>0.36396135553062059</v>
      </c>
      <c r="AA22" s="36">
        <v>0.18651769432328252</v>
      </c>
      <c r="AB22" s="36">
        <v>0.79458694055641166</v>
      </c>
      <c r="AC22" s="36">
        <v>0.140114444036605</v>
      </c>
      <c r="AD22" s="36">
        <v>0.65899660992634257</v>
      </c>
      <c r="AE22" s="36">
        <v>0.1528561209306481</v>
      </c>
      <c r="AF22" s="36">
        <v>0.21736420866284825</v>
      </c>
      <c r="AG22" s="36">
        <v>0.39729347027820583</v>
      </c>
    </row>
    <row r="23" spans="4:33" x14ac:dyDescent="0.15">
      <c r="D23" s="36">
        <v>15</v>
      </c>
      <c r="E23" s="36">
        <v>4</v>
      </c>
      <c r="F23" s="36">
        <f t="shared" si="9"/>
        <v>1817</v>
      </c>
      <c r="G23" s="98">
        <f t="shared" si="0"/>
        <v>340</v>
      </c>
      <c r="H23" s="36">
        <f t="shared" si="10"/>
        <v>5216</v>
      </c>
      <c r="I23" s="98">
        <f t="shared" si="1"/>
        <v>194</v>
      </c>
      <c r="J23" s="36">
        <f t="shared" si="10"/>
        <v>2993</v>
      </c>
      <c r="K23" s="98">
        <f t="shared" si="2"/>
        <v>224</v>
      </c>
      <c r="L23" s="36">
        <f t="shared" ref="L23" si="101">ROUNDUP(K23*15.23+$D23*2.5,0)</f>
        <v>3450</v>
      </c>
      <c r="M23" s="98">
        <f t="shared" si="3"/>
        <v>739</v>
      </c>
      <c r="N23" s="36">
        <f t="shared" ref="N23" si="102">ROUNDUP(M23*15.23+$D23*2.5,0)</f>
        <v>11293</v>
      </c>
      <c r="O23" s="98">
        <f t="shared" si="4"/>
        <v>301</v>
      </c>
      <c r="P23" s="36">
        <f t="shared" ref="P23:R23" si="103">ROUNDUP(O23*15.23+$D23*2.5,0)</f>
        <v>4622</v>
      </c>
      <c r="Q23" s="98">
        <f t="shared" si="5"/>
        <v>227</v>
      </c>
      <c r="R23" s="36">
        <f t="shared" si="103"/>
        <v>3495</v>
      </c>
      <c r="S23" s="98">
        <f t="shared" si="6"/>
        <v>152</v>
      </c>
      <c r="T23" s="36">
        <f t="shared" ref="T23" si="104">ROUNDUP(S23*15.23+$D23*2.5,0)</f>
        <v>2353</v>
      </c>
      <c r="U23" s="98">
        <f t="shared" si="7"/>
        <v>152</v>
      </c>
      <c r="V23" s="36">
        <f t="shared" ref="V23" si="105">ROUNDUP(U23*15.23+$D23*2.5,0)</f>
        <v>2353</v>
      </c>
      <c r="Y23" s="36">
        <v>21</v>
      </c>
      <c r="Z23" s="36">
        <f t="shared" si="8"/>
        <v>0.37467258921410845</v>
      </c>
      <c r="AA23" s="36">
        <v>0.19245722804404491</v>
      </c>
      <c r="AB23" s="36">
        <v>0.823864253189179</v>
      </c>
      <c r="AC23" s="36">
        <v>0.140285572260542</v>
      </c>
      <c r="AD23" s="36">
        <v>0.67159301414507777</v>
      </c>
      <c r="AE23" s="36">
        <v>0.15516797077148384</v>
      </c>
      <c r="AF23" s="36">
        <v>0.22740795949384179</v>
      </c>
      <c r="AG23" s="36">
        <v>0.4119321265945895</v>
      </c>
    </row>
    <row r="24" spans="4:33" x14ac:dyDescent="0.15">
      <c r="D24" s="36">
        <v>20</v>
      </c>
      <c r="E24" s="36">
        <v>0</v>
      </c>
      <c r="F24" s="36">
        <f t="shared" si="9"/>
        <v>273</v>
      </c>
      <c r="G24" s="98">
        <f t="shared" si="0"/>
        <v>60</v>
      </c>
      <c r="H24" s="36">
        <f t="shared" si="10"/>
        <v>964</v>
      </c>
      <c r="I24" s="98">
        <f t="shared" si="1"/>
        <v>36</v>
      </c>
      <c r="J24" s="36">
        <f t="shared" si="10"/>
        <v>599</v>
      </c>
      <c r="K24" s="98">
        <f t="shared" si="2"/>
        <v>41</v>
      </c>
      <c r="L24" s="36">
        <f t="shared" ref="L24" si="106">ROUNDUP(K24*15.23+$D24*2.5,0)</f>
        <v>675</v>
      </c>
      <c r="M24" s="98">
        <f t="shared" si="3"/>
        <v>128</v>
      </c>
      <c r="N24" s="36">
        <f t="shared" ref="N24" si="107">ROUNDUP(M24*15.23+$D24*2.5,0)</f>
        <v>2000</v>
      </c>
      <c r="O24" s="98">
        <f t="shared" si="4"/>
        <v>55</v>
      </c>
      <c r="P24" s="36">
        <f t="shared" ref="P24:R24" si="108">ROUNDUP(O24*15.23+$D24*2.5,0)</f>
        <v>888</v>
      </c>
      <c r="Q24" s="98">
        <f t="shared" si="5"/>
        <v>41</v>
      </c>
      <c r="R24" s="36">
        <f t="shared" si="108"/>
        <v>675</v>
      </c>
      <c r="S24" s="98">
        <f t="shared" si="6"/>
        <v>26</v>
      </c>
      <c r="T24" s="36">
        <f t="shared" ref="T24" si="109">ROUNDUP(S24*15.23+$D24*2.5,0)</f>
        <v>446</v>
      </c>
      <c r="U24" s="98">
        <f t="shared" si="7"/>
        <v>23</v>
      </c>
      <c r="V24" s="36">
        <f t="shared" ref="V24" si="110">ROUNDUP(U24*15.23+$D24*2.5,0)</f>
        <v>401</v>
      </c>
      <c r="Y24" s="36">
        <v>22</v>
      </c>
      <c r="Z24" s="36">
        <f t="shared" si="8"/>
        <v>0.38485860435189989</v>
      </c>
      <c r="AA24" s="36">
        <v>0.19906533143937788</v>
      </c>
      <c r="AB24" s="36">
        <v>0.85418536951753643</v>
      </c>
      <c r="AC24" s="36">
        <v>0.140456700484479</v>
      </c>
      <c r="AD24" s="36">
        <v>0.6828051187324079</v>
      </c>
      <c r="AE24" s="36">
        <v>0.1575431221907222</v>
      </c>
      <c r="AF24" s="36">
        <v>0.23286190334000689</v>
      </c>
      <c r="AG24" s="36">
        <v>0.42709268475876822</v>
      </c>
    </row>
    <row r="25" spans="4:33" x14ac:dyDescent="0.15">
      <c r="D25" s="36">
        <v>20</v>
      </c>
      <c r="E25" s="36">
        <v>1</v>
      </c>
      <c r="F25" s="36">
        <f t="shared" si="9"/>
        <v>450</v>
      </c>
      <c r="G25" s="98">
        <f t="shared" si="0"/>
        <v>99</v>
      </c>
      <c r="H25" s="36">
        <f t="shared" si="10"/>
        <v>1558</v>
      </c>
      <c r="I25" s="98">
        <f t="shared" si="1"/>
        <v>59</v>
      </c>
      <c r="J25" s="36">
        <f t="shared" si="10"/>
        <v>949</v>
      </c>
      <c r="K25" s="98">
        <f t="shared" si="2"/>
        <v>68</v>
      </c>
      <c r="L25" s="36">
        <f t="shared" ref="L25" si="111">ROUNDUP(K25*15.23+$D25*2.5,0)</f>
        <v>1086</v>
      </c>
      <c r="M25" s="98">
        <f t="shared" si="3"/>
        <v>211</v>
      </c>
      <c r="N25" s="36">
        <f t="shared" ref="N25" si="112">ROUNDUP(M25*15.23+$D25*2.5,0)</f>
        <v>3264</v>
      </c>
      <c r="O25" s="98">
        <f t="shared" si="4"/>
        <v>91</v>
      </c>
      <c r="P25" s="36">
        <f t="shared" ref="P25:R25" si="113">ROUNDUP(O25*15.23+$D25*2.5,0)</f>
        <v>1436</v>
      </c>
      <c r="Q25" s="98">
        <f t="shared" si="5"/>
        <v>67</v>
      </c>
      <c r="R25" s="36">
        <f t="shared" si="113"/>
        <v>1071</v>
      </c>
      <c r="S25" s="98">
        <f t="shared" si="6"/>
        <v>42</v>
      </c>
      <c r="T25" s="36">
        <f t="shared" ref="T25" si="114">ROUNDUP(S25*15.23+$D25*2.5,0)</f>
        <v>690</v>
      </c>
      <c r="U25" s="98">
        <f t="shared" si="7"/>
        <v>38</v>
      </c>
      <c r="V25" s="36">
        <f t="shared" ref="V25" si="115">ROUNDUP(U25*15.23+$D25*2.5,0)</f>
        <v>629</v>
      </c>
      <c r="Y25" s="36">
        <v>23</v>
      </c>
      <c r="Z25" s="36">
        <f t="shared" si="8"/>
        <v>0.39511069094786461</v>
      </c>
      <c r="AA25" s="36">
        <v>0.20449186123961785</v>
      </c>
      <c r="AB25" s="36">
        <v>0.88411588478467873</v>
      </c>
      <c r="AC25" s="36">
        <v>0.140627828708416</v>
      </c>
      <c r="AD25" s="36">
        <v>0.69371207093213827</v>
      </c>
      <c r="AE25" s="36">
        <v>0.16027376708807733</v>
      </c>
      <c r="AF25" s="36">
        <v>0.24049548148978483</v>
      </c>
      <c r="AG25" s="36">
        <v>0.44205794239233936</v>
      </c>
    </row>
    <row r="26" spans="4:33" x14ac:dyDescent="0.15">
      <c r="D26" s="36">
        <v>20</v>
      </c>
      <c r="E26" s="36">
        <v>2</v>
      </c>
      <c r="F26" s="36">
        <f t="shared" si="9"/>
        <v>827</v>
      </c>
      <c r="G26" s="98">
        <f t="shared" si="0"/>
        <v>181</v>
      </c>
      <c r="H26" s="36">
        <f t="shared" si="10"/>
        <v>2807</v>
      </c>
      <c r="I26" s="98">
        <f t="shared" si="1"/>
        <v>107</v>
      </c>
      <c r="J26" s="36">
        <f t="shared" si="10"/>
        <v>1680</v>
      </c>
      <c r="K26" s="98">
        <f t="shared" si="2"/>
        <v>124</v>
      </c>
      <c r="L26" s="36">
        <f t="shared" ref="L26" si="116">ROUNDUP(K26*15.23+$D26*2.5,0)</f>
        <v>1939</v>
      </c>
      <c r="M26" s="98">
        <f t="shared" si="3"/>
        <v>387</v>
      </c>
      <c r="N26" s="36">
        <f t="shared" ref="N26" si="117">ROUNDUP(M26*15.23+$D26*2.5,0)</f>
        <v>5945</v>
      </c>
      <c r="O26" s="98">
        <f t="shared" si="4"/>
        <v>166</v>
      </c>
      <c r="P26" s="36">
        <f t="shared" ref="P26:R26" si="118">ROUNDUP(O26*15.23+$D26*2.5,0)</f>
        <v>2579</v>
      </c>
      <c r="Q26" s="98">
        <f t="shared" si="5"/>
        <v>122</v>
      </c>
      <c r="R26" s="36">
        <f t="shared" si="118"/>
        <v>1909</v>
      </c>
      <c r="S26" s="98">
        <f t="shared" si="6"/>
        <v>76</v>
      </c>
      <c r="T26" s="36">
        <f t="shared" ref="T26" si="119">ROUNDUP(S26*15.23+$D26*2.5,0)</f>
        <v>1208</v>
      </c>
      <c r="U26" s="98">
        <f t="shared" si="7"/>
        <v>70</v>
      </c>
      <c r="V26" s="36">
        <f t="shared" ref="V26" si="120">ROUNDUP(U26*15.23+$D26*2.5,0)</f>
        <v>1117</v>
      </c>
      <c r="Y26" s="36">
        <v>24</v>
      </c>
      <c r="Z26" s="36">
        <f t="shared" si="8"/>
        <v>0.40495969650983571</v>
      </c>
      <c r="AA26" s="36">
        <v>0.21081881613346234</v>
      </c>
      <c r="AB26" s="36">
        <v>0.9137335692040951</v>
      </c>
      <c r="AC26" s="36">
        <v>0.140798956932354</v>
      </c>
      <c r="AD26" s="36">
        <v>0.70447847073231251</v>
      </c>
      <c r="AE26" s="36">
        <v>0.162310939171977</v>
      </c>
      <c r="AF26" s="36">
        <v>0.24571033879260126</v>
      </c>
      <c r="AG26" s="36">
        <v>0.45686678460204755</v>
      </c>
    </row>
    <row r="27" spans="4:33" x14ac:dyDescent="0.15">
      <c r="D27" s="36">
        <v>20</v>
      </c>
      <c r="E27" s="36">
        <v>3</v>
      </c>
      <c r="F27" s="36">
        <f t="shared" si="9"/>
        <v>1451</v>
      </c>
      <c r="G27" s="98">
        <f t="shared" si="0"/>
        <v>317</v>
      </c>
      <c r="H27" s="36">
        <f t="shared" si="10"/>
        <v>4878</v>
      </c>
      <c r="I27" s="98">
        <f t="shared" si="1"/>
        <v>188</v>
      </c>
      <c r="J27" s="36">
        <f t="shared" si="10"/>
        <v>2914</v>
      </c>
      <c r="K27" s="98">
        <f t="shared" si="2"/>
        <v>217</v>
      </c>
      <c r="L27" s="36">
        <f t="shared" ref="L27" si="121">ROUNDUP(K27*15.23+$D27*2.5,0)</f>
        <v>3355</v>
      </c>
      <c r="M27" s="98">
        <f t="shared" si="3"/>
        <v>678</v>
      </c>
      <c r="N27" s="36">
        <f t="shared" ref="N27" si="122">ROUNDUP(M27*15.23+$D27*2.5,0)</f>
        <v>10376</v>
      </c>
      <c r="O27" s="98">
        <f t="shared" si="4"/>
        <v>291</v>
      </c>
      <c r="P27" s="36">
        <f t="shared" ref="P27:R27" si="123">ROUNDUP(O27*15.23+$D27*2.5,0)</f>
        <v>4482</v>
      </c>
      <c r="Q27" s="98">
        <f t="shared" si="5"/>
        <v>214</v>
      </c>
      <c r="R27" s="36">
        <f t="shared" si="123"/>
        <v>3310</v>
      </c>
      <c r="S27" s="98">
        <f t="shared" si="6"/>
        <v>134</v>
      </c>
      <c r="T27" s="36">
        <f t="shared" ref="T27" si="124">ROUNDUP(S27*15.23+$D27*2.5,0)</f>
        <v>2091</v>
      </c>
      <c r="U27" s="98">
        <f t="shared" si="7"/>
        <v>122</v>
      </c>
      <c r="V27" s="36">
        <f t="shared" ref="V27" si="125">ROUNDUP(U27*15.23+$D27*2.5,0)</f>
        <v>1909</v>
      </c>
      <c r="Y27" s="36">
        <v>25</v>
      </c>
      <c r="Z27" s="36">
        <f t="shared" si="8"/>
        <v>0.41545527655670489</v>
      </c>
      <c r="AA27" s="36">
        <v>0.21677656932788653</v>
      </c>
      <c r="AB27" s="36">
        <v>0.94418252671679326</v>
      </c>
      <c r="AC27" s="36">
        <v>0.140970085156291</v>
      </c>
      <c r="AD27" s="36">
        <v>0.71417636121231576</v>
      </c>
      <c r="AE27" s="36">
        <v>0.16440809269979556</v>
      </c>
      <c r="AF27" s="36">
        <v>0.25558203742545565</v>
      </c>
      <c r="AG27" s="36">
        <v>0.47209126335839663</v>
      </c>
    </row>
    <row r="28" spans="4:33" x14ac:dyDescent="0.15">
      <c r="D28" s="36">
        <v>20</v>
      </c>
      <c r="E28" s="36">
        <v>4</v>
      </c>
      <c r="F28" s="36">
        <f t="shared" si="9"/>
        <v>2359</v>
      </c>
      <c r="G28" s="98">
        <f t="shared" si="0"/>
        <v>516</v>
      </c>
      <c r="H28" s="36">
        <f t="shared" si="10"/>
        <v>7909</v>
      </c>
      <c r="I28" s="98">
        <f t="shared" si="1"/>
        <v>305</v>
      </c>
      <c r="J28" s="36">
        <f t="shared" si="10"/>
        <v>4696</v>
      </c>
      <c r="K28" s="98">
        <f t="shared" si="2"/>
        <v>352</v>
      </c>
      <c r="L28" s="36">
        <f t="shared" ref="L28" si="126">ROUNDUP(K28*15.23+$D28*2.5,0)</f>
        <v>5411</v>
      </c>
      <c r="M28" s="98">
        <f t="shared" si="3"/>
        <v>1102</v>
      </c>
      <c r="N28" s="36">
        <f t="shared" ref="N28" si="127">ROUNDUP(M28*15.23+$D28*2.5,0)</f>
        <v>16834</v>
      </c>
      <c r="O28" s="98">
        <f t="shared" si="4"/>
        <v>473</v>
      </c>
      <c r="P28" s="36">
        <f t="shared" ref="P28:R28" si="128">ROUNDUP(O28*15.23+$D28*2.5,0)</f>
        <v>7254</v>
      </c>
      <c r="Q28" s="98">
        <f t="shared" si="5"/>
        <v>348</v>
      </c>
      <c r="R28" s="36">
        <f t="shared" si="128"/>
        <v>5351</v>
      </c>
      <c r="S28" s="98">
        <f t="shared" si="6"/>
        <v>217</v>
      </c>
      <c r="T28" s="36">
        <f t="shared" ref="T28" si="129">ROUNDUP(S28*15.23+$D28*2.5,0)</f>
        <v>3355</v>
      </c>
      <c r="U28" s="98">
        <f t="shared" si="7"/>
        <v>199</v>
      </c>
      <c r="V28" s="36">
        <f t="shared" ref="V28" si="130">ROUNDUP(U28*15.23+$D28*2.5,0)</f>
        <v>3081</v>
      </c>
      <c r="Y28" s="36">
        <v>26</v>
      </c>
      <c r="Z28" s="36">
        <f t="shared" si="8"/>
        <v>0.42500752650419982</v>
      </c>
      <c r="AA28" s="36">
        <v>0.22262200790198272</v>
      </c>
      <c r="AB28" s="36">
        <v>0.97436014783508329</v>
      </c>
      <c r="AC28" s="36">
        <v>0.141141213380228</v>
      </c>
      <c r="AD28" s="36">
        <v>0.72379095650743441</v>
      </c>
      <c r="AE28" s="36">
        <v>0.16729172345392715</v>
      </c>
      <c r="AF28" s="36">
        <v>0.2586665625332018</v>
      </c>
      <c r="AG28" s="36">
        <v>0.48718007391754165</v>
      </c>
    </row>
    <row r="29" spans="4:33" x14ac:dyDescent="0.15">
      <c r="D29" s="36">
        <v>25</v>
      </c>
      <c r="E29" s="36">
        <v>0</v>
      </c>
      <c r="F29" s="36">
        <f t="shared" si="9"/>
        <v>294</v>
      </c>
      <c r="G29" s="98">
        <f t="shared" si="0"/>
        <v>74</v>
      </c>
      <c r="H29" s="36">
        <f t="shared" si="10"/>
        <v>1190</v>
      </c>
      <c r="I29" s="98">
        <f t="shared" si="1"/>
        <v>45</v>
      </c>
      <c r="J29" s="36">
        <f t="shared" si="10"/>
        <v>748</v>
      </c>
      <c r="K29" s="98">
        <f t="shared" si="2"/>
        <v>52</v>
      </c>
      <c r="L29" s="36">
        <f t="shared" ref="L29" si="131">ROUNDUP(K29*15.23+$D29*2.5,0)</f>
        <v>855</v>
      </c>
      <c r="M29" s="98">
        <f t="shared" si="3"/>
        <v>151</v>
      </c>
      <c r="N29" s="36">
        <f t="shared" ref="N29" si="132">ROUNDUP(M29*15.23+$D29*2.5,0)</f>
        <v>2363</v>
      </c>
      <c r="O29" s="98">
        <f t="shared" si="4"/>
        <v>70</v>
      </c>
      <c r="P29" s="36">
        <f t="shared" ref="P29:R29" si="133">ROUNDUP(O29*15.23+$D29*2.5,0)</f>
        <v>1129</v>
      </c>
      <c r="Q29" s="98">
        <f t="shared" si="5"/>
        <v>51</v>
      </c>
      <c r="R29" s="36">
        <f t="shared" si="133"/>
        <v>840</v>
      </c>
      <c r="S29" s="98">
        <f t="shared" si="6"/>
        <v>30</v>
      </c>
      <c r="T29" s="36">
        <f t="shared" ref="T29" si="134">ROUNDUP(S29*15.23+$D29*2.5,0)</f>
        <v>520</v>
      </c>
      <c r="U29" s="98">
        <f t="shared" si="7"/>
        <v>25</v>
      </c>
      <c r="V29" s="36">
        <f t="shared" ref="V29" si="135">ROUNDUP(U29*15.23+$D29*2.5,0)</f>
        <v>444</v>
      </c>
      <c r="Y29" s="36">
        <v>27</v>
      </c>
      <c r="Z29" s="36">
        <f t="shared" si="8"/>
        <v>0.4351125784819328</v>
      </c>
      <c r="AA29" s="36">
        <v>0.22859616974758135</v>
      </c>
      <c r="AB29" s="36">
        <v>1.0053206352587207</v>
      </c>
      <c r="AC29" s="36">
        <v>0.141312341604165</v>
      </c>
      <c r="AD29" s="36">
        <v>0.7323032233243344</v>
      </c>
      <c r="AE29" s="36">
        <v>0.16926878587244601</v>
      </c>
      <c r="AF29" s="36">
        <v>0.26632657593692205</v>
      </c>
      <c r="AG29" s="36">
        <v>0.50266031762936036</v>
      </c>
    </row>
    <row r="30" spans="4:33" x14ac:dyDescent="0.15">
      <c r="D30" s="36">
        <v>25</v>
      </c>
      <c r="E30" s="36">
        <v>1</v>
      </c>
      <c r="F30" s="36">
        <f t="shared" si="9"/>
        <v>515</v>
      </c>
      <c r="G30" s="98">
        <f t="shared" si="0"/>
        <v>129</v>
      </c>
      <c r="H30" s="36">
        <f t="shared" si="10"/>
        <v>2028</v>
      </c>
      <c r="I30" s="98">
        <f t="shared" si="1"/>
        <v>79</v>
      </c>
      <c r="J30" s="36">
        <f t="shared" si="10"/>
        <v>1266</v>
      </c>
      <c r="K30" s="98">
        <f t="shared" si="2"/>
        <v>92</v>
      </c>
      <c r="L30" s="36">
        <f t="shared" ref="L30" si="136">ROUNDUP(K30*15.23+$D30*2.5,0)</f>
        <v>1464</v>
      </c>
      <c r="M30" s="98">
        <f t="shared" si="3"/>
        <v>265</v>
      </c>
      <c r="N30" s="36">
        <f t="shared" ref="N30" si="137">ROUNDUP(M30*15.23+$D30*2.5,0)</f>
        <v>4099</v>
      </c>
      <c r="O30" s="98">
        <f t="shared" si="4"/>
        <v>123</v>
      </c>
      <c r="P30" s="36">
        <f t="shared" ref="P30:R30" si="138">ROUNDUP(O30*15.23+$D30*2.5,0)</f>
        <v>1936</v>
      </c>
      <c r="Q30" s="98">
        <f t="shared" si="5"/>
        <v>90</v>
      </c>
      <c r="R30" s="36">
        <f t="shared" si="138"/>
        <v>1434</v>
      </c>
      <c r="S30" s="98">
        <f t="shared" si="6"/>
        <v>51</v>
      </c>
      <c r="T30" s="36">
        <f t="shared" ref="T30" si="139">ROUNDUP(S30*15.23+$D30*2.5,0)</f>
        <v>840</v>
      </c>
      <c r="U30" s="98">
        <f t="shared" si="7"/>
        <v>44</v>
      </c>
      <c r="V30" s="36">
        <f t="shared" ref="V30" si="140">ROUNDUP(U30*15.23+$D30*2.5,0)</f>
        <v>733</v>
      </c>
      <c r="Y30" s="36">
        <v>28</v>
      </c>
      <c r="Z30" s="36">
        <f t="shared" si="8"/>
        <v>0.44557539668767238</v>
      </c>
      <c r="AA30" s="36">
        <v>0.23457530304658708</v>
      </c>
      <c r="AB30" s="36">
        <v>1.0365263626283086</v>
      </c>
      <c r="AC30" s="36">
        <v>0.14148346982810273</v>
      </c>
      <c r="AD30" s="36">
        <v>0.74043455573596961</v>
      </c>
      <c r="AE30" s="36">
        <v>0.17162857586251068</v>
      </c>
      <c r="AF30" s="36">
        <v>0.27611632839807354</v>
      </c>
      <c r="AG30" s="36">
        <v>0.51826318131415428</v>
      </c>
    </row>
    <row r="31" spans="4:33" x14ac:dyDescent="0.15">
      <c r="D31" s="36">
        <v>25</v>
      </c>
      <c r="E31" s="36">
        <v>2</v>
      </c>
      <c r="F31" s="36">
        <f t="shared" si="9"/>
        <v>987</v>
      </c>
      <c r="G31" s="98">
        <f t="shared" si="0"/>
        <v>247</v>
      </c>
      <c r="H31" s="36">
        <f t="shared" si="10"/>
        <v>3825</v>
      </c>
      <c r="I31" s="98">
        <f t="shared" si="1"/>
        <v>151</v>
      </c>
      <c r="J31" s="36">
        <f t="shared" si="10"/>
        <v>2363</v>
      </c>
      <c r="K31" s="98">
        <f t="shared" si="2"/>
        <v>175</v>
      </c>
      <c r="L31" s="36">
        <f t="shared" ref="L31" si="141">ROUNDUP(K31*15.23+$D31*2.5,0)</f>
        <v>2728</v>
      </c>
      <c r="M31" s="98">
        <f t="shared" si="3"/>
        <v>507</v>
      </c>
      <c r="N31" s="36">
        <f t="shared" ref="N31" si="142">ROUNDUP(M31*15.23+$D31*2.5,0)</f>
        <v>7785</v>
      </c>
      <c r="O31" s="98">
        <f t="shared" si="4"/>
        <v>235</v>
      </c>
      <c r="P31" s="36">
        <f t="shared" ref="P31:R31" si="143">ROUNDUP(O31*15.23+$D31*2.5,0)</f>
        <v>3642</v>
      </c>
      <c r="Q31" s="98">
        <f t="shared" si="5"/>
        <v>171</v>
      </c>
      <c r="R31" s="36">
        <f t="shared" si="143"/>
        <v>2667</v>
      </c>
      <c r="S31" s="98">
        <f t="shared" si="6"/>
        <v>98</v>
      </c>
      <c r="T31" s="36">
        <f t="shared" ref="T31" si="144">ROUNDUP(S31*15.23+$D31*2.5,0)</f>
        <v>1556</v>
      </c>
      <c r="U31" s="98">
        <f t="shared" si="7"/>
        <v>84</v>
      </c>
      <c r="V31" s="36">
        <f t="shared" ref="V31" si="145">ROUNDUP(U31*15.23+$D31*2.5,0)</f>
        <v>1342</v>
      </c>
      <c r="Y31" s="36">
        <v>29</v>
      </c>
      <c r="Z31" s="36">
        <f t="shared" si="8"/>
        <v>0.45532127651185855</v>
      </c>
      <c r="AA31" s="36">
        <v>0.24103174545732478</v>
      </c>
      <c r="AB31" s="36">
        <v>1.0678122253038744</v>
      </c>
      <c r="AC31" s="36">
        <v>0.14165459805204</v>
      </c>
      <c r="AD31" s="36">
        <v>0.74812972849247017</v>
      </c>
      <c r="AE31" s="36">
        <v>0.17309854467927122</v>
      </c>
      <c r="AF31" s="36">
        <v>0.28161598094609258</v>
      </c>
      <c r="AG31" s="36">
        <v>0.53390611265193721</v>
      </c>
    </row>
    <row r="32" spans="4:33" x14ac:dyDescent="0.15">
      <c r="D32" s="36">
        <v>25</v>
      </c>
      <c r="E32" s="36">
        <v>3</v>
      </c>
      <c r="F32" s="36">
        <f t="shared" si="9"/>
        <v>1766</v>
      </c>
      <c r="G32" s="98">
        <f t="shared" si="0"/>
        <v>441</v>
      </c>
      <c r="H32" s="36">
        <f t="shared" si="10"/>
        <v>6779</v>
      </c>
      <c r="I32" s="98">
        <f t="shared" si="1"/>
        <v>270</v>
      </c>
      <c r="J32" s="36">
        <f t="shared" si="10"/>
        <v>4175</v>
      </c>
      <c r="K32" s="98">
        <f t="shared" si="2"/>
        <v>313</v>
      </c>
      <c r="L32" s="36">
        <f t="shared" ref="L32" si="146">ROUNDUP(K32*15.23+$D32*2.5,0)</f>
        <v>4830</v>
      </c>
      <c r="M32" s="98">
        <f t="shared" si="3"/>
        <v>907</v>
      </c>
      <c r="N32" s="36">
        <f t="shared" ref="N32" si="147">ROUNDUP(M32*15.23+$D32*2.5,0)</f>
        <v>13877</v>
      </c>
      <c r="O32" s="98">
        <f t="shared" si="4"/>
        <v>420</v>
      </c>
      <c r="P32" s="36">
        <f t="shared" ref="P32:R32" si="148">ROUNDUP(O32*15.23+$D32*2.5,0)</f>
        <v>6460</v>
      </c>
      <c r="Q32" s="98">
        <f t="shared" si="5"/>
        <v>306</v>
      </c>
      <c r="R32" s="36">
        <f t="shared" si="148"/>
        <v>4723</v>
      </c>
      <c r="S32" s="98">
        <f t="shared" si="6"/>
        <v>175</v>
      </c>
      <c r="T32" s="36">
        <f t="shared" ref="T32" si="149">ROUNDUP(S32*15.23+$D32*2.5,0)</f>
        <v>2728</v>
      </c>
      <c r="U32" s="98">
        <f t="shared" si="7"/>
        <v>150</v>
      </c>
      <c r="V32" s="36">
        <f t="shared" ref="V32" si="150">ROUNDUP(U32*15.23+$D32*2.5,0)</f>
        <v>2347</v>
      </c>
      <c r="Y32" s="36">
        <v>30</v>
      </c>
      <c r="Z32" s="36">
        <f t="shared" si="8"/>
        <v>0.46538424154429453</v>
      </c>
      <c r="AA32" s="36">
        <v>0.24691392325652894</v>
      </c>
      <c r="AB32" s="36">
        <v>1.0990590921725811</v>
      </c>
      <c r="AC32" s="36">
        <v>0.14205043247122756</v>
      </c>
      <c r="AD32" s="36">
        <v>0.75573139479691775</v>
      </c>
      <c r="AE32" s="36">
        <v>0.17527585237734325</v>
      </c>
      <c r="AF32" s="36">
        <v>0.28912944964917248</v>
      </c>
      <c r="AG32" s="36">
        <v>0.54952954608629057</v>
      </c>
    </row>
    <row r="33" spans="4:33" x14ac:dyDescent="0.15">
      <c r="D33" s="36">
        <v>25</v>
      </c>
      <c r="E33" s="36">
        <v>4</v>
      </c>
      <c r="F33" s="36">
        <f t="shared" si="9"/>
        <v>2901</v>
      </c>
      <c r="G33" s="98">
        <f t="shared" si="0"/>
        <v>724</v>
      </c>
      <c r="H33" s="36">
        <f t="shared" si="10"/>
        <v>11090</v>
      </c>
      <c r="I33" s="98">
        <f t="shared" si="1"/>
        <v>442</v>
      </c>
      <c r="J33" s="36">
        <f t="shared" si="10"/>
        <v>6795</v>
      </c>
      <c r="K33" s="98">
        <f t="shared" si="2"/>
        <v>513</v>
      </c>
      <c r="L33" s="36">
        <f t="shared" ref="L33" si="151">ROUNDUP(K33*15.23+$D33*2.5,0)</f>
        <v>7876</v>
      </c>
      <c r="M33" s="98">
        <f t="shared" si="3"/>
        <v>1490</v>
      </c>
      <c r="N33" s="36">
        <f t="shared" ref="N33" si="152">ROUNDUP(M33*15.23+$D33*2.5,0)</f>
        <v>22756</v>
      </c>
      <c r="O33" s="98">
        <f t="shared" si="4"/>
        <v>689</v>
      </c>
      <c r="P33" s="36">
        <f t="shared" ref="P33:R33" si="153">ROUNDUP(O33*15.23+$D33*2.5,0)</f>
        <v>10556</v>
      </c>
      <c r="Q33" s="98">
        <f t="shared" si="5"/>
        <v>502</v>
      </c>
      <c r="R33" s="36">
        <f t="shared" si="153"/>
        <v>7708</v>
      </c>
      <c r="S33" s="98">
        <f t="shared" si="6"/>
        <v>287</v>
      </c>
      <c r="T33" s="36">
        <f t="shared" ref="T33" si="154">ROUNDUP(S33*15.23+$D33*2.5,0)</f>
        <v>4434</v>
      </c>
      <c r="U33" s="98">
        <f t="shared" si="7"/>
        <v>246</v>
      </c>
      <c r="V33" s="36">
        <f t="shared" ref="V33" si="155">ROUNDUP(U33*15.23+$D33*2.5,0)</f>
        <v>3810</v>
      </c>
      <c r="Y33" s="36">
        <v>31</v>
      </c>
      <c r="Z33" s="36">
        <f t="shared" si="8"/>
        <v>0.4751744128619218</v>
      </c>
      <c r="AA33" s="36">
        <v>0.25290546467036545</v>
      </c>
      <c r="AB33" s="36">
        <v>1.1311773608833879</v>
      </c>
      <c r="AC33" s="36">
        <v>0.1421511674900483</v>
      </c>
      <c r="AD33" s="36">
        <v>0.76263400519550717</v>
      </c>
      <c r="AE33" s="36">
        <v>0.17708092756861782</v>
      </c>
      <c r="AF33" s="36">
        <v>0.2946832837838318</v>
      </c>
      <c r="AG33" s="36">
        <v>0.56558868044169397</v>
      </c>
    </row>
    <row r="34" spans="4:33" x14ac:dyDescent="0.15">
      <c r="D34" s="36">
        <v>30</v>
      </c>
      <c r="E34" s="36">
        <v>0</v>
      </c>
      <c r="F34" s="36">
        <f t="shared" si="9"/>
        <v>315</v>
      </c>
      <c r="G34" s="98">
        <f t="shared" si="0"/>
        <v>88</v>
      </c>
      <c r="H34" s="36">
        <f t="shared" si="10"/>
        <v>1416</v>
      </c>
      <c r="I34" s="98">
        <f t="shared" si="1"/>
        <v>56</v>
      </c>
      <c r="J34" s="36">
        <f t="shared" si="10"/>
        <v>928</v>
      </c>
      <c r="K34" s="98">
        <f t="shared" si="2"/>
        <v>65</v>
      </c>
      <c r="L34" s="36">
        <f t="shared" ref="L34" si="156">ROUNDUP(K34*15.23+$D34*2.5,0)</f>
        <v>1065</v>
      </c>
      <c r="M34" s="98">
        <f t="shared" si="3"/>
        <v>174</v>
      </c>
      <c r="N34" s="36">
        <f t="shared" ref="N34" si="157">ROUNDUP(M34*15.23+$D34*2.5,0)</f>
        <v>2726</v>
      </c>
      <c r="O34" s="98">
        <f t="shared" si="4"/>
        <v>87</v>
      </c>
      <c r="P34" s="36">
        <f t="shared" ref="P34:R34" si="158">ROUNDUP(O34*15.23+$D34*2.5,0)</f>
        <v>1401</v>
      </c>
      <c r="Q34" s="98">
        <f t="shared" si="5"/>
        <v>62</v>
      </c>
      <c r="R34" s="36">
        <f t="shared" si="158"/>
        <v>1020</v>
      </c>
      <c r="S34" s="98">
        <f t="shared" si="6"/>
        <v>34</v>
      </c>
      <c r="T34" s="36">
        <f t="shared" ref="T34" si="159">ROUNDUP(S34*15.23+$D34*2.5,0)</f>
        <v>593</v>
      </c>
      <c r="U34" s="98">
        <f t="shared" si="7"/>
        <v>27</v>
      </c>
      <c r="V34" s="36">
        <f t="shared" ref="V34" si="160">ROUNDUP(U34*15.23+$D34*2.5,0)</f>
        <v>487</v>
      </c>
      <c r="Y34" s="36">
        <v>32</v>
      </c>
      <c r="Z34" s="36">
        <f t="shared" si="8"/>
        <v>0.48554352232133524</v>
      </c>
      <c r="AA34" s="36">
        <v>0.25880679982030524</v>
      </c>
      <c r="AB34" s="36">
        <v>1.162952798456254</v>
      </c>
      <c r="AC34" s="36">
        <v>0.14267679546963088</v>
      </c>
      <c r="AD34" s="36">
        <v>0.76947072611161826</v>
      </c>
      <c r="AE34" s="36">
        <v>0.17915061508706154</v>
      </c>
      <c r="AF34" s="36">
        <v>0.30427052207634997</v>
      </c>
      <c r="AG34" s="36">
        <v>0.58147639922812699</v>
      </c>
    </row>
    <row r="35" spans="4:33" x14ac:dyDescent="0.15">
      <c r="D35" s="36">
        <v>30</v>
      </c>
      <c r="E35" s="36">
        <v>1</v>
      </c>
      <c r="F35" s="36">
        <f t="shared" si="9"/>
        <v>580</v>
      </c>
      <c r="G35" s="98">
        <f t="shared" si="0"/>
        <v>162</v>
      </c>
      <c r="H35" s="36">
        <f t="shared" si="10"/>
        <v>2543</v>
      </c>
      <c r="I35" s="98">
        <f t="shared" si="1"/>
        <v>103</v>
      </c>
      <c r="J35" s="36">
        <f t="shared" si="10"/>
        <v>1644</v>
      </c>
      <c r="K35" s="98">
        <f t="shared" si="2"/>
        <v>120</v>
      </c>
      <c r="L35" s="36">
        <f t="shared" ref="L35" si="161">ROUNDUP(K35*15.23+$D35*2.5,0)</f>
        <v>1903</v>
      </c>
      <c r="M35" s="98">
        <f t="shared" si="3"/>
        <v>321</v>
      </c>
      <c r="N35" s="36">
        <f t="shared" ref="N35" si="162">ROUNDUP(M35*15.23+$D35*2.5,0)</f>
        <v>4964</v>
      </c>
      <c r="O35" s="98">
        <f t="shared" si="4"/>
        <v>160</v>
      </c>
      <c r="P35" s="36">
        <f t="shared" ref="P35:R35" si="163">ROUNDUP(O35*15.23+$D35*2.5,0)</f>
        <v>2512</v>
      </c>
      <c r="Q35" s="98">
        <f t="shared" si="5"/>
        <v>114</v>
      </c>
      <c r="R35" s="36">
        <f t="shared" si="163"/>
        <v>1812</v>
      </c>
      <c r="S35" s="98">
        <f t="shared" si="6"/>
        <v>61</v>
      </c>
      <c r="T35" s="36">
        <f t="shared" ref="T35" si="164">ROUNDUP(S35*15.23+$D35*2.5,0)</f>
        <v>1005</v>
      </c>
      <c r="U35" s="98">
        <f t="shared" si="7"/>
        <v>50</v>
      </c>
      <c r="V35" s="36">
        <f t="shared" ref="V35" si="165">ROUNDUP(U35*15.23+$D35*2.5,0)</f>
        <v>837</v>
      </c>
      <c r="Y35" s="36">
        <v>33</v>
      </c>
      <c r="Z35" s="36">
        <f t="shared" si="8"/>
        <v>0.49542308249036149</v>
      </c>
      <c r="AA35" s="36">
        <v>0.26499192197043864</v>
      </c>
      <c r="AB35" s="36">
        <v>1.1960730182108199</v>
      </c>
      <c r="AC35" s="36">
        <v>0.14299490197583981</v>
      </c>
      <c r="AD35" s="36">
        <v>0.77515787222550425</v>
      </c>
      <c r="AE35" s="36">
        <v>0.18064087041307925</v>
      </c>
      <c r="AF35" s="36">
        <v>0.31006648353143884</v>
      </c>
      <c r="AG35" s="36">
        <v>0.59803650910540995</v>
      </c>
    </row>
    <row r="36" spans="4:33" x14ac:dyDescent="0.15">
      <c r="D36" s="36">
        <v>30</v>
      </c>
      <c r="E36" s="36">
        <v>2</v>
      </c>
      <c r="F36" s="36">
        <f t="shared" si="9"/>
        <v>1146</v>
      </c>
      <c r="G36" s="98">
        <f t="shared" ref="G36:G58" si="166">ROUNDUP(VLOOKUP(D36,Y:AG,2,FALSE)*F36*$B$7/$B$6,0)</f>
        <v>320</v>
      </c>
      <c r="H36" s="36">
        <f t="shared" si="10"/>
        <v>4949</v>
      </c>
      <c r="I36" s="98">
        <f t="shared" ref="I36:I58" si="167">ROUNDUP((VLOOKUP(D36,Y:AG,3,FALSE)*$I$1+VLOOKUP(D36,Y:AG,4,FALSE)*$I$2)*F36*$B$7/$B$6,0)</f>
        <v>203</v>
      </c>
      <c r="J36" s="36">
        <f t="shared" si="10"/>
        <v>3167</v>
      </c>
      <c r="K36" s="98">
        <f t="shared" ref="K36:K58" si="168">ROUNDUP((VLOOKUP(D36,Y:AG,3,FALSE)*$K$1+VLOOKUP(D36,Y:AG,4,FALSE)*$K$2)*F36*$B$7/($B$6*2.5),0)</f>
        <v>236</v>
      </c>
      <c r="L36" s="36">
        <f t="shared" ref="L36" si="169">ROUNDUP(K36*15.23+$D36*2.5,0)</f>
        <v>3670</v>
      </c>
      <c r="M36" s="98">
        <f t="shared" ref="M36:M58" si="170">ROUNDUP((VLOOKUP(D36,Y:AG,6,FALSE)*$M$2+VLOOKUP(D36,Y:AG,9,FALSE)*$M$1)*F36*$B$7/$B$6,0)</f>
        <v>633</v>
      </c>
      <c r="N36" s="36">
        <f t="shared" ref="N36" si="171">ROUNDUP(M36*15.23+$D36*2.5,0)</f>
        <v>9716</v>
      </c>
      <c r="O36" s="98">
        <f t="shared" ref="O36:O58" si="172">ROUNDUP((VLOOKUP(D36,Y:AG,3,FALSE)*$O$2+VLOOKUP(D36,Y:AG,9,FALSE)*$O$1)*F36*$B$7/$B$6,0)</f>
        <v>316</v>
      </c>
      <c r="P36" s="36">
        <f t="shared" ref="P36:R36" si="173">ROUNDUP(O36*15.23+$D36*2.5,0)</f>
        <v>4888</v>
      </c>
      <c r="Q36" s="98">
        <f t="shared" ref="Q36:Q58" si="174">ROUNDUP((VLOOKUP(D36,Y:AG,3,FALSE)*$Q$2+VLOOKUP(D36,Y:AG,8,FALSE)*$Q$1)*F36*$B$7/$B$6,0)</f>
        <v>225</v>
      </c>
      <c r="R36" s="36">
        <f t="shared" si="173"/>
        <v>3502</v>
      </c>
      <c r="S36" s="98">
        <f t="shared" ref="S36:S58" si="175">ROUNDUP(VLOOKUP(D36,Y:AG,7,FALSE)*F36*$B$7/$B$6,0)</f>
        <v>121</v>
      </c>
      <c r="T36" s="36">
        <f t="shared" ref="T36" si="176">ROUNDUP(S36*15.23+$D36*2.5,0)</f>
        <v>1918</v>
      </c>
      <c r="U36" s="98">
        <f t="shared" ref="U36:U58" si="177">ROUNDUP(VLOOKUP(D36,Y:AG,5,FALSE)*F36*$B$7/$B$6,0)</f>
        <v>98</v>
      </c>
      <c r="V36" s="36">
        <f t="shared" ref="V36" si="178">ROUNDUP(U36*15.23+$D36*2.5,0)</f>
        <v>1568</v>
      </c>
      <c r="Y36" s="36">
        <v>34</v>
      </c>
      <c r="Z36" s="36">
        <f t="shared" si="8"/>
        <v>0.50534092208655645</v>
      </c>
      <c r="AA36" s="36">
        <v>0.27135506688636363</v>
      </c>
      <c r="AB36" s="36">
        <v>1.2283484897432244</v>
      </c>
      <c r="AC36" s="36">
        <v>0.14362150942536372</v>
      </c>
      <c r="AD36" s="36">
        <v>0.78136064546403616</v>
      </c>
      <c r="AE36" s="36">
        <v>0.18296090338541107</v>
      </c>
      <c r="AF36" s="36">
        <v>0.31556559482988378</v>
      </c>
      <c r="AG36" s="36">
        <v>0.61417424487161221</v>
      </c>
    </row>
    <row r="37" spans="4:33" x14ac:dyDescent="0.15">
      <c r="D37" s="36">
        <v>30</v>
      </c>
      <c r="E37" s="36">
        <v>3</v>
      </c>
      <c r="F37" s="36">
        <f t="shared" si="9"/>
        <v>2082</v>
      </c>
      <c r="G37" s="98">
        <f t="shared" si="166"/>
        <v>582</v>
      </c>
      <c r="H37" s="36">
        <f t="shared" si="10"/>
        <v>8939</v>
      </c>
      <c r="I37" s="98">
        <f t="shared" si="167"/>
        <v>368</v>
      </c>
      <c r="J37" s="36">
        <f t="shared" si="10"/>
        <v>5680</v>
      </c>
      <c r="K37" s="98">
        <f t="shared" si="168"/>
        <v>428</v>
      </c>
      <c r="L37" s="36">
        <f t="shared" ref="L37" si="179">ROUNDUP(K37*15.23+$D37*2.5,0)</f>
        <v>6594</v>
      </c>
      <c r="M37" s="98">
        <f t="shared" si="170"/>
        <v>1151</v>
      </c>
      <c r="N37" s="36">
        <f t="shared" ref="N37" si="180">ROUNDUP(M37*15.23+$D37*2.5,0)</f>
        <v>17605</v>
      </c>
      <c r="O37" s="98">
        <f t="shared" si="172"/>
        <v>574</v>
      </c>
      <c r="P37" s="36">
        <f t="shared" ref="P37:R37" si="181">ROUNDUP(O37*15.23+$D37*2.5,0)</f>
        <v>8818</v>
      </c>
      <c r="Q37" s="98">
        <f t="shared" si="174"/>
        <v>408</v>
      </c>
      <c r="R37" s="36">
        <f t="shared" si="181"/>
        <v>6289</v>
      </c>
      <c r="S37" s="98">
        <f t="shared" si="175"/>
        <v>219</v>
      </c>
      <c r="T37" s="36">
        <f t="shared" ref="T37" si="182">ROUNDUP(S37*15.23+$D37*2.5,0)</f>
        <v>3411</v>
      </c>
      <c r="U37" s="98">
        <f t="shared" si="177"/>
        <v>178</v>
      </c>
      <c r="V37" s="36">
        <f t="shared" ref="V37" si="183">ROUNDUP(U37*15.23+$D37*2.5,0)</f>
        <v>2786</v>
      </c>
      <c r="Y37" s="36">
        <v>35</v>
      </c>
      <c r="Z37" s="36">
        <f t="shared" si="8"/>
        <v>0.51567340811940854</v>
      </c>
      <c r="AA37" s="36">
        <v>0.2769100921585339</v>
      </c>
      <c r="AB37" s="36">
        <v>1.2612803532702686</v>
      </c>
      <c r="AC37" s="36">
        <v>0.14413665975037812</v>
      </c>
      <c r="AD37" s="36">
        <v>0.78693556183000679</v>
      </c>
      <c r="AE37" s="36">
        <v>0.1845987533949987</v>
      </c>
      <c r="AF37" s="36">
        <v>0.32521225979653923</v>
      </c>
      <c r="AG37" s="36">
        <v>0.63064017663513428</v>
      </c>
    </row>
    <row r="38" spans="4:33" x14ac:dyDescent="0.15">
      <c r="D38" s="36">
        <v>30</v>
      </c>
      <c r="E38" s="36">
        <v>4</v>
      </c>
      <c r="F38" s="36">
        <f t="shared" si="9"/>
        <v>3444</v>
      </c>
      <c r="G38" s="98">
        <f t="shared" si="166"/>
        <v>962</v>
      </c>
      <c r="H38" s="36">
        <f t="shared" si="10"/>
        <v>14727</v>
      </c>
      <c r="I38" s="98">
        <f t="shared" si="167"/>
        <v>608</v>
      </c>
      <c r="J38" s="36">
        <f t="shared" si="10"/>
        <v>9335</v>
      </c>
      <c r="K38" s="98">
        <f t="shared" si="168"/>
        <v>708</v>
      </c>
      <c r="L38" s="36">
        <f t="shared" ref="L38" si="184">ROUNDUP(K38*15.23+$D38*2.5,0)</f>
        <v>10858</v>
      </c>
      <c r="M38" s="98">
        <f t="shared" si="170"/>
        <v>1903</v>
      </c>
      <c r="N38" s="36">
        <f t="shared" ref="N38" si="185">ROUNDUP(M38*15.23+$D38*2.5,0)</f>
        <v>29058</v>
      </c>
      <c r="O38" s="98">
        <f t="shared" si="172"/>
        <v>948</v>
      </c>
      <c r="P38" s="36">
        <f t="shared" ref="P38:R38" si="186">ROUNDUP(O38*15.23+$D38*2.5,0)</f>
        <v>14514</v>
      </c>
      <c r="Q38" s="98">
        <f t="shared" si="174"/>
        <v>674</v>
      </c>
      <c r="R38" s="36">
        <f t="shared" si="186"/>
        <v>10341</v>
      </c>
      <c r="S38" s="98">
        <f t="shared" si="175"/>
        <v>363</v>
      </c>
      <c r="T38" s="36">
        <f t="shared" ref="T38" si="187">ROUNDUP(S38*15.23+$D38*2.5,0)</f>
        <v>5604</v>
      </c>
      <c r="U38" s="98">
        <f t="shared" si="177"/>
        <v>294</v>
      </c>
      <c r="V38" s="36">
        <f t="shared" ref="V38" si="188">ROUNDUP(U38*15.23+$D38*2.5,0)</f>
        <v>4553</v>
      </c>
      <c r="Y38" s="36">
        <v>36</v>
      </c>
      <c r="Z38" s="36">
        <f t="shared" si="8"/>
        <v>0.52559058496083566</v>
      </c>
      <c r="AA38" s="36">
        <v>0.28328156580576774</v>
      </c>
      <c r="AB38" s="36">
        <v>1.2942311294985922</v>
      </c>
      <c r="AC38" s="36">
        <v>0.14464983066470957</v>
      </c>
      <c r="AD38" s="36">
        <v>0.79264391813974777</v>
      </c>
      <c r="AE38" s="36">
        <v>0.18647068956373447</v>
      </c>
      <c r="AF38" s="36">
        <v>0.33074139630400123</v>
      </c>
      <c r="AG38" s="36">
        <v>0.6471155647492961</v>
      </c>
    </row>
    <row r="39" spans="4:33" x14ac:dyDescent="0.15">
      <c r="D39" s="36">
        <v>35</v>
      </c>
      <c r="E39" s="36">
        <v>0</v>
      </c>
      <c r="F39" s="36">
        <f t="shared" si="9"/>
        <v>336</v>
      </c>
      <c r="G39" s="98">
        <f t="shared" si="166"/>
        <v>104</v>
      </c>
      <c r="H39" s="36">
        <f t="shared" si="10"/>
        <v>1672</v>
      </c>
      <c r="I39" s="98">
        <f t="shared" si="167"/>
        <v>68</v>
      </c>
      <c r="J39" s="36">
        <f t="shared" si="10"/>
        <v>1124</v>
      </c>
      <c r="K39" s="98">
        <f t="shared" si="168"/>
        <v>80</v>
      </c>
      <c r="L39" s="36">
        <f t="shared" ref="L39" si="189">ROUNDUP(K39*15.23+$D39*2.5,0)</f>
        <v>1306</v>
      </c>
      <c r="M39" s="98">
        <f t="shared" si="170"/>
        <v>197</v>
      </c>
      <c r="N39" s="36">
        <f t="shared" ref="N39" si="190">ROUNDUP(M39*15.23+$D39*2.5,0)</f>
        <v>3088</v>
      </c>
      <c r="O39" s="98">
        <f t="shared" si="172"/>
        <v>106</v>
      </c>
      <c r="P39" s="36">
        <f t="shared" ref="P39:R39" si="191">ROUNDUP(O39*15.23+$D39*2.5,0)</f>
        <v>1702</v>
      </c>
      <c r="Q39" s="98">
        <f t="shared" si="174"/>
        <v>74</v>
      </c>
      <c r="R39" s="36">
        <f t="shared" si="191"/>
        <v>1215</v>
      </c>
      <c r="S39" s="98">
        <f t="shared" si="175"/>
        <v>38</v>
      </c>
      <c r="T39" s="36">
        <f t="shared" ref="T39" si="192">ROUNDUP(S39*15.23+$D39*2.5,0)</f>
        <v>667</v>
      </c>
      <c r="U39" s="98">
        <f t="shared" si="177"/>
        <v>30</v>
      </c>
      <c r="V39" s="36">
        <f t="shared" ref="V39" si="193">ROUNDUP(U39*15.23+$D39*2.5,0)</f>
        <v>545</v>
      </c>
      <c r="Y39" s="36">
        <v>37</v>
      </c>
      <c r="Z39" s="36">
        <f t="shared" si="8"/>
        <v>0.53560475066225488</v>
      </c>
      <c r="AA39" s="36">
        <v>0.28885220580240223</v>
      </c>
      <c r="AB39" s="36">
        <v>1.3275039471531613</v>
      </c>
      <c r="AC39" s="36">
        <v>0.14524421735210644</v>
      </c>
      <c r="AD39" s="36">
        <v>0.79778462762133784</v>
      </c>
      <c r="AE39" s="36">
        <v>0.18772333442399358</v>
      </c>
      <c r="AF39" s="36">
        <v>0.33837294870620233</v>
      </c>
      <c r="AG39" s="36">
        <v>0.66375197357658067</v>
      </c>
    </row>
    <row r="40" spans="4:33" x14ac:dyDescent="0.15">
      <c r="D40" s="36">
        <v>35</v>
      </c>
      <c r="E40" s="36">
        <v>1</v>
      </c>
      <c r="F40" s="36">
        <f t="shared" si="9"/>
        <v>646</v>
      </c>
      <c r="G40" s="98">
        <f t="shared" si="166"/>
        <v>200</v>
      </c>
      <c r="H40" s="36">
        <f t="shared" si="10"/>
        <v>3134</v>
      </c>
      <c r="I40" s="98">
        <f t="shared" si="167"/>
        <v>130</v>
      </c>
      <c r="J40" s="36">
        <f t="shared" si="10"/>
        <v>2068</v>
      </c>
      <c r="K40" s="98">
        <f t="shared" si="168"/>
        <v>152</v>
      </c>
      <c r="L40" s="36">
        <f t="shared" ref="L40" si="194">ROUNDUP(K40*15.23+$D40*2.5,0)</f>
        <v>2403</v>
      </c>
      <c r="M40" s="98">
        <f t="shared" si="170"/>
        <v>379</v>
      </c>
      <c r="N40" s="36">
        <f t="shared" ref="N40" si="195">ROUNDUP(M40*15.23+$D40*2.5,0)</f>
        <v>5860</v>
      </c>
      <c r="O40" s="98">
        <f t="shared" si="172"/>
        <v>204</v>
      </c>
      <c r="P40" s="36">
        <f t="shared" ref="P40:R40" si="196">ROUNDUP(O40*15.23+$D40*2.5,0)</f>
        <v>3195</v>
      </c>
      <c r="Q40" s="98">
        <f t="shared" si="174"/>
        <v>143</v>
      </c>
      <c r="R40" s="36">
        <f t="shared" si="196"/>
        <v>2266</v>
      </c>
      <c r="S40" s="98">
        <f t="shared" si="175"/>
        <v>72</v>
      </c>
      <c r="T40" s="36">
        <f t="shared" ref="T40" si="197">ROUNDUP(S40*15.23+$D40*2.5,0)</f>
        <v>1185</v>
      </c>
      <c r="U40" s="98">
        <f t="shared" si="177"/>
        <v>56</v>
      </c>
      <c r="V40" s="36">
        <f t="shared" ref="V40" si="198">ROUNDUP(U40*15.23+$D40*2.5,0)</f>
        <v>941</v>
      </c>
      <c r="Y40" s="36">
        <v>38</v>
      </c>
      <c r="Z40" s="36">
        <f t="shared" si="8"/>
        <v>0.54551801977994308</v>
      </c>
      <c r="AA40" s="36">
        <v>0.29523088980936246</v>
      </c>
      <c r="AB40" s="36">
        <v>1.3606606650514235</v>
      </c>
      <c r="AC40" s="36">
        <v>0.14603182664157013</v>
      </c>
      <c r="AD40" s="36">
        <v>0.8029103025700558</v>
      </c>
      <c r="AE40" s="36">
        <v>0.18951920859680027</v>
      </c>
      <c r="AF40" s="36">
        <v>0.34394291326467741</v>
      </c>
      <c r="AG40" s="36">
        <v>0.68033033252571173</v>
      </c>
    </row>
    <row r="41" spans="4:33" x14ac:dyDescent="0.15">
      <c r="D41" s="36">
        <v>35</v>
      </c>
      <c r="E41" s="36">
        <v>2</v>
      </c>
      <c r="F41" s="36">
        <f t="shared" si="9"/>
        <v>1306</v>
      </c>
      <c r="G41" s="98">
        <f t="shared" si="166"/>
        <v>405</v>
      </c>
      <c r="H41" s="36">
        <f t="shared" si="10"/>
        <v>6256</v>
      </c>
      <c r="I41" s="98">
        <f t="shared" si="167"/>
        <v>263</v>
      </c>
      <c r="J41" s="36">
        <f t="shared" si="10"/>
        <v>4093</v>
      </c>
      <c r="K41" s="98">
        <f t="shared" si="168"/>
        <v>308</v>
      </c>
      <c r="L41" s="36">
        <f t="shared" ref="L41" si="199">ROUNDUP(K41*15.23+$D41*2.5,0)</f>
        <v>4779</v>
      </c>
      <c r="M41" s="98">
        <f t="shared" si="170"/>
        <v>765</v>
      </c>
      <c r="N41" s="36">
        <f t="shared" ref="N41" si="200">ROUNDUP(M41*15.23+$D41*2.5,0)</f>
        <v>11739</v>
      </c>
      <c r="O41" s="98">
        <f t="shared" si="172"/>
        <v>412</v>
      </c>
      <c r="P41" s="36">
        <f t="shared" ref="P41:R41" si="201">ROUNDUP(O41*15.23+$D41*2.5,0)</f>
        <v>6363</v>
      </c>
      <c r="Q41" s="98">
        <f t="shared" si="174"/>
        <v>288</v>
      </c>
      <c r="R41" s="36">
        <f t="shared" si="201"/>
        <v>4474</v>
      </c>
      <c r="S41" s="98">
        <f t="shared" si="175"/>
        <v>145</v>
      </c>
      <c r="T41" s="36">
        <f t="shared" ref="T41" si="202">ROUNDUP(S41*15.23+$D41*2.5,0)</f>
        <v>2296</v>
      </c>
      <c r="U41" s="98">
        <f t="shared" si="177"/>
        <v>113</v>
      </c>
      <c r="V41" s="36">
        <f t="shared" ref="V41" si="203">ROUNDUP(U41*15.23+$D41*2.5,0)</f>
        <v>1809</v>
      </c>
      <c r="Y41" s="36">
        <v>39</v>
      </c>
      <c r="Z41" s="36">
        <f t="shared" si="8"/>
        <v>0.55608199832551386</v>
      </c>
      <c r="AA41" s="36">
        <v>0.30132738673454734</v>
      </c>
      <c r="AB41" s="36">
        <v>1.3949360559428436</v>
      </c>
      <c r="AC41" s="36">
        <v>0.1465325923473135</v>
      </c>
      <c r="AD41" s="36">
        <v>0.80732007812864037</v>
      </c>
      <c r="AE41" s="36">
        <v>0.19136667287903894</v>
      </c>
      <c r="AF41" s="36">
        <v>0.35362317427479134</v>
      </c>
      <c r="AG41" s="36">
        <v>0.69746802797142182</v>
      </c>
    </row>
    <row r="42" spans="4:33" x14ac:dyDescent="0.15">
      <c r="D42" s="36">
        <v>35</v>
      </c>
      <c r="E42" s="36">
        <v>3</v>
      </c>
      <c r="F42" s="36">
        <f t="shared" si="9"/>
        <v>2398</v>
      </c>
      <c r="G42" s="98">
        <f t="shared" si="166"/>
        <v>742</v>
      </c>
      <c r="H42" s="36">
        <f t="shared" si="10"/>
        <v>11389</v>
      </c>
      <c r="I42" s="98">
        <f t="shared" si="167"/>
        <v>483</v>
      </c>
      <c r="J42" s="36">
        <f t="shared" si="10"/>
        <v>7444</v>
      </c>
      <c r="K42" s="98">
        <f t="shared" si="168"/>
        <v>564</v>
      </c>
      <c r="L42" s="36">
        <f t="shared" ref="L42" si="204">ROUNDUP(K42*15.23+$D42*2.5,0)</f>
        <v>8678</v>
      </c>
      <c r="M42" s="98">
        <f t="shared" si="170"/>
        <v>1405</v>
      </c>
      <c r="N42" s="36">
        <f t="shared" ref="N42" si="205">ROUNDUP(M42*15.23+$D42*2.5,0)</f>
        <v>21486</v>
      </c>
      <c r="O42" s="98">
        <f t="shared" si="172"/>
        <v>755</v>
      </c>
      <c r="P42" s="36">
        <f t="shared" ref="P42:R42" si="206">ROUNDUP(O42*15.23+$D42*2.5,0)</f>
        <v>11587</v>
      </c>
      <c r="Q42" s="98">
        <f t="shared" si="174"/>
        <v>528</v>
      </c>
      <c r="R42" s="36">
        <f t="shared" si="206"/>
        <v>8129</v>
      </c>
      <c r="S42" s="98">
        <f t="shared" si="175"/>
        <v>266</v>
      </c>
      <c r="T42" s="36">
        <f t="shared" ref="T42" si="207">ROUNDUP(S42*15.23+$D42*2.5,0)</f>
        <v>4139</v>
      </c>
      <c r="U42" s="98">
        <f t="shared" si="177"/>
        <v>208</v>
      </c>
      <c r="V42" s="36">
        <f t="shared" ref="V42" si="208">ROUNDUP(U42*15.23+$D42*2.5,0)</f>
        <v>3256</v>
      </c>
      <c r="Y42" s="36">
        <v>40</v>
      </c>
      <c r="Z42" s="36">
        <f t="shared" si="8"/>
        <v>0.56597046617946378</v>
      </c>
      <c r="AA42" s="36">
        <v>0.30727419525290162</v>
      </c>
      <c r="AB42" s="36">
        <v>1.4287483606945017</v>
      </c>
      <c r="AC42" s="36">
        <v>0.14738171443202377</v>
      </c>
      <c r="AD42" s="36">
        <v>0.81201537208340646</v>
      </c>
      <c r="AE42" s="36">
        <v>0.1927855113988127</v>
      </c>
      <c r="AF42" s="36">
        <v>0.35921392904734911</v>
      </c>
      <c r="AG42" s="36">
        <v>0.71437418034725086</v>
      </c>
    </row>
    <row r="43" spans="4:33" x14ac:dyDescent="0.15">
      <c r="D43" s="36">
        <v>35</v>
      </c>
      <c r="E43" s="36">
        <v>4</v>
      </c>
      <c r="F43" s="36">
        <f t="shared" si="9"/>
        <v>3987</v>
      </c>
      <c r="G43" s="98">
        <f t="shared" si="166"/>
        <v>1234</v>
      </c>
      <c r="H43" s="36">
        <f t="shared" si="10"/>
        <v>18882</v>
      </c>
      <c r="I43" s="98">
        <f t="shared" si="167"/>
        <v>803</v>
      </c>
      <c r="J43" s="36">
        <f t="shared" si="10"/>
        <v>12318</v>
      </c>
      <c r="K43" s="98">
        <f t="shared" si="168"/>
        <v>938</v>
      </c>
      <c r="L43" s="36">
        <f t="shared" ref="L43" si="209">ROUNDUP(K43*15.23+$D43*2.5,0)</f>
        <v>14374</v>
      </c>
      <c r="M43" s="98">
        <f t="shared" si="170"/>
        <v>2336</v>
      </c>
      <c r="N43" s="36">
        <f t="shared" ref="N43" si="210">ROUNDUP(M43*15.23+$D43*2.5,0)</f>
        <v>35665</v>
      </c>
      <c r="O43" s="98">
        <f t="shared" si="172"/>
        <v>1255</v>
      </c>
      <c r="P43" s="36">
        <f t="shared" ref="P43:R43" si="211">ROUNDUP(O43*15.23+$D43*2.5,0)</f>
        <v>19202</v>
      </c>
      <c r="Q43" s="98">
        <f t="shared" si="174"/>
        <v>878</v>
      </c>
      <c r="R43" s="36">
        <f t="shared" si="211"/>
        <v>13460</v>
      </c>
      <c r="S43" s="98">
        <f t="shared" si="175"/>
        <v>442</v>
      </c>
      <c r="T43" s="36">
        <f t="shared" ref="T43" si="212">ROUNDUP(S43*15.23+$D43*2.5,0)</f>
        <v>6820</v>
      </c>
      <c r="U43" s="98">
        <f t="shared" si="177"/>
        <v>345</v>
      </c>
      <c r="V43" s="36">
        <f t="shared" ref="V43" si="213">ROUNDUP(U43*15.23+$D43*2.5,0)</f>
        <v>5342</v>
      </c>
      <c r="Y43" s="36">
        <v>41</v>
      </c>
      <c r="Z43" s="36">
        <f t="shared" si="8"/>
        <v>0.5762789020305874</v>
      </c>
      <c r="AA43" s="36">
        <v>0.31373061108758638</v>
      </c>
      <c r="AB43" s="36">
        <v>1.4630045506007379</v>
      </c>
      <c r="AC43" s="36">
        <v>0.14790324299662266</v>
      </c>
      <c r="AD43" s="36">
        <v>0.81646712713564651</v>
      </c>
      <c r="AE43" s="36">
        <v>0.19450111327075417</v>
      </c>
      <c r="AF43" s="36">
        <v>0.36684339382239484</v>
      </c>
      <c r="AG43" s="36">
        <v>0.73150227530036893</v>
      </c>
    </row>
    <row r="44" spans="4:33" x14ac:dyDescent="0.15">
      <c r="D44" s="36">
        <v>40</v>
      </c>
      <c r="E44" s="36">
        <v>0</v>
      </c>
      <c r="F44" s="36">
        <f t="shared" si="9"/>
        <v>358</v>
      </c>
      <c r="G44" s="98">
        <f t="shared" si="166"/>
        <v>122</v>
      </c>
      <c r="H44" s="36">
        <f t="shared" si="10"/>
        <v>1959</v>
      </c>
      <c r="I44" s="98">
        <f t="shared" si="167"/>
        <v>82</v>
      </c>
      <c r="J44" s="36">
        <f t="shared" si="10"/>
        <v>1349</v>
      </c>
      <c r="K44" s="98">
        <f t="shared" si="168"/>
        <v>96</v>
      </c>
      <c r="L44" s="36">
        <f t="shared" ref="L44" si="214">ROUNDUP(K44*15.23+$D44*2.5,0)</f>
        <v>1563</v>
      </c>
      <c r="M44" s="98">
        <f t="shared" si="170"/>
        <v>221</v>
      </c>
      <c r="N44" s="36">
        <f t="shared" ref="N44" si="215">ROUNDUP(M44*15.23+$D44*2.5,0)</f>
        <v>3466</v>
      </c>
      <c r="O44" s="98">
        <f t="shared" si="172"/>
        <v>128</v>
      </c>
      <c r="P44" s="36">
        <f t="shared" ref="P44:R44" si="216">ROUNDUP(O44*15.23+$D44*2.5,0)</f>
        <v>2050</v>
      </c>
      <c r="Q44" s="98">
        <f t="shared" si="174"/>
        <v>88</v>
      </c>
      <c r="R44" s="36">
        <f t="shared" si="216"/>
        <v>1441</v>
      </c>
      <c r="S44" s="98">
        <f t="shared" si="175"/>
        <v>42</v>
      </c>
      <c r="T44" s="36">
        <f t="shared" ref="T44" si="217">ROUNDUP(S44*15.23+$D44*2.5,0)</f>
        <v>740</v>
      </c>
      <c r="U44" s="98">
        <f t="shared" si="177"/>
        <v>32</v>
      </c>
      <c r="V44" s="36">
        <f t="shared" ref="V44" si="218">ROUNDUP(U44*15.23+$D44*2.5,0)</f>
        <v>588</v>
      </c>
      <c r="Y44" s="36">
        <v>42</v>
      </c>
      <c r="Z44" s="36">
        <f t="shared" si="8"/>
        <v>0.58642796209074066</v>
      </c>
      <c r="AA44" s="36">
        <v>0.31925733342915802</v>
      </c>
      <c r="AB44" s="36">
        <v>1.4973247199248101</v>
      </c>
      <c r="AC44" s="36">
        <v>0.14880525025703992</v>
      </c>
      <c r="AD44" s="36">
        <v>0.82069795193867445</v>
      </c>
      <c r="AE44" s="36">
        <v>0.19586107949704715</v>
      </c>
      <c r="AF44" s="36">
        <v>0.37438703962604986</v>
      </c>
      <c r="AG44" s="36">
        <v>0.74866235996240504</v>
      </c>
    </row>
    <row r="45" spans="4:33" x14ac:dyDescent="0.15">
      <c r="D45" s="36">
        <v>40</v>
      </c>
      <c r="E45" s="36">
        <v>1</v>
      </c>
      <c r="F45" s="36">
        <f t="shared" si="9"/>
        <v>712</v>
      </c>
      <c r="G45" s="98">
        <f t="shared" si="166"/>
        <v>242</v>
      </c>
      <c r="H45" s="36">
        <f t="shared" si="10"/>
        <v>3786</v>
      </c>
      <c r="I45" s="98">
        <f t="shared" si="167"/>
        <v>162</v>
      </c>
      <c r="J45" s="36">
        <f t="shared" si="10"/>
        <v>2568</v>
      </c>
      <c r="K45" s="98">
        <f t="shared" si="168"/>
        <v>190</v>
      </c>
      <c r="L45" s="36">
        <f t="shared" ref="L45" si="219">ROUNDUP(K45*15.23+$D45*2.5,0)</f>
        <v>2994</v>
      </c>
      <c r="M45" s="98">
        <f t="shared" si="170"/>
        <v>439</v>
      </c>
      <c r="N45" s="36">
        <f t="shared" ref="N45" si="220">ROUNDUP(M45*15.23+$D45*2.5,0)</f>
        <v>6786</v>
      </c>
      <c r="O45" s="98">
        <f t="shared" si="172"/>
        <v>254</v>
      </c>
      <c r="P45" s="36">
        <f t="shared" ref="P45:R45" si="221">ROUNDUP(O45*15.23+$D45*2.5,0)</f>
        <v>3969</v>
      </c>
      <c r="Q45" s="98">
        <f t="shared" si="174"/>
        <v>174</v>
      </c>
      <c r="R45" s="36">
        <f t="shared" si="221"/>
        <v>2751</v>
      </c>
      <c r="S45" s="98">
        <f t="shared" si="175"/>
        <v>83</v>
      </c>
      <c r="T45" s="36">
        <f t="shared" ref="T45" si="222">ROUNDUP(S45*15.23+$D45*2.5,0)</f>
        <v>1365</v>
      </c>
      <c r="U45" s="98">
        <f t="shared" si="177"/>
        <v>63</v>
      </c>
      <c r="V45" s="36">
        <f t="shared" ref="V45" si="223">ROUNDUP(U45*15.23+$D45*2.5,0)</f>
        <v>1060</v>
      </c>
      <c r="Y45" s="36">
        <v>43</v>
      </c>
      <c r="Z45" s="36">
        <f t="shared" si="8"/>
        <v>0.59651367593117866</v>
      </c>
      <c r="AA45" s="36">
        <v>0.3252892273952262</v>
      </c>
      <c r="AB45" s="36">
        <v>1.5323714670001047</v>
      </c>
      <c r="AC45" s="36">
        <v>0.14956983622763015</v>
      </c>
      <c r="AD45" s="36">
        <v>0.82457724096058882</v>
      </c>
      <c r="AE45" s="36">
        <v>0.19750053253346611</v>
      </c>
      <c r="AF45" s="36">
        <v>0.38010169390118242</v>
      </c>
      <c r="AG45" s="36">
        <v>0.76618573350005237</v>
      </c>
    </row>
    <row r="46" spans="4:33" x14ac:dyDescent="0.15">
      <c r="D46" s="36">
        <v>40</v>
      </c>
      <c r="E46" s="36">
        <v>2</v>
      </c>
      <c r="F46" s="36">
        <f t="shared" si="9"/>
        <v>1467</v>
      </c>
      <c r="G46" s="98">
        <f t="shared" si="166"/>
        <v>499</v>
      </c>
      <c r="H46" s="36">
        <f t="shared" si="10"/>
        <v>7700</v>
      </c>
      <c r="I46" s="98">
        <f t="shared" si="167"/>
        <v>333</v>
      </c>
      <c r="J46" s="36">
        <f t="shared" si="10"/>
        <v>5172</v>
      </c>
      <c r="K46" s="98">
        <f t="shared" si="168"/>
        <v>390</v>
      </c>
      <c r="L46" s="36">
        <f t="shared" ref="L46" si="224">ROUNDUP(K46*15.23+$D46*2.5,0)</f>
        <v>6040</v>
      </c>
      <c r="M46" s="98">
        <f t="shared" si="170"/>
        <v>904</v>
      </c>
      <c r="N46" s="36">
        <f t="shared" ref="N46" si="225">ROUNDUP(M46*15.23+$D46*2.5,0)</f>
        <v>13868</v>
      </c>
      <c r="O46" s="98">
        <f t="shared" si="172"/>
        <v>522</v>
      </c>
      <c r="P46" s="36">
        <f t="shared" ref="P46:R46" si="226">ROUNDUP(O46*15.23+$D46*2.5,0)</f>
        <v>8051</v>
      </c>
      <c r="Q46" s="98">
        <f t="shared" si="174"/>
        <v>357</v>
      </c>
      <c r="R46" s="36">
        <f t="shared" si="226"/>
        <v>5538</v>
      </c>
      <c r="S46" s="98">
        <f t="shared" si="175"/>
        <v>170</v>
      </c>
      <c r="T46" s="36">
        <f t="shared" ref="T46" si="227">ROUNDUP(S46*15.23+$D46*2.5,0)</f>
        <v>2690</v>
      </c>
      <c r="U46" s="98">
        <f t="shared" si="177"/>
        <v>130</v>
      </c>
      <c r="V46" s="36">
        <f t="shared" ref="V46" si="228">ROUNDUP(U46*15.23+$D46*2.5,0)</f>
        <v>2080</v>
      </c>
      <c r="Y46" s="36">
        <v>44</v>
      </c>
      <c r="Z46" s="36">
        <f t="shared" si="8"/>
        <v>0.60690265392586495</v>
      </c>
      <c r="AA46" s="36">
        <v>0.33174745790725746</v>
      </c>
      <c r="AB46" s="36">
        <v>1.5675097501484356</v>
      </c>
      <c r="AC46" s="36">
        <v>0.15035594984680628</v>
      </c>
      <c r="AD46" s="36">
        <v>0.82837272318926691</v>
      </c>
      <c r="AE46" s="36">
        <v>0.19884496579349117</v>
      </c>
      <c r="AF46" s="36">
        <v>0.38773285552157871</v>
      </c>
      <c r="AG46" s="36">
        <v>0.78375487507421782</v>
      </c>
    </row>
    <row r="47" spans="4:33" x14ac:dyDescent="0.15">
      <c r="D47" s="36">
        <v>40</v>
      </c>
      <c r="E47" s="36">
        <v>3</v>
      </c>
      <c r="F47" s="36">
        <f t="shared" si="9"/>
        <v>2714</v>
      </c>
      <c r="G47" s="98">
        <f t="shared" si="166"/>
        <v>922</v>
      </c>
      <c r="H47" s="36">
        <f t="shared" si="10"/>
        <v>14143</v>
      </c>
      <c r="I47" s="98">
        <f t="shared" si="167"/>
        <v>616</v>
      </c>
      <c r="J47" s="36">
        <f t="shared" si="10"/>
        <v>9482</v>
      </c>
      <c r="K47" s="98">
        <f t="shared" si="168"/>
        <v>722</v>
      </c>
      <c r="L47" s="36">
        <f t="shared" ref="L47" si="229">ROUNDUP(K47*15.23+$D47*2.5,0)</f>
        <v>11097</v>
      </c>
      <c r="M47" s="98">
        <f t="shared" si="170"/>
        <v>1672</v>
      </c>
      <c r="N47" s="36">
        <f t="shared" ref="N47" si="230">ROUNDUP(M47*15.23+$D47*2.5,0)</f>
        <v>25565</v>
      </c>
      <c r="O47" s="98">
        <f t="shared" si="172"/>
        <v>965</v>
      </c>
      <c r="P47" s="36">
        <f t="shared" ref="P47:R47" si="231">ROUNDUP(O47*15.23+$D47*2.5,0)</f>
        <v>14797</v>
      </c>
      <c r="Q47" s="98">
        <f t="shared" si="174"/>
        <v>660</v>
      </c>
      <c r="R47" s="36">
        <f t="shared" si="231"/>
        <v>10152</v>
      </c>
      <c r="S47" s="98">
        <f t="shared" si="175"/>
        <v>314</v>
      </c>
      <c r="T47" s="36">
        <f t="shared" ref="T47" si="232">ROUNDUP(S47*15.23+$D47*2.5,0)</f>
        <v>4883</v>
      </c>
      <c r="U47" s="98">
        <f t="shared" si="177"/>
        <v>240</v>
      </c>
      <c r="V47" s="36">
        <f t="shared" ref="V47" si="233">ROUNDUP(U47*15.23+$D47*2.5,0)</f>
        <v>3756</v>
      </c>
      <c r="Y47" s="36">
        <v>45</v>
      </c>
      <c r="Z47" s="36">
        <f t="shared" si="8"/>
        <v>0.61695842217263563</v>
      </c>
      <c r="AA47" s="36">
        <v>0.33778147579978718</v>
      </c>
      <c r="AB47" s="36">
        <v>1.6027416783444983</v>
      </c>
      <c r="AC47" s="36">
        <v>0.15116166857234398</v>
      </c>
      <c r="AD47" s="36">
        <v>0.83202010655970293</v>
      </c>
      <c r="AE47" s="36">
        <v>0.20016396856682644</v>
      </c>
      <c r="AF47" s="36">
        <v>0.39346921819304087</v>
      </c>
      <c r="AG47" s="36">
        <v>0.80137083917224916</v>
      </c>
    </row>
    <row r="48" spans="4:33" x14ac:dyDescent="0.15">
      <c r="D48" s="36">
        <v>40</v>
      </c>
      <c r="E48" s="36">
        <v>4</v>
      </c>
      <c r="F48" s="36">
        <f t="shared" si="9"/>
        <v>4531</v>
      </c>
      <c r="G48" s="98">
        <f t="shared" si="166"/>
        <v>1539</v>
      </c>
      <c r="H48" s="36">
        <f t="shared" si="10"/>
        <v>23539</v>
      </c>
      <c r="I48" s="98">
        <f t="shared" si="167"/>
        <v>1028</v>
      </c>
      <c r="J48" s="36">
        <f t="shared" si="10"/>
        <v>15757</v>
      </c>
      <c r="K48" s="98">
        <f t="shared" si="168"/>
        <v>1205</v>
      </c>
      <c r="L48" s="36">
        <f t="shared" ref="L48" si="234">ROUNDUP(K48*15.23+$D48*2.5,0)</f>
        <v>18453</v>
      </c>
      <c r="M48" s="98">
        <f t="shared" si="170"/>
        <v>2791</v>
      </c>
      <c r="N48" s="36">
        <f t="shared" ref="N48" si="235">ROUNDUP(M48*15.23+$D48*2.5,0)</f>
        <v>42607</v>
      </c>
      <c r="O48" s="98">
        <f t="shared" si="172"/>
        <v>1611</v>
      </c>
      <c r="P48" s="36">
        <f t="shared" ref="P48:R48" si="236">ROUNDUP(O48*15.23+$D48*2.5,0)</f>
        <v>24636</v>
      </c>
      <c r="Q48" s="98">
        <f t="shared" si="174"/>
        <v>1102</v>
      </c>
      <c r="R48" s="36">
        <f t="shared" si="236"/>
        <v>16884</v>
      </c>
      <c r="S48" s="98">
        <f t="shared" si="175"/>
        <v>525</v>
      </c>
      <c r="T48" s="36">
        <f t="shared" ref="T48" si="237">ROUNDUP(S48*15.23+$D48*2.5,0)</f>
        <v>8096</v>
      </c>
      <c r="U48" s="98">
        <f t="shared" si="177"/>
        <v>401</v>
      </c>
      <c r="V48" s="36">
        <f t="shared" ref="V48" si="238">ROUNDUP(U48*15.23+$D48*2.5,0)</f>
        <v>6208</v>
      </c>
      <c r="Y48" s="36">
        <v>46</v>
      </c>
      <c r="Z48" s="36">
        <f t="shared" si="8"/>
        <v>0.62768701791616388</v>
      </c>
      <c r="AA48" s="36">
        <v>0.34423783575387573</v>
      </c>
      <c r="AB48" s="36">
        <v>1.6383628513454402</v>
      </c>
      <c r="AC48" s="36">
        <v>0.15198633851910406</v>
      </c>
      <c r="AD48" s="36">
        <v>0.83559640588649031</v>
      </c>
      <c r="AE48" s="36">
        <v>0.20145817444161865</v>
      </c>
      <c r="AF48" s="36">
        <v>0.40298609379389772</v>
      </c>
      <c r="AG48" s="36">
        <v>0.81918142567272012</v>
      </c>
    </row>
    <row r="49" spans="4:33" x14ac:dyDescent="0.15">
      <c r="D49" s="36">
        <v>45</v>
      </c>
      <c r="E49" s="36">
        <v>0</v>
      </c>
      <c r="F49" s="36">
        <f t="shared" si="9"/>
        <v>380</v>
      </c>
      <c r="G49" s="98">
        <f t="shared" si="166"/>
        <v>141</v>
      </c>
      <c r="H49" s="36">
        <f t="shared" si="10"/>
        <v>2260</v>
      </c>
      <c r="I49" s="98">
        <f t="shared" si="167"/>
        <v>97</v>
      </c>
      <c r="J49" s="36">
        <f t="shared" si="10"/>
        <v>1590</v>
      </c>
      <c r="K49" s="98">
        <f t="shared" si="168"/>
        <v>114</v>
      </c>
      <c r="L49" s="36">
        <f t="shared" ref="L49" si="239">ROUNDUP(K49*15.23+$D49*2.5,0)</f>
        <v>1849</v>
      </c>
      <c r="M49" s="98">
        <f t="shared" si="170"/>
        <v>245</v>
      </c>
      <c r="N49" s="36">
        <f t="shared" ref="N49" si="240">ROUNDUP(M49*15.23+$D49*2.5,0)</f>
        <v>3844</v>
      </c>
      <c r="O49" s="98">
        <f t="shared" si="172"/>
        <v>152</v>
      </c>
      <c r="P49" s="36">
        <f t="shared" ref="P49:R49" si="241">ROUNDUP(O49*15.23+$D49*2.5,0)</f>
        <v>2428</v>
      </c>
      <c r="Q49" s="98">
        <f t="shared" si="174"/>
        <v>102</v>
      </c>
      <c r="R49" s="36">
        <f t="shared" si="241"/>
        <v>1666</v>
      </c>
      <c r="S49" s="98">
        <f t="shared" si="175"/>
        <v>46</v>
      </c>
      <c r="T49" s="36">
        <f t="shared" ref="T49" si="242">ROUNDUP(S49*15.23+$D49*2.5,0)</f>
        <v>814</v>
      </c>
      <c r="U49" s="98">
        <f t="shared" si="177"/>
        <v>35</v>
      </c>
      <c r="V49" s="36">
        <f t="shared" ref="V49" si="243">ROUNDUP(U49*15.23+$D49*2.5,0)</f>
        <v>646</v>
      </c>
      <c r="Y49" s="36">
        <v>47</v>
      </c>
      <c r="Z49" s="36">
        <f t="shared" si="8"/>
        <v>0.63781270995231287</v>
      </c>
      <c r="AA49" s="36">
        <v>0.34985550886348532</v>
      </c>
      <c r="AB49" s="36">
        <v>1.6742249594174012</v>
      </c>
      <c r="AC49" s="36">
        <v>0.15282787803228109</v>
      </c>
      <c r="AD49" s="36">
        <v>0.83897046857230884</v>
      </c>
      <c r="AE49" s="36">
        <v>0.2029639074780227</v>
      </c>
      <c r="AF49" s="36">
        <v>0.40873376759398999</v>
      </c>
      <c r="AG49" s="36">
        <v>0.83711247970870062</v>
      </c>
    </row>
    <row r="50" spans="4:33" x14ac:dyDescent="0.15">
      <c r="D50" s="36">
        <v>45</v>
      </c>
      <c r="E50" s="36">
        <v>1</v>
      </c>
      <c r="F50" s="36">
        <f t="shared" si="9"/>
        <v>779</v>
      </c>
      <c r="G50" s="98">
        <f t="shared" si="166"/>
        <v>289</v>
      </c>
      <c r="H50" s="36">
        <f t="shared" si="10"/>
        <v>4514</v>
      </c>
      <c r="I50" s="98">
        <f t="shared" si="167"/>
        <v>198</v>
      </c>
      <c r="J50" s="36">
        <f t="shared" si="10"/>
        <v>3129</v>
      </c>
      <c r="K50" s="98">
        <f t="shared" si="168"/>
        <v>232</v>
      </c>
      <c r="L50" s="36">
        <f t="shared" ref="L50" si="244">ROUNDUP(K50*15.23+$D50*2.5,0)</f>
        <v>3646</v>
      </c>
      <c r="M50" s="98">
        <f t="shared" si="170"/>
        <v>502</v>
      </c>
      <c r="N50" s="36">
        <f t="shared" ref="N50" si="245">ROUNDUP(M50*15.23+$D50*2.5,0)</f>
        <v>7758</v>
      </c>
      <c r="O50" s="98">
        <f t="shared" si="172"/>
        <v>310</v>
      </c>
      <c r="P50" s="36">
        <f t="shared" ref="P50:R50" si="246">ROUNDUP(O50*15.23+$D50*2.5,0)</f>
        <v>4834</v>
      </c>
      <c r="Q50" s="98">
        <f t="shared" si="174"/>
        <v>208</v>
      </c>
      <c r="R50" s="36">
        <f t="shared" si="246"/>
        <v>3281</v>
      </c>
      <c r="S50" s="98">
        <f t="shared" si="175"/>
        <v>94</v>
      </c>
      <c r="T50" s="36">
        <f t="shared" ref="T50" si="247">ROUNDUP(S50*15.23+$D50*2.5,0)</f>
        <v>1545</v>
      </c>
      <c r="U50" s="98">
        <f t="shared" si="177"/>
        <v>71</v>
      </c>
      <c r="V50" s="36">
        <f t="shared" ref="V50" si="248">ROUNDUP(U50*15.23+$D50*2.5,0)</f>
        <v>1194</v>
      </c>
      <c r="Y50" s="36">
        <v>48</v>
      </c>
      <c r="Z50" s="36">
        <f t="shared" si="8"/>
        <v>0.64821314841087962</v>
      </c>
      <c r="AA50" s="36">
        <v>0.35583455841587569</v>
      </c>
      <c r="AB50" s="36">
        <v>1.7100357127776613</v>
      </c>
      <c r="AC50" s="36">
        <v>0.15384718904099623</v>
      </c>
      <c r="AD50" s="36">
        <v>0.84229629823808139</v>
      </c>
      <c r="AE50" s="36">
        <v>0.20416973040618</v>
      </c>
      <c r="AF50" s="36">
        <v>0.41629069360853349</v>
      </c>
      <c r="AG50" s="36">
        <v>0.85501785638883065</v>
      </c>
    </row>
    <row r="51" spans="4:33" x14ac:dyDescent="0.15">
      <c r="D51" s="36">
        <v>45</v>
      </c>
      <c r="E51" s="36">
        <v>2</v>
      </c>
      <c r="F51" s="36">
        <f t="shared" si="9"/>
        <v>1628</v>
      </c>
      <c r="G51" s="98">
        <f t="shared" si="166"/>
        <v>603</v>
      </c>
      <c r="H51" s="36">
        <f t="shared" si="10"/>
        <v>9297</v>
      </c>
      <c r="I51" s="98">
        <f t="shared" si="167"/>
        <v>413</v>
      </c>
      <c r="J51" s="36">
        <f t="shared" si="10"/>
        <v>6403</v>
      </c>
      <c r="K51" s="98">
        <f t="shared" si="168"/>
        <v>485</v>
      </c>
      <c r="L51" s="36">
        <f t="shared" ref="L51" si="249">ROUNDUP(K51*15.23+$D51*2.5,0)</f>
        <v>7500</v>
      </c>
      <c r="M51" s="98">
        <f t="shared" si="170"/>
        <v>1048</v>
      </c>
      <c r="N51" s="36">
        <f t="shared" ref="N51" si="250">ROUNDUP(M51*15.23+$D51*2.5,0)</f>
        <v>16074</v>
      </c>
      <c r="O51" s="98">
        <f t="shared" si="172"/>
        <v>647</v>
      </c>
      <c r="P51" s="36">
        <f t="shared" ref="P51:R51" si="251">ROUNDUP(O51*15.23+$D51*2.5,0)</f>
        <v>9967</v>
      </c>
      <c r="Q51" s="98">
        <f t="shared" si="174"/>
        <v>434</v>
      </c>
      <c r="R51" s="36">
        <f t="shared" si="251"/>
        <v>6723</v>
      </c>
      <c r="S51" s="98">
        <f t="shared" si="175"/>
        <v>196</v>
      </c>
      <c r="T51" s="36">
        <f t="shared" ref="T51" si="252">ROUNDUP(S51*15.23+$D51*2.5,0)</f>
        <v>3098</v>
      </c>
      <c r="U51" s="98">
        <f t="shared" si="177"/>
        <v>148</v>
      </c>
      <c r="V51" s="36">
        <f t="shared" ref="V51" si="253">ROUNDUP(U51*15.23+$D51*2.5,0)</f>
        <v>2367</v>
      </c>
      <c r="Y51" s="36">
        <v>49</v>
      </c>
      <c r="Z51" s="36">
        <f t="shared" si="8"/>
        <v>0.65904009733359181</v>
      </c>
      <c r="AA51" s="36">
        <v>0.3622925199644802</v>
      </c>
      <c r="AB51" s="36">
        <v>1.7463845729204004</v>
      </c>
      <c r="AC51" s="36">
        <v>0.15453336502056056</v>
      </c>
      <c r="AD51" s="36">
        <v>0.84548823800581363</v>
      </c>
      <c r="AE51" s="36">
        <v>0.20561270476094068</v>
      </c>
      <c r="AF51" s="36">
        <v>0.42577699420274728</v>
      </c>
      <c r="AG51" s="36">
        <v>0.8731922864602002</v>
      </c>
    </row>
    <row r="52" spans="4:33" x14ac:dyDescent="0.15">
      <c r="D52" s="36">
        <v>45</v>
      </c>
      <c r="E52" s="36">
        <v>3</v>
      </c>
      <c r="F52" s="36">
        <f t="shared" si="9"/>
        <v>3031</v>
      </c>
      <c r="G52" s="98">
        <f t="shared" si="166"/>
        <v>1123</v>
      </c>
      <c r="H52" s="36">
        <f t="shared" si="10"/>
        <v>17216</v>
      </c>
      <c r="I52" s="98">
        <f t="shared" si="167"/>
        <v>768</v>
      </c>
      <c r="J52" s="36">
        <f t="shared" si="10"/>
        <v>11810</v>
      </c>
      <c r="K52" s="98">
        <f t="shared" si="168"/>
        <v>903</v>
      </c>
      <c r="L52" s="36">
        <f t="shared" ref="L52" si="254">ROUNDUP(K52*15.23+$D52*2.5,0)</f>
        <v>13866</v>
      </c>
      <c r="M52" s="98">
        <f t="shared" si="170"/>
        <v>1951</v>
      </c>
      <c r="N52" s="36">
        <f t="shared" ref="N52" si="255">ROUNDUP(M52*15.23+$D52*2.5,0)</f>
        <v>29827</v>
      </c>
      <c r="O52" s="98">
        <f t="shared" si="172"/>
        <v>1205</v>
      </c>
      <c r="P52" s="36">
        <f t="shared" ref="P52:R52" si="256">ROUNDUP(O52*15.23+$D52*2.5,0)</f>
        <v>18465</v>
      </c>
      <c r="Q52" s="98">
        <f t="shared" si="174"/>
        <v>808</v>
      </c>
      <c r="R52" s="36">
        <f t="shared" si="256"/>
        <v>12419</v>
      </c>
      <c r="S52" s="98">
        <f t="shared" si="175"/>
        <v>365</v>
      </c>
      <c r="T52" s="36">
        <f t="shared" ref="T52" si="257">ROUNDUP(S52*15.23+$D52*2.5,0)</f>
        <v>5672</v>
      </c>
      <c r="U52" s="98">
        <f t="shared" si="177"/>
        <v>275</v>
      </c>
      <c r="V52" s="36">
        <f t="shared" ref="V52" si="258">ROUNDUP(U52*15.23+$D52*2.5,0)</f>
        <v>4301</v>
      </c>
      <c r="Y52" s="36">
        <v>50</v>
      </c>
      <c r="Z52" s="36">
        <f t="shared" si="8"/>
        <v>0.66928449365529963</v>
      </c>
      <c r="AA52" s="36">
        <v>0.36792214809456181</v>
      </c>
      <c r="AB52" s="36">
        <v>1.7829738676738289</v>
      </c>
      <c r="AC52" s="36">
        <v>0.15560769624385815</v>
      </c>
      <c r="AD52" s="36">
        <v>0.84843609451932067</v>
      </c>
      <c r="AE52" s="36">
        <v>0.20702235537471306</v>
      </c>
      <c r="AF52" s="36">
        <v>0.43154235984390055</v>
      </c>
      <c r="AG52" s="36">
        <v>0.89148693383691446</v>
      </c>
    </row>
    <row r="53" spans="4:33" x14ac:dyDescent="0.15">
      <c r="D53" s="36">
        <v>45</v>
      </c>
      <c r="E53" s="36">
        <v>4</v>
      </c>
      <c r="F53" s="36">
        <f t="shared" si="9"/>
        <v>5074</v>
      </c>
      <c r="G53" s="98">
        <f t="shared" si="166"/>
        <v>1879</v>
      </c>
      <c r="H53" s="36">
        <f t="shared" si="10"/>
        <v>28730</v>
      </c>
      <c r="I53" s="98">
        <f t="shared" si="167"/>
        <v>1285</v>
      </c>
      <c r="J53" s="36">
        <f t="shared" si="10"/>
        <v>19684</v>
      </c>
      <c r="K53" s="98">
        <f t="shared" si="168"/>
        <v>1511</v>
      </c>
      <c r="L53" s="36">
        <f t="shared" ref="L53" si="259">ROUNDUP(K53*15.23+$D53*2.5,0)</f>
        <v>23126</v>
      </c>
      <c r="M53" s="98">
        <f t="shared" si="170"/>
        <v>3265</v>
      </c>
      <c r="N53" s="36">
        <f t="shared" ref="N53" si="260">ROUNDUP(M53*15.23+$D53*2.5,0)</f>
        <v>49839</v>
      </c>
      <c r="O53" s="98">
        <f t="shared" si="172"/>
        <v>2017</v>
      </c>
      <c r="P53" s="36">
        <f t="shared" ref="P53:R53" si="261">ROUNDUP(O53*15.23+$D53*2.5,0)</f>
        <v>30832</v>
      </c>
      <c r="Q53" s="98">
        <f t="shared" si="174"/>
        <v>1353</v>
      </c>
      <c r="R53" s="36">
        <f t="shared" si="261"/>
        <v>20719</v>
      </c>
      <c r="S53" s="98">
        <f t="shared" si="175"/>
        <v>610</v>
      </c>
      <c r="T53" s="36">
        <f t="shared" ref="T53" si="262">ROUNDUP(S53*15.23+$D53*2.5,0)</f>
        <v>9403</v>
      </c>
      <c r="U53" s="98">
        <f t="shared" si="177"/>
        <v>461</v>
      </c>
      <c r="V53" s="36">
        <f t="shared" ref="V53" si="263">ROUNDUP(U53*15.23+$D53*2.5,0)</f>
        <v>7134</v>
      </c>
    </row>
    <row r="54" spans="4:33" x14ac:dyDescent="0.15">
      <c r="D54" s="36">
        <v>50</v>
      </c>
      <c r="E54" s="36">
        <v>0</v>
      </c>
      <c r="F54" s="36">
        <f t="shared" si="9"/>
        <v>403</v>
      </c>
      <c r="G54" s="98">
        <f t="shared" si="166"/>
        <v>162</v>
      </c>
      <c r="H54" s="36">
        <f t="shared" si="10"/>
        <v>2593</v>
      </c>
      <c r="I54" s="98">
        <f t="shared" si="167"/>
        <v>113</v>
      </c>
      <c r="J54" s="36">
        <f t="shared" si="10"/>
        <v>1846</v>
      </c>
      <c r="K54" s="98">
        <f t="shared" si="168"/>
        <v>134</v>
      </c>
      <c r="L54" s="36">
        <f t="shared" ref="L54" si="264">ROUNDUP(K54*15.23+$D54*2.5,0)</f>
        <v>2166</v>
      </c>
      <c r="M54" s="98">
        <f t="shared" si="170"/>
        <v>270</v>
      </c>
      <c r="N54" s="36">
        <f t="shared" ref="N54" si="265">ROUNDUP(M54*15.23+$D54*2.5,0)</f>
        <v>4238</v>
      </c>
      <c r="O54" s="98">
        <f t="shared" si="172"/>
        <v>178</v>
      </c>
      <c r="P54" s="36">
        <f t="shared" ref="P54:R54" si="266">ROUNDUP(O54*15.23+$D54*2.5,0)</f>
        <v>2836</v>
      </c>
      <c r="Q54" s="98">
        <f t="shared" si="174"/>
        <v>118</v>
      </c>
      <c r="R54" s="36">
        <f t="shared" si="266"/>
        <v>1923</v>
      </c>
      <c r="S54" s="98">
        <f t="shared" si="175"/>
        <v>51</v>
      </c>
      <c r="T54" s="36">
        <f t="shared" ref="T54" si="267">ROUNDUP(S54*15.23+$D54*2.5,0)</f>
        <v>902</v>
      </c>
      <c r="U54" s="98">
        <f t="shared" si="177"/>
        <v>38</v>
      </c>
      <c r="V54" s="36">
        <f t="shared" ref="V54" si="268">ROUNDUP(U54*15.23+$D54*2.5,0)</f>
        <v>704</v>
      </c>
    </row>
    <row r="55" spans="4:33" x14ac:dyDescent="0.15">
      <c r="D55" s="36">
        <v>50</v>
      </c>
      <c r="E55" s="36">
        <v>1</v>
      </c>
      <c r="F55" s="36">
        <f t="shared" si="9"/>
        <v>845</v>
      </c>
      <c r="G55" s="98">
        <f t="shared" si="166"/>
        <v>340</v>
      </c>
      <c r="H55" s="36">
        <f t="shared" si="10"/>
        <v>5304</v>
      </c>
      <c r="I55" s="98">
        <f t="shared" si="167"/>
        <v>237</v>
      </c>
      <c r="J55" s="36">
        <f t="shared" si="10"/>
        <v>3735</v>
      </c>
      <c r="K55" s="98">
        <f t="shared" si="168"/>
        <v>280</v>
      </c>
      <c r="L55" s="36">
        <f t="shared" ref="L55" si="269">ROUNDUP(K55*15.23+$D55*2.5,0)</f>
        <v>4390</v>
      </c>
      <c r="M55" s="98">
        <f t="shared" si="170"/>
        <v>566</v>
      </c>
      <c r="N55" s="36">
        <f t="shared" ref="N55" si="270">ROUNDUP(M55*15.23+$D55*2.5,0)</f>
        <v>8746</v>
      </c>
      <c r="O55" s="98">
        <f t="shared" si="172"/>
        <v>373</v>
      </c>
      <c r="P55" s="36">
        <f t="shared" ref="P55:R55" si="271">ROUNDUP(O55*15.23+$D55*2.5,0)</f>
        <v>5806</v>
      </c>
      <c r="Q55" s="98">
        <f t="shared" si="174"/>
        <v>247</v>
      </c>
      <c r="R55" s="36">
        <f t="shared" si="271"/>
        <v>3887</v>
      </c>
      <c r="S55" s="98">
        <f t="shared" si="175"/>
        <v>105</v>
      </c>
      <c r="T55" s="36">
        <f t="shared" ref="T55" si="272">ROUNDUP(S55*15.23+$D55*2.5,0)</f>
        <v>1725</v>
      </c>
      <c r="U55" s="98">
        <f t="shared" si="177"/>
        <v>79</v>
      </c>
      <c r="V55" s="36">
        <f t="shared" ref="V55" si="273">ROUNDUP(U55*15.23+$D55*2.5,0)</f>
        <v>1329</v>
      </c>
    </row>
    <row r="56" spans="4:33" x14ac:dyDescent="0.15">
      <c r="D56" s="36">
        <v>50</v>
      </c>
      <c r="E56" s="36">
        <v>2</v>
      </c>
      <c r="F56" s="36">
        <f t="shared" si="9"/>
        <v>1789</v>
      </c>
      <c r="G56" s="98">
        <f t="shared" si="166"/>
        <v>719</v>
      </c>
      <c r="H56" s="36">
        <f t="shared" si="10"/>
        <v>11076</v>
      </c>
      <c r="I56" s="98">
        <f t="shared" si="167"/>
        <v>502</v>
      </c>
      <c r="J56" s="36">
        <f t="shared" si="10"/>
        <v>7771</v>
      </c>
      <c r="K56" s="98">
        <f t="shared" si="168"/>
        <v>592</v>
      </c>
      <c r="L56" s="36">
        <f t="shared" ref="L56" si="274">ROUNDUP(K56*15.23+$D56*2.5,0)</f>
        <v>9142</v>
      </c>
      <c r="M56" s="98">
        <f t="shared" si="170"/>
        <v>1198</v>
      </c>
      <c r="N56" s="36">
        <f t="shared" ref="N56" si="275">ROUNDUP(M56*15.23+$D56*2.5,0)</f>
        <v>18371</v>
      </c>
      <c r="O56" s="98">
        <f t="shared" si="172"/>
        <v>789</v>
      </c>
      <c r="P56" s="36">
        <f t="shared" ref="P56:R56" si="276">ROUNDUP(O56*15.23+$D56*2.5,0)</f>
        <v>12142</v>
      </c>
      <c r="Q56" s="98">
        <f t="shared" si="174"/>
        <v>523</v>
      </c>
      <c r="R56" s="36">
        <f t="shared" si="276"/>
        <v>8091</v>
      </c>
      <c r="S56" s="98">
        <f t="shared" si="175"/>
        <v>223</v>
      </c>
      <c r="T56" s="36">
        <f t="shared" ref="T56" si="277">ROUNDUP(S56*15.23+$D56*2.5,0)</f>
        <v>3522</v>
      </c>
      <c r="U56" s="98">
        <f t="shared" si="177"/>
        <v>168</v>
      </c>
      <c r="V56" s="36">
        <f t="shared" ref="V56" si="278">ROUNDUP(U56*15.23+$D56*2.5,0)</f>
        <v>2684</v>
      </c>
    </row>
    <row r="57" spans="4:33" x14ac:dyDescent="0.15">
      <c r="D57" s="36">
        <v>50</v>
      </c>
      <c r="E57" s="36">
        <v>3</v>
      </c>
      <c r="F57" s="36">
        <f t="shared" si="9"/>
        <v>3348</v>
      </c>
      <c r="G57" s="98">
        <f t="shared" si="166"/>
        <v>1345</v>
      </c>
      <c r="H57" s="36">
        <f t="shared" si="10"/>
        <v>20610</v>
      </c>
      <c r="I57" s="98">
        <f t="shared" si="167"/>
        <v>939</v>
      </c>
      <c r="J57" s="36">
        <f t="shared" si="10"/>
        <v>14426</v>
      </c>
      <c r="K57" s="98">
        <f t="shared" si="168"/>
        <v>1107</v>
      </c>
      <c r="L57" s="36">
        <f t="shared" ref="L57" si="279">ROUNDUP(K57*15.23+$D57*2.5,0)</f>
        <v>16985</v>
      </c>
      <c r="M57" s="98">
        <f t="shared" si="170"/>
        <v>2242</v>
      </c>
      <c r="N57" s="36">
        <f t="shared" ref="N57" si="280">ROUNDUP(M57*15.23+$D57*2.5,0)</f>
        <v>34271</v>
      </c>
      <c r="O57" s="98">
        <f t="shared" si="172"/>
        <v>1476</v>
      </c>
      <c r="P57" s="36">
        <f t="shared" ref="P57:R57" si="281">ROUNDUP(O57*15.23+$D57*2.5,0)</f>
        <v>22605</v>
      </c>
      <c r="Q57" s="98">
        <f t="shared" si="174"/>
        <v>978</v>
      </c>
      <c r="R57" s="36">
        <f t="shared" si="281"/>
        <v>15020</v>
      </c>
      <c r="S57" s="98">
        <f t="shared" si="175"/>
        <v>416</v>
      </c>
      <c r="T57" s="36">
        <f t="shared" ref="T57" si="282">ROUNDUP(S57*15.23+$D57*2.5,0)</f>
        <v>6461</v>
      </c>
      <c r="U57" s="98">
        <f t="shared" si="177"/>
        <v>313</v>
      </c>
      <c r="V57" s="36">
        <f t="shared" ref="V57" si="283">ROUNDUP(U57*15.23+$D57*2.5,0)</f>
        <v>4892</v>
      </c>
    </row>
    <row r="58" spans="4:33" x14ac:dyDescent="0.15">
      <c r="D58" s="36">
        <v>50</v>
      </c>
      <c r="E58" s="36">
        <v>4</v>
      </c>
      <c r="F58" s="36">
        <f t="shared" si="9"/>
        <v>5618</v>
      </c>
      <c r="G58" s="98">
        <f t="shared" si="166"/>
        <v>2257</v>
      </c>
      <c r="H58" s="36">
        <f t="shared" si="10"/>
        <v>34500</v>
      </c>
      <c r="I58" s="98">
        <f t="shared" si="167"/>
        <v>1575</v>
      </c>
      <c r="J58" s="36">
        <f t="shared" si="10"/>
        <v>24113</v>
      </c>
      <c r="K58" s="98">
        <f t="shared" si="168"/>
        <v>1857</v>
      </c>
      <c r="L58" s="36">
        <f t="shared" ref="L58" si="284">ROUNDUP(K58*15.23+$D58*2.5,0)</f>
        <v>28408</v>
      </c>
      <c r="M58" s="98">
        <f t="shared" si="170"/>
        <v>3762</v>
      </c>
      <c r="N58" s="36">
        <f t="shared" ref="N58" si="285">ROUNDUP(M58*15.23+$D58*2.5,0)</f>
        <v>57421</v>
      </c>
      <c r="O58" s="98">
        <f t="shared" si="172"/>
        <v>2476</v>
      </c>
      <c r="P58" s="36">
        <f t="shared" ref="P58:R58" si="286">ROUNDUP(O58*15.23+$D58*2.5,0)</f>
        <v>37835</v>
      </c>
      <c r="Q58" s="98">
        <f t="shared" si="174"/>
        <v>1641</v>
      </c>
      <c r="R58" s="36">
        <f t="shared" si="286"/>
        <v>25118</v>
      </c>
      <c r="S58" s="98">
        <f t="shared" si="175"/>
        <v>698</v>
      </c>
      <c r="T58" s="36">
        <f t="shared" ref="T58" si="287">ROUNDUP(S58*15.23+$D58*2.5,0)</f>
        <v>10756</v>
      </c>
      <c r="U58" s="98">
        <f t="shared" si="177"/>
        <v>525</v>
      </c>
      <c r="V58" s="36">
        <f t="shared" ref="V58" si="288">ROUNDUP(U58*15.23+$D58*2.5,0)</f>
        <v>8121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B64"/>
  <sheetViews>
    <sheetView tabSelected="1" topLeftCell="AD1" workbookViewId="0">
      <pane ySplit="8" topLeftCell="A27" activePane="bottomLeft" state="frozen"/>
      <selection pane="bottomLeft" activeCell="BB9" sqref="BB9:BB58"/>
    </sheetView>
  </sheetViews>
  <sheetFormatPr defaultRowHeight="12" x14ac:dyDescent="0.15"/>
  <cols>
    <col min="1" max="16384" width="9" style="17"/>
  </cols>
  <sheetData>
    <row r="2" spans="2:54" x14ac:dyDescent="0.15">
      <c r="B2" s="164" t="s">
        <v>905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V2" s="164" t="s">
        <v>906</v>
      </c>
      <c r="W2" s="177"/>
      <c r="X2" s="177"/>
      <c r="Y2" s="177"/>
      <c r="Z2" s="177"/>
      <c r="AA2" s="177"/>
      <c r="AB2" s="177"/>
      <c r="AC2" s="177"/>
      <c r="AD2" s="177"/>
      <c r="AE2" s="177"/>
      <c r="AF2" s="177"/>
    </row>
    <row r="3" spans="2:54" x14ac:dyDescent="0.15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N3" s="18" t="s">
        <v>57</v>
      </c>
      <c r="O3" s="18">
        <v>1.7</v>
      </c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</row>
    <row r="4" spans="2:54" x14ac:dyDescent="0.15"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N4" s="18" t="s">
        <v>58</v>
      </c>
      <c r="O4" s="18">
        <v>0</v>
      </c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</row>
    <row r="5" spans="2:54" x14ac:dyDescent="0.15">
      <c r="N5" s="18" t="s">
        <v>59</v>
      </c>
      <c r="O5" s="18">
        <v>2</v>
      </c>
      <c r="AH5" s="18" t="s">
        <v>62</v>
      </c>
      <c r="AI5" s="18">
        <v>2</v>
      </c>
      <c r="AP5" s="178" t="s">
        <v>221</v>
      </c>
      <c r="AQ5" s="178"/>
      <c r="AR5" s="178"/>
      <c r="AS5" s="178"/>
      <c r="AT5" s="178"/>
      <c r="AU5" s="178"/>
      <c r="AV5" s="178"/>
      <c r="AW5" s="178"/>
      <c r="AX5" s="178"/>
      <c r="AY5" s="178"/>
      <c r="AZ5" s="178"/>
    </row>
    <row r="6" spans="2:54" x14ac:dyDescent="0.15">
      <c r="N6" s="18" t="s">
        <v>60</v>
      </c>
      <c r="O6" s="18">
        <v>0</v>
      </c>
      <c r="AH6" s="18" t="s">
        <v>58</v>
      </c>
      <c r="AI6" s="18">
        <v>2</v>
      </c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</row>
    <row r="7" spans="2:54" x14ac:dyDescent="0.15">
      <c r="C7" s="17">
        <v>0</v>
      </c>
      <c r="D7" s="17">
        <v>1</v>
      </c>
      <c r="E7" s="17">
        <v>2</v>
      </c>
      <c r="F7" s="17">
        <v>3</v>
      </c>
      <c r="G7" s="17">
        <v>4</v>
      </c>
      <c r="H7" s="17">
        <v>5</v>
      </c>
      <c r="I7" s="17">
        <v>6</v>
      </c>
      <c r="J7" s="17">
        <v>7</v>
      </c>
      <c r="K7" s="17">
        <v>8</v>
      </c>
      <c r="L7" s="17">
        <v>9</v>
      </c>
      <c r="N7" s="18" t="s">
        <v>61</v>
      </c>
      <c r="O7" s="18">
        <v>0</v>
      </c>
      <c r="W7" s="17">
        <v>0</v>
      </c>
      <c r="X7" s="17">
        <v>1</v>
      </c>
      <c r="Y7" s="17">
        <v>2</v>
      </c>
      <c r="Z7" s="17">
        <v>3</v>
      </c>
      <c r="AA7" s="17">
        <v>4</v>
      </c>
      <c r="AB7" s="17">
        <v>5</v>
      </c>
      <c r="AC7" s="17">
        <v>6</v>
      </c>
      <c r="AD7" s="17">
        <v>7</v>
      </c>
      <c r="AE7" s="17">
        <v>8</v>
      </c>
      <c r="AF7" s="17">
        <v>9</v>
      </c>
      <c r="AH7" s="18" t="s">
        <v>59</v>
      </c>
      <c r="AI7" s="18">
        <v>1.7</v>
      </c>
    </row>
    <row r="8" spans="2:54" x14ac:dyDescent="0.15">
      <c r="B8" s="6" t="s">
        <v>46</v>
      </c>
      <c r="C8" s="6" t="s">
        <v>47</v>
      </c>
      <c r="D8" s="6" t="s">
        <v>48</v>
      </c>
      <c r="E8" s="6" t="s">
        <v>49</v>
      </c>
      <c r="F8" s="6" t="s">
        <v>50</v>
      </c>
      <c r="G8" s="6" t="s">
        <v>51</v>
      </c>
      <c r="H8" s="6" t="s">
        <v>52</v>
      </c>
      <c r="I8" s="6" t="s">
        <v>53</v>
      </c>
      <c r="J8" s="6" t="s">
        <v>54</v>
      </c>
      <c r="K8" s="6" t="s">
        <v>55</v>
      </c>
      <c r="L8" s="6" t="s">
        <v>56</v>
      </c>
      <c r="V8" s="6" t="s">
        <v>46</v>
      </c>
      <c r="W8" s="6" t="s">
        <v>47</v>
      </c>
      <c r="X8" s="6" t="s">
        <v>48</v>
      </c>
      <c r="Y8" s="6" t="s">
        <v>49</v>
      </c>
      <c r="Z8" s="6" t="s">
        <v>50</v>
      </c>
      <c r="AA8" s="6" t="s">
        <v>51</v>
      </c>
      <c r="AB8" s="6" t="s">
        <v>52</v>
      </c>
      <c r="AC8" s="6" t="s">
        <v>53</v>
      </c>
      <c r="AD8" s="6" t="s">
        <v>54</v>
      </c>
      <c r="AE8" s="6" t="s">
        <v>55</v>
      </c>
      <c r="AF8" s="6" t="s">
        <v>56</v>
      </c>
      <c r="AP8" s="6" t="s">
        <v>46</v>
      </c>
      <c r="AQ8" s="6" t="s">
        <v>47</v>
      </c>
      <c r="AR8" s="6" t="s">
        <v>48</v>
      </c>
      <c r="AS8" s="6" t="s">
        <v>49</v>
      </c>
      <c r="AT8" s="6" t="s">
        <v>50</v>
      </c>
      <c r="AU8" s="6" t="s">
        <v>51</v>
      </c>
      <c r="AV8" s="6" t="s">
        <v>52</v>
      </c>
      <c r="AW8" s="6" t="s">
        <v>53</v>
      </c>
      <c r="AX8" s="6" t="s">
        <v>54</v>
      </c>
      <c r="AY8" s="6" t="s">
        <v>55</v>
      </c>
      <c r="AZ8" s="6" t="s">
        <v>56</v>
      </c>
    </row>
    <row r="9" spans="2:54" x14ac:dyDescent="0.15">
      <c r="B9" s="13">
        <v>1</v>
      </c>
      <c r="C9" s="14">
        <f>(((100-B9)/100)^($O$3+$C$7/$O$5)+$O$4)*100+1.69</f>
        <v>99.99595596942693</v>
      </c>
      <c r="D9" s="14">
        <f>(((100-B9)/100)^($O$3+$D$7/$O$5)+$O$4)*100+1.69</f>
        <v>99.503191182336337</v>
      </c>
      <c r="E9" s="14">
        <f>(((100-B9)/100)^($O$3+$E$7/$O$5)+$O$4)*100+1.69</f>
        <v>99.012896409732676</v>
      </c>
      <c r="F9" s="14">
        <f>(((100-B9)/100)^($O$3+$F$7/$O$5)+$O$4)*100+1.69</f>
        <v>98.525059270512983</v>
      </c>
      <c r="G9" s="14">
        <f>(((100-B9)/100)^($O$3+$G$7/$O$5)+$O$4)*100+1.69</f>
        <v>98.039667445635345</v>
      </c>
      <c r="H9" s="14">
        <f>(((100-B9)/100)^($O$3+$H$7/$O$5)+$O$4)*100+1.69</f>
        <v>97.556708677807848</v>
      </c>
      <c r="I9" s="14">
        <f>(((100-B9)/100)^($O$3+$I$7/$O$5)+$O$4)*100+1.69</f>
        <v>97.076170771178994</v>
      </c>
      <c r="J9" s="14">
        <f>(((100-B9)/100)^($O$3+$J$7/$O$5)+$O$4)*100+1.69</f>
        <v>96.598041591029769</v>
      </c>
      <c r="K9" s="14">
        <f>(((100-B9)/100)^($O$3+$K$7/$O$5)+$O$4)*100+1.69</f>
        <v>96.122309063467199</v>
      </c>
      <c r="L9" s="14">
        <f>(((100-B9)/100)^($O$3+$L$7/$O$5)+$O$4)*100+1.69</f>
        <v>95.648961175119467</v>
      </c>
      <c r="V9" s="13">
        <v>1</v>
      </c>
      <c r="W9" s="14">
        <f t="shared" ref="W9:W40" si="0">99+V9^$AI$5+INT($W$7^$AI$6*$AI$7*V9)</f>
        <v>100</v>
      </c>
      <c r="X9" s="14">
        <f t="shared" ref="X9:X40" si="1">99+V9^$AI$5+INT($X$7^$AI$6*$AI$7*V9)</f>
        <v>101</v>
      </c>
      <c r="Y9" s="14">
        <f t="shared" ref="Y9:Y40" si="2">99+V9^$AI$5+INT($Y$7^$AI$6*$AI$7*V9)</f>
        <v>106</v>
      </c>
      <c r="Z9" s="14">
        <f t="shared" ref="Z9:Z40" si="3">99+V9^$AI$5+INT($Z$7^$AI$6*$AI$7*V9)</f>
        <v>115</v>
      </c>
      <c r="AA9" s="14">
        <f t="shared" ref="AA9:AA40" si="4">99+V9^$AI$5+INT($AA$7^$AI$6*$AI$7*V9)</f>
        <v>127</v>
      </c>
      <c r="AB9" s="14">
        <f t="shared" ref="AB9:AB40" si="5">99+V9^$AI$5+INT($AB$7^$AI$6*$AI$7*V9)</f>
        <v>142</v>
      </c>
      <c r="AC9" s="14">
        <f t="shared" ref="AC9:AC40" si="6">99+V9^$AI$5+INT($AC$7^$AI$6*$AI$7*V9)</f>
        <v>161</v>
      </c>
      <c r="AD9" s="14">
        <f t="shared" ref="AD9:AD40" si="7">99+V9^$AI$5+INT($AD$7^$AI$6*$AI$7*V9)</f>
        <v>183</v>
      </c>
      <c r="AE9" s="14">
        <f t="shared" ref="AE9:AE40" si="8">99+V9^$AI$5+INT($AE$7^$AI$6*$AI$7*V9)</f>
        <v>208</v>
      </c>
      <c r="AF9" s="14">
        <f t="shared" ref="AF9:AF40" si="9">99+V9^$AI$5+INT($AF$7^$AI$6*$AI$7*V9)</f>
        <v>237</v>
      </c>
      <c r="AP9" s="13">
        <v>1</v>
      </c>
      <c r="AQ9" s="13">
        <f>ROUNDUP(100/C9,0)*W9</f>
        <v>200</v>
      </c>
      <c r="AR9" s="13">
        <f t="shared" ref="AR9:AZ9" si="10">ROUNDUP(100/D9,0)*X9+AQ9</f>
        <v>402</v>
      </c>
      <c r="AS9" s="13">
        <f t="shared" si="10"/>
        <v>614</v>
      </c>
      <c r="AT9" s="13">
        <f t="shared" si="10"/>
        <v>844</v>
      </c>
      <c r="AU9" s="13">
        <f t="shared" si="10"/>
        <v>1098</v>
      </c>
      <c r="AV9" s="13">
        <f t="shared" si="10"/>
        <v>1382</v>
      </c>
      <c r="AW9" s="13">
        <f t="shared" si="10"/>
        <v>1704</v>
      </c>
      <c r="AX9" s="13">
        <f t="shared" si="10"/>
        <v>2070</v>
      </c>
      <c r="AY9" s="13">
        <f t="shared" si="10"/>
        <v>2486</v>
      </c>
      <c r="AZ9" s="13">
        <f t="shared" si="10"/>
        <v>2960</v>
      </c>
      <c r="BB9" s="17" t="str">
        <f>"{0 , "&amp;AQ9&amp;" , "&amp;AR9&amp;" , "&amp;AS9&amp;" , "&amp;AT9&amp;" , "&amp;AU9&amp;" , "&amp;AV9&amp;" , "&amp;AW9&amp;" , "&amp;AX9&amp;" , "&amp;AY9&amp;" , "&amp;AZ9&amp;"},"</f>
        <v>{0 , 200 , 402 , 614 , 844 , 1098 , 1382 , 1704 , 2070 , 2486 , 2960},</v>
      </c>
    </row>
    <row r="10" spans="2:54" x14ac:dyDescent="0.15">
      <c r="B10" s="3">
        <v>2</v>
      </c>
      <c r="C10" s="15">
        <f t="shared" ref="C10:C58" si="11">(((100-B10)/100)^($O$3+$C$7/$O$5)+$O$4)*100+1.69</f>
        <v>98.313847912278177</v>
      </c>
      <c r="D10" s="15">
        <f t="shared" ref="D10:D58" si="12">(((100-B10)/100)^($O$3+$D$7/$O$5)+$O$4)*100+1.69</f>
        <v>97.342729316353342</v>
      </c>
      <c r="E10" s="15">
        <f t="shared" ref="E10:E58" si="13">(((100-B10)/100)^($O$3+$E$7/$O$5)+$O$4)*100+1.69</f>
        <v>96.381370954032619</v>
      </c>
      <c r="F10" s="15">
        <f t="shared" ref="F10:F58" si="14">(((100-B10)/100)^($O$3+$F$7/$O$5)+$O$4)*100+1.69</f>
        <v>95.429674730026278</v>
      </c>
      <c r="G10" s="15">
        <f t="shared" ref="G10:G58" si="15">(((100-B10)/100)^($O$3+$G$7/$O$5)+$O$4)*100+1.69</f>
        <v>94.487543534951953</v>
      </c>
      <c r="H10" s="15">
        <f t="shared" ref="H10:H58" si="16">(((100-B10)/100)^($O$3+$H$7/$O$5)+$O$4)*100+1.69</f>
        <v>93.554881235425739</v>
      </c>
      <c r="I10" s="15">
        <f t="shared" ref="I10:I58" si="17">(((100-B10)/100)^($O$3+$I$7/$O$5)+$O$4)*100+1.69</f>
        <v>92.631592664252906</v>
      </c>
      <c r="J10" s="15">
        <f t="shared" ref="J10:J58" si="18">(((100-B10)/100)^($O$3+$J$7/$O$5)+$O$4)*100+1.69</f>
        <v>91.717583610717227</v>
      </c>
      <c r="K10" s="15">
        <f t="shared" ref="K10:K58" si="19">(((100-B10)/100)^($O$3+$K$7/$O$5)+$O$4)*100+1.69</f>
        <v>90.812760810967859</v>
      </c>
      <c r="L10" s="15">
        <f t="shared" ref="L10:L58" si="20">(((100-B10)/100)^($O$3+$L$7/$O$5)+$O$4)*100+1.69</f>
        <v>89.917031938502888</v>
      </c>
      <c r="V10" s="3">
        <v>2</v>
      </c>
      <c r="W10" s="15">
        <f t="shared" si="0"/>
        <v>103</v>
      </c>
      <c r="X10" s="15">
        <f t="shared" si="1"/>
        <v>106</v>
      </c>
      <c r="Y10" s="15">
        <f t="shared" si="2"/>
        <v>116</v>
      </c>
      <c r="Z10" s="15">
        <f t="shared" si="3"/>
        <v>133</v>
      </c>
      <c r="AA10" s="15">
        <f t="shared" si="4"/>
        <v>157</v>
      </c>
      <c r="AB10" s="15">
        <f t="shared" si="5"/>
        <v>188</v>
      </c>
      <c r="AC10" s="15">
        <f t="shared" si="6"/>
        <v>225</v>
      </c>
      <c r="AD10" s="15">
        <f t="shared" si="7"/>
        <v>269</v>
      </c>
      <c r="AE10" s="15">
        <f t="shared" si="8"/>
        <v>320</v>
      </c>
      <c r="AF10" s="15">
        <f t="shared" si="9"/>
        <v>378</v>
      </c>
      <c r="AP10" s="3">
        <v>2</v>
      </c>
      <c r="AQ10" s="3">
        <f t="shared" ref="AQ10:AQ58" si="21">ROUNDUP(100/C10,0)*W10</f>
        <v>206</v>
      </c>
      <c r="AR10" s="3">
        <f t="shared" ref="AR10:AZ10" si="22">ROUNDUP(100/D10,0)*X10+AQ10</f>
        <v>418</v>
      </c>
      <c r="AS10" s="3">
        <f t="shared" si="22"/>
        <v>650</v>
      </c>
      <c r="AT10" s="3">
        <f t="shared" si="22"/>
        <v>916</v>
      </c>
      <c r="AU10" s="3">
        <f t="shared" si="22"/>
        <v>1230</v>
      </c>
      <c r="AV10" s="3">
        <f t="shared" si="22"/>
        <v>1606</v>
      </c>
      <c r="AW10" s="3">
        <f t="shared" si="22"/>
        <v>2056</v>
      </c>
      <c r="AX10" s="3">
        <f t="shared" si="22"/>
        <v>2594</v>
      </c>
      <c r="AY10" s="3">
        <f t="shared" si="22"/>
        <v>3234</v>
      </c>
      <c r="AZ10" s="3">
        <f t="shared" si="22"/>
        <v>3990</v>
      </c>
      <c r="BB10" s="17" t="str">
        <f t="shared" ref="BB10:BB58" si="23">"{0 , "&amp;AQ10&amp;" , "&amp;AR10&amp;" , "&amp;AS10&amp;" , "&amp;AT10&amp;" , "&amp;AU10&amp;" , "&amp;AV10&amp;" , "&amp;AW10&amp;" , "&amp;AX10&amp;" , "&amp;AY10&amp;" , "&amp;AZ10&amp;"},"</f>
        <v>{0 , 206 , 418 , 650 , 916 , 1230 , 1606 , 2056 , 2594 , 3234 , 3990},</v>
      </c>
    </row>
    <row r="11" spans="2:54" x14ac:dyDescent="0.15">
      <c r="B11" s="3">
        <v>3</v>
      </c>
      <c r="C11" s="15">
        <f t="shared" si="11"/>
        <v>96.643712238316311</v>
      </c>
      <c r="D11" s="15">
        <f t="shared" si="12"/>
        <v>95.208560958784389</v>
      </c>
      <c r="E11" s="15">
        <f t="shared" si="13"/>
        <v>93.795100871166824</v>
      </c>
      <c r="F11" s="15">
        <f t="shared" si="14"/>
        <v>92.403004130020861</v>
      </c>
      <c r="G11" s="15">
        <f t="shared" si="15"/>
        <v>91.031947845031809</v>
      </c>
      <c r="H11" s="15">
        <f t="shared" si="16"/>
        <v>89.681614006120213</v>
      </c>
      <c r="I11" s="15">
        <f t="shared" si="17"/>
        <v>88.351689409680844</v>
      </c>
      <c r="J11" s="15">
        <f t="shared" si="18"/>
        <v>87.04186558593662</v>
      </c>
      <c r="K11" s="15">
        <f t="shared" si="19"/>
        <v>85.751838727390421</v>
      </c>
      <c r="L11" s="15">
        <f t="shared" si="20"/>
        <v>84.481309618358523</v>
      </c>
      <c r="V11" s="3">
        <v>3</v>
      </c>
      <c r="W11" s="15">
        <f t="shared" si="0"/>
        <v>108</v>
      </c>
      <c r="X11" s="15">
        <f t="shared" si="1"/>
        <v>113</v>
      </c>
      <c r="Y11" s="15">
        <f t="shared" si="2"/>
        <v>128</v>
      </c>
      <c r="Z11" s="15">
        <f t="shared" si="3"/>
        <v>153</v>
      </c>
      <c r="AA11" s="15">
        <f t="shared" si="4"/>
        <v>189</v>
      </c>
      <c r="AB11" s="15">
        <f t="shared" si="5"/>
        <v>235</v>
      </c>
      <c r="AC11" s="15">
        <f t="shared" si="6"/>
        <v>291</v>
      </c>
      <c r="AD11" s="15">
        <f t="shared" si="7"/>
        <v>357</v>
      </c>
      <c r="AE11" s="15">
        <f t="shared" si="8"/>
        <v>434</v>
      </c>
      <c r="AF11" s="15">
        <f t="shared" si="9"/>
        <v>521</v>
      </c>
      <c r="AP11" s="3">
        <v>3</v>
      </c>
      <c r="AQ11" s="3">
        <f t="shared" si="21"/>
        <v>216</v>
      </c>
      <c r="AR11" s="3">
        <f t="shared" ref="AR11:AZ11" si="24">ROUNDUP(100/D11,0)*X11+AQ11</f>
        <v>442</v>
      </c>
      <c r="AS11" s="3">
        <f t="shared" si="24"/>
        <v>698</v>
      </c>
      <c r="AT11" s="3">
        <f t="shared" si="24"/>
        <v>1004</v>
      </c>
      <c r="AU11" s="3">
        <f t="shared" si="24"/>
        <v>1382</v>
      </c>
      <c r="AV11" s="3">
        <f t="shared" si="24"/>
        <v>1852</v>
      </c>
      <c r="AW11" s="3">
        <f t="shared" si="24"/>
        <v>2434</v>
      </c>
      <c r="AX11" s="3">
        <f t="shared" si="24"/>
        <v>3148</v>
      </c>
      <c r="AY11" s="3">
        <f t="shared" si="24"/>
        <v>4016</v>
      </c>
      <c r="AZ11" s="3">
        <f t="shared" si="24"/>
        <v>5058</v>
      </c>
      <c r="BB11" s="17" t="str">
        <f t="shared" si="23"/>
        <v>{0 , 216 , 442 , 698 , 1004 , 1382 , 1852 , 2434 , 3148 , 4016 , 5058},</v>
      </c>
    </row>
    <row r="12" spans="2:54" x14ac:dyDescent="0.15">
      <c r="B12" s="3">
        <v>4</v>
      </c>
      <c r="C12" s="15">
        <f t="shared" si="11"/>
        <v>94.985585843541855</v>
      </c>
      <c r="D12" s="15">
        <f t="shared" si="12"/>
        <v>93.100632228281299</v>
      </c>
      <c r="E12" s="15">
        <f t="shared" si="13"/>
        <v>91.253762409800188</v>
      </c>
      <c r="F12" s="15">
        <f t="shared" si="14"/>
        <v>89.44420693915005</v>
      </c>
      <c r="G12" s="15">
        <f t="shared" si="15"/>
        <v>87.671211913408172</v>
      </c>
      <c r="H12" s="15">
        <f t="shared" si="16"/>
        <v>85.93403866158404</v>
      </c>
      <c r="I12" s="15">
        <f t="shared" si="17"/>
        <v>84.231963436871837</v>
      </c>
      <c r="J12" s="15">
        <f t="shared" si="18"/>
        <v>82.564277115120674</v>
      </c>
      <c r="K12" s="15">
        <f t="shared" si="19"/>
        <v>80.930284899396966</v>
      </c>
      <c r="L12" s="15">
        <f t="shared" si="20"/>
        <v>79.329306030515838</v>
      </c>
      <c r="V12" s="3">
        <v>4</v>
      </c>
      <c r="W12" s="15">
        <f t="shared" si="0"/>
        <v>115</v>
      </c>
      <c r="X12" s="15">
        <f t="shared" si="1"/>
        <v>121</v>
      </c>
      <c r="Y12" s="15">
        <f t="shared" si="2"/>
        <v>142</v>
      </c>
      <c r="Z12" s="15">
        <f t="shared" si="3"/>
        <v>176</v>
      </c>
      <c r="AA12" s="15">
        <f t="shared" si="4"/>
        <v>223</v>
      </c>
      <c r="AB12" s="15">
        <f t="shared" si="5"/>
        <v>285</v>
      </c>
      <c r="AC12" s="15">
        <f t="shared" si="6"/>
        <v>359</v>
      </c>
      <c r="AD12" s="15">
        <f t="shared" si="7"/>
        <v>448</v>
      </c>
      <c r="AE12" s="15">
        <f t="shared" si="8"/>
        <v>550</v>
      </c>
      <c r="AF12" s="15">
        <f t="shared" si="9"/>
        <v>665</v>
      </c>
      <c r="AP12" s="3">
        <v>4</v>
      </c>
      <c r="AQ12" s="3">
        <f t="shared" si="21"/>
        <v>230</v>
      </c>
      <c r="AR12" s="3">
        <f t="shared" ref="AR12:AZ12" si="25">ROUNDUP(100/D12,0)*X12+AQ12</f>
        <v>472</v>
      </c>
      <c r="AS12" s="3">
        <f t="shared" si="25"/>
        <v>756</v>
      </c>
      <c r="AT12" s="3">
        <f t="shared" si="25"/>
        <v>1108</v>
      </c>
      <c r="AU12" s="3">
        <f t="shared" si="25"/>
        <v>1554</v>
      </c>
      <c r="AV12" s="3">
        <f t="shared" si="25"/>
        <v>2124</v>
      </c>
      <c r="AW12" s="3">
        <f t="shared" si="25"/>
        <v>2842</v>
      </c>
      <c r="AX12" s="3">
        <f t="shared" si="25"/>
        <v>3738</v>
      </c>
      <c r="AY12" s="3">
        <f t="shared" si="25"/>
        <v>4838</v>
      </c>
      <c r="AZ12" s="3">
        <f t="shared" si="25"/>
        <v>6168</v>
      </c>
      <c r="BB12" s="17" t="str">
        <f t="shared" si="23"/>
        <v>{0 , 230 , 472 , 756 , 1108 , 1554 , 2124 , 2842 , 3738 , 4838 , 6168},</v>
      </c>
    </row>
    <row r="13" spans="2:54" x14ac:dyDescent="0.15">
      <c r="B13" s="13">
        <v>5</v>
      </c>
      <c r="C13" s="14">
        <f t="shared" si="11"/>
        <v>93.339506121801264</v>
      </c>
      <c r="D13" s="14">
        <f t="shared" si="12"/>
        <v>91.018888797250696</v>
      </c>
      <c r="E13" s="14">
        <f t="shared" si="13"/>
        <v>88.75703081571119</v>
      </c>
      <c r="F13" s="14">
        <f t="shared" si="14"/>
        <v>86.552444357388168</v>
      </c>
      <c r="G13" s="14">
        <f t="shared" si="15"/>
        <v>84.403679274925636</v>
      </c>
      <c r="H13" s="14">
        <f t="shared" si="16"/>
        <v>82.309322139518756</v>
      </c>
      <c r="I13" s="14">
        <f t="shared" si="17"/>
        <v>80.267995311179348</v>
      </c>
      <c r="J13" s="14">
        <f t="shared" si="18"/>
        <v>78.278356032542817</v>
      </c>
      <c r="K13" s="14">
        <f t="shared" si="19"/>
        <v>76.339095545620381</v>
      </c>
      <c r="L13" s="14">
        <f t="shared" si="20"/>
        <v>74.448938230915672</v>
      </c>
      <c r="V13" s="13">
        <v>5</v>
      </c>
      <c r="W13" s="14">
        <f t="shared" si="0"/>
        <v>124</v>
      </c>
      <c r="X13" s="14">
        <f t="shared" si="1"/>
        <v>132</v>
      </c>
      <c r="Y13" s="14">
        <f t="shared" si="2"/>
        <v>158</v>
      </c>
      <c r="Z13" s="14">
        <f t="shared" si="3"/>
        <v>200</v>
      </c>
      <c r="AA13" s="14">
        <f t="shared" si="4"/>
        <v>260</v>
      </c>
      <c r="AB13" s="14">
        <f t="shared" si="5"/>
        <v>336</v>
      </c>
      <c r="AC13" s="14">
        <f t="shared" si="6"/>
        <v>430</v>
      </c>
      <c r="AD13" s="14">
        <f t="shared" si="7"/>
        <v>540</v>
      </c>
      <c r="AE13" s="14">
        <f t="shared" si="8"/>
        <v>668</v>
      </c>
      <c r="AF13" s="14">
        <f t="shared" si="9"/>
        <v>812</v>
      </c>
      <c r="AP13" s="13">
        <v>5</v>
      </c>
      <c r="AQ13" s="13">
        <f t="shared" si="21"/>
        <v>248</v>
      </c>
      <c r="AR13" s="13">
        <f t="shared" ref="AR13:AZ13" si="26">ROUNDUP(100/D13,0)*X13+AQ13</f>
        <v>512</v>
      </c>
      <c r="AS13" s="13">
        <f t="shared" si="26"/>
        <v>828</v>
      </c>
      <c r="AT13" s="13">
        <f t="shared" si="26"/>
        <v>1228</v>
      </c>
      <c r="AU13" s="13">
        <f t="shared" si="26"/>
        <v>1748</v>
      </c>
      <c r="AV13" s="13">
        <f t="shared" si="26"/>
        <v>2420</v>
      </c>
      <c r="AW13" s="13">
        <f t="shared" si="26"/>
        <v>3280</v>
      </c>
      <c r="AX13" s="13">
        <f t="shared" si="26"/>
        <v>4360</v>
      </c>
      <c r="AY13" s="13">
        <f t="shared" si="26"/>
        <v>5696</v>
      </c>
      <c r="AZ13" s="13">
        <f t="shared" si="26"/>
        <v>7320</v>
      </c>
      <c r="BB13" s="17" t="str">
        <f t="shared" si="23"/>
        <v>{0 , 248 , 512 , 828 , 1228 , 1748 , 2420 , 3280 , 4360 , 5696 , 7320},</v>
      </c>
    </row>
    <row r="14" spans="2:54" x14ac:dyDescent="0.15">
      <c r="B14" s="3">
        <v>6</v>
      </c>
      <c r="C14" s="15">
        <f t="shared" si="11"/>
        <v>91.705510976796759</v>
      </c>
      <c r="D14" s="15">
        <f t="shared" si="12"/>
        <v>88.963275883451232</v>
      </c>
      <c r="E14" s="15">
        <f t="shared" si="13"/>
        <v>86.30458031818894</v>
      </c>
      <c r="F14" s="15">
        <f t="shared" si="14"/>
        <v>83.726879330444149</v>
      </c>
      <c r="G14" s="15">
        <f t="shared" si="15"/>
        <v>81.22770549909761</v>
      </c>
      <c r="H14" s="15">
        <f t="shared" si="16"/>
        <v>78.804666570617485</v>
      </c>
      <c r="I14" s="15">
        <f t="shared" si="17"/>
        <v>76.455443169151749</v>
      </c>
      <c r="J14" s="15">
        <f t="shared" si="18"/>
        <v>74.177786576380441</v>
      </c>
      <c r="K14" s="15">
        <f t="shared" si="19"/>
        <v>71.969516579002644</v>
      </c>
      <c r="L14" s="15">
        <f t="shared" si="20"/>
        <v>69.828519381797605</v>
      </c>
      <c r="V14" s="3">
        <v>6</v>
      </c>
      <c r="W14" s="15">
        <f t="shared" si="0"/>
        <v>135</v>
      </c>
      <c r="X14" s="15">
        <f t="shared" si="1"/>
        <v>145</v>
      </c>
      <c r="Y14" s="15">
        <f t="shared" si="2"/>
        <v>175</v>
      </c>
      <c r="Z14" s="15">
        <f t="shared" si="3"/>
        <v>226</v>
      </c>
      <c r="AA14" s="15">
        <f t="shared" si="4"/>
        <v>298</v>
      </c>
      <c r="AB14" s="15">
        <f t="shared" si="5"/>
        <v>390</v>
      </c>
      <c r="AC14" s="15">
        <f t="shared" si="6"/>
        <v>502</v>
      </c>
      <c r="AD14" s="15">
        <f t="shared" si="7"/>
        <v>634</v>
      </c>
      <c r="AE14" s="15">
        <f t="shared" si="8"/>
        <v>787</v>
      </c>
      <c r="AF14" s="15">
        <f t="shared" si="9"/>
        <v>961</v>
      </c>
      <c r="AP14" s="3">
        <v>6</v>
      </c>
      <c r="AQ14" s="3">
        <f t="shared" si="21"/>
        <v>270</v>
      </c>
      <c r="AR14" s="3">
        <f t="shared" ref="AR14:AZ14" si="27">ROUNDUP(100/D14,0)*X14+AQ14</f>
        <v>560</v>
      </c>
      <c r="AS14" s="3">
        <f t="shared" si="27"/>
        <v>910</v>
      </c>
      <c r="AT14" s="3">
        <f t="shared" si="27"/>
        <v>1362</v>
      </c>
      <c r="AU14" s="3">
        <f t="shared" si="27"/>
        <v>1958</v>
      </c>
      <c r="AV14" s="3">
        <f t="shared" si="27"/>
        <v>2738</v>
      </c>
      <c r="AW14" s="3">
        <f t="shared" si="27"/>
        <v>3742</v>
      </c>
      <c r="AX14" s="3">
        <f t="shared" si="27"/>
        <v>5010</v>
      </c>
      <c r="AY14" s="3">
        <f t="shared" si="27"/>
        <v>6584</v>
      </c>
      <c r="AZ14" s="3">
        <f t="shared" si="27"/>
        <v>8506</v>
      </c>
      <c r="BB14" s="17" t="str">
        <f t="shared" si="23"/>
        <v>{0 , 270 , 560 , 910 , 1362 , 1958 , 2738 , 3742 , 5010 , 6584 , 8506},</v>
      </c>
    </row>
    <row r="15" spans="2:54" x14ac:dyDescent="0.15">
      <c r="B15" s="3">
        <v>7</v>
      </c>
      <c r="C15" s="15">
        <f t="shared" si="11"/>
        <v>90.083638834516336</v>
      </c>
      <c r="D15" s="15">
        <f t="shared" si="12"/>
        <v>86.933738241341985</v>
      </c>
      <c r="E15" s="15">
        <f t="shared" si="13"/>
        <v>83.896084116100212</v>
      </c>
      <c r="F15" s="15">
        <f t="shared" si="14"/>
        <v>80.966676564448065</v>
      </c>
      <c r="G15" s="15">
        <f t="shared" si="15"/>
        <v>78.141658227973195</v>
      </c>
      <c r="H15" s="15">
        <f t="shared" si="16"/>
        <v>75.4173092049367</v>
      </c>
      <c r="I15" s="15">
        <f t="shared" si="17"/>
        <v>72.790042152015076</v>
      </c>
      <c r="J15" s="15">
        <f t="shared" si="18"/>
        <v>70.256397560591139</v>
      </c>
      <c r="K15" s="15">
        <f t="shared" si="19"/>
        <v>67.813039201374025</v>
      </c>
      <c r="L15" s="15">
        <f t="shared" si="20"/>
        <v>65.45674973134976</v>
      </c>
      <c r="V15" s="3">
        <v>7</v>
      </c>
      <c r="W15" s="15">
        <f t="shared" si="0"/>
        <v>148</v>
      </c>
      <c r="X15" s="15">
        <f t="shared" si="1"/>
        <v>159</v>
      </c>
      <c r="Y15" s="15">
        <f t="shared" si="2"/>
        <v>195</v>
      </c>
      <c r="Z15" s="15">
        <f t="shared" si="3"/>
        <v>255</v>
      </c>
      <c r="AA15" s="15">
        <f t="shared" si="4"/>
        <v>338</v>
      </c>
      <c r="AB15" s="15">
        <f t="shared" si="5"/>
        <v>445</v>
      </c>
      <c r="AC15" s="15">
        <f t="shared" si="6"/>
        <v>576</v>
      </c>
      <c r="AD15" s="15">
        <f t="shared" si="7"/>
        <v>731</v>
      </c>
      <c r="AE15" s="15">
        <f t="shared" si="8"/>
        <v>909</v>
      </c>
      <c r="AF15" s="15">
        <f t="shared" si="9"/>
        <v>1111</v>
      </c>
      <c r="AP15" s="3">
        <v>7</v>
      </c>
      <c r="AQ15" s="3">
        <f t="shared" si="21"/>
        <v>296</v>
      </c>
      <c r="AR15" s="3">
        <f t="shared" ref="AR15:AZ15" si="28">ROUNDUP(100/D15,0)*X15+AQ15</f>
        <v>614</v>
      </c>
      <c r="AS15" s="3">
        <f t="shared" si="28"/>
        <v>1004</v>
      </c>
      <c r="AT15" s="3">
        <f t="shared" si="28"/>
        <v>1514</v>
      </c>
      <c r="AU15" s="3">
        <f t="shared" si="28"/>
        <v>2190</v>
      </c>
      <c r="AV15" s="3">
        <f t="shared" si="28"/>
        <v>3080</v>
      </c>
      <c r="AW15" s="3">
        <f t="shared" si="28"/>
        <v>4232</v>
      </c>
      <c r="AX15" s="3">
        <f t="shared" si="28"/>
        <v>5694</v>
      </c>
      <c r="AY15" s="3">
        <f t="shared" si="28"/>
        <v>7512</v>
      </c>
      <c r="AZ15" s="3">
        <f t="shared" si="28"/>
        <v>9734</v>
      </c>
      <c r="BB15" s="17" t="str">
        <f t="shared" si="23"/>
        <v>{0 , 296 , 614 , 1004 , 1514 , 2190 , 3080 , 4232 , 5694 , 7512 , 9734},</v>
      </c>
    </row>
    <row r="16" spans="2:54" x14ac:dyDescent="0.15">
      <c r="B16" s="3">
        <v>8</v>
      </c>
      <c r="C16" s="15">
        <f t="shared" si="11"/>
        <v>88.473928656103055</v>
      </c>
      <c r="D16" s="15">
        <f t="shared" si="12"/>
        <v>84.930220153172215</v>
      </c>
      <c r="E16" s="15">
        <f t="shared" si="13"/>
        <v>81.531214363614822</v>
      </c>
      <c r="F16" s="15">
        <f t="shared" si="14"/>
        <v>78.271002540918445</v>
      </c>
      <c r="G16" s="15">
        <f t="shared" si="15"/>
        <v>75.143917214525629</v>
      </c>
      <c r="H16" s="15">
        <f t="shared" si="16"/>
        <v>72.144522337644972</v>
      </c>
      <c r="I16" s="15">
        <f t="shared" si="17"/>
        <v>69.267603837363581</v>
      </c>
      <c r="J16" s="15">
        <f t="shared" si="18"/>
        <v>66.508160550633377</v>
      </c>
      <c r="K16" s="15">
        <f t="shared" si="19"/>
        <v>63.861395530374494</v>
      </c>
      <c r="L16" s="15">
        <f t="shared" si="20"/>
        <v>61.322707706582705</v>
      </c>
      <c r="V16" s="3">
        <v>8</v>
      </c>
      <c r="W16" s="15">
        <f t="shared" si="0"/>
        <v>163</v>
      </c>
      <c r="X16" s="15">
        <f t="shared" si="1"/>
        <v>176</v>
      </c>
      <c r="Y16" s="15">
        <f t="shared" si="2"/>
        <v>217</v>
      </c>
      <c r="Z16" s="15">
        <f t="shared" si="3"/>
        <v>285</v>
      </c>
      <c r="AA16" s="15">
        <f t="shared" si="4"/>
        <v>380</v>
      </c>
      <c r="AB16" s="15">
        <f t="shared" si="5"/>
        <v>503</v>
      </c>
      <c r="AC16" s="15">
        <f t="shared" si="6"/>
        <v>652</v>
      </c>
      <c r="AD16" s="15">
        <f t="shared" si="7"/>
        <v>829</v>
      </c>
      <c r="AE16" s="15">
        <f t="shared" si="8"/>
        <v>1033</v>
      </c>
      <c r="AF16" s="15">
        <f t="shared" si="9"/>
        <v>1264</v>
      </c>
      <c r="AP16" s="3">
        <v>8</v>
      </c>
      <c r="AQ16" s="3">
        <f t="shared" si="21"/>
        <v>326</v>
      </c>
      <c r="AR16" s="3">
        <f t="shared" ref="AR16:AZ16" si="29">ROUNDUP(100/D16,0)*X16+AQ16</f>
        <v>678</v>
      </c>
      <c r="AS16" s="3">
        <f t="shared" si="29"/>
        <v>1112</v>
      </c>
      <c r="AT16" s="3">
        <f t="shared" si="29"/>
        <v>1682</v>
      </c>
      <c r="AU16" s="3">
        <f t="shared" si="29"/>
        <v>2442</v>
      </c>
      <c r="AV16" s="3">
        <f t="shared" si="29"/>
        <v>3448</v>
      </c>
      <c r="AW16" s="3">
        <f t="shared" si="29"/>
        <v>4752</v>
      </c>
      <c r="AX16" s="3">
        <f t="shared" si="29"/>
        <v>6410</v>
      </c>
      <c r="AY16" s="3">
        <f t="shared" si="29"/>
        <v>8476</v>
      </c>
      <c r="AZ16" s="3">
        <f t="shared" si="29"/>
        <v>11004</v>
      </c>
      <c r="BB16" s="17" t="str">
        <f t="shared" si="23"/>
        <v>{0 , 326 , 678 , 1112 , 1682 , 2442 , 3448 , 4752 , 6410 , 8476 , 11004},</v>
      </c>
    </row>
    <row r="17" spans="2:54" x14ac:dyDescent="0.15">
      <c r="B17" s="3">
        <v>9</v>
      </c>
      <c r="C17" s="15">
        <f t="shared" si="11"/>
        <v>86.876419951184459</v>
      </c>
      <c r="D17" s="15">
        <f t="shared" si="12"/>
        <v>82.952665419801463</v>
      </c>
      <c r="E17" s="15">
        <f t="shared" si="13"/>
        <v>79.209642155577853</v>
      </c>
      <c r="F17" s="15">
        <f t="shared" si="14"/>
        <v>75.639025532019332</v>
      </c>
      <c r="G17" s="15">
        <f t="shared" si="15"/>
        <v>72.232874361575838</v>
      </c>
      <c r="H17" s="15">
        <f t="shared" si="16"/>
        <v>68.983613234137593</v>
      </c>
      <c r="I17" s="15">
        <f t="shared" si="17"/>
        <v>65.884015669034014</v>
      </c>
      <c r="J17" s="15">
        <f t="shared" si="18"/>
        <v>62.927188043065215</v>
      </c>
      <c r="K17" s="15">
        <f t="shared" si="19"/>
        <v>60.106554258820964</v>
      </c>
      <c r="L17" s="15">
        <f t="shared" si="20"/>
        <v>57.415841119189345</v>
      </c>
      <c r="V17" s="3">
        <v>9</v>
      </c>
      <c r="W17" s="15">
        <f t="shared" si="0"/>
        <v>180</v>
      </c>
      <c r="X17" s="15">
        <f t="shared" si="1"/>
        <v>195</v>
      </c>
      <c r="Y17" s="15">
        <f t="shared" si="2"/>
        <v>241</v>
      </c>
      <c r="Z17" s="15">
        <f t="shared" si="3"/>
        <v>317</v>
      </c>
      <c r="AA17" s="15">
        <f t="shared" si="4"/>
        <v>424</v>
      </c>
      <c r="AB17" s="15">
        <f t="shared" si="5"/>
        <v>562</v>
      </c>
      <c r="AC17" s="15">
        <f t="shared" si="6"/>
        <v>730</v>
      </c>
      <c r="AD17" s="15">
        <f t="shared" si="7"/>
        <v>929</v>
      </c>
      <c r="AE17" s="15">
        <f t="shared" si="8"/>
        <v>1159</v>
      </c>
      <c r="AF17" s="15">
        <f t="shared" si="9"/>
        <v>1419</v>
      </c>
      <c r="AP17" s="3">
        <v>9</v>
      </c>
      <c r="AQ17" s="3">
        <f t="shared" si="21"/>
        <v>360</v>
      </c>
      <c r="AR17" s="3">
        <f t="shared" ref="AR17:AZ17" si="30">ROUNDUP(100/D17,0)*X17+AQ17</f>
        <v>750</v>
      </c>
      <c r="AS17" s="3">
        <f t="shared" si="30"/>
        <v>1232</v>
      </c>
      <c r="AT17" s="3">
        <f t="shared" si="30"/>
        <v>1866</v>
      </c>
      <c r="AU17" s="3">
        <f t="shared" si="30"/>
        <v>2714</v>
      </c>
      <c r="AV17" s="3">
        <f t="shared" si="30"/>
        <v>3838</v>
      </c>
      <c r="AW17" s="3">
        <f t="shared" si="30"/>
        <v>5298</v>
      </c>
      <c r="AX17" s="3">
        <f t="shared" si="30"/>
        <v>7156</v>
      </c>
      <c r="AY17" s="3">
        <f t="shared" si="30"/>
        <v>9474</v>
      </c>
      <c r="AZ17" s="3">
        <f t="shared" si="30"/>
        <v>12312</v>
      </c>
      <c r="BB17" s="17" t="str">
        <f t="shared" si="23"/>
        <v>{0 , 360 , 750 , 1232 , 1866 , 2714 , 3838 , 5298 , 7156 , 9474 , 12312},</v>
      </c>
    </row>
    <row r="18" spans="2:54" x14ac:dyDescent="0.15">
      <c r="B18" s="13">
        <v>10</v>
      </c>
      <c r="C18" s="14">
        <f t="shared" si="11"/>
        <v>85.291152791683402</v>
      </c>
      <c r="D18" s="14">
        <f t="shared" si="12"/>
        <v>81.001017351239113</v>
      </c>
      <c r="E18" s="14">
        <f t="shared" si="13"/>
        <v>76.931037512515047</v>
      </c>
      <c r="F18" s="14">
        <f t="shared" si="14"/>
        <v>73.06991561611521</v>
      </c>
      <c r="G18" s="14">
        <f t="shared" si="15"/>
        <v>69.406933761263545</v>
      </c>
      <c r="H18" s="14">
        <f t="shared" si="16"/>
        <v>65.931924054503696</v>
      </c>
      <c r="I18" s="14">
        <f t="shared" si="17"/>
        <v>62.635240385137195</v>
      </c>
      <c r="J18" s="14">
        <f t="shared" si="18"/>
        <v>59.507731649053312</v>
      </c>
      <c r="K18" s="14">
        <f t="shared" si="19"/>
        <v>56.540716346623483</v>
      </c>
      <c r="L18" s="14">
        <f t="shared" si="20"/>
        <v>53.725958484147988</v>
      </c>
      <c r="V18" s="13">
        <v>10</v>
      </c>
      <c r="W18" s="14">
        <f t="shared" si="0"/>
        <v>199</v>
      </c>
      <c r="X18" s="14">
        <f t="shared" si="1"/>
        <v>216</v>
      </c>
      <c r="Y18" s="14">
        <f t="shared" si="2"/>
        <v>267</v>
      </c>
      <c r="Z18" s="14">
        <f t="shared" si="3"/>
        <v>352</v>
      </c>
      <c r="AA18" s="14">
        <f t="shared" si="4"/>
        <v>471</v>
      </c>
      <c r="AB18" s="14">
        <f t="shared" si="5"/>
        <v>624</v>
      </c>
      <c r="AC18" s="14">
        <f t="shared" si="6"/>
        <v>811</v>
      </c>
      <c r="AD18" s="14">
        <f t="shared" si="7"/>
        <v>1032</v>
      </c>
      <c r="AE18" s="14">
        <f t="shared" si="8"/>
        <v>1287</v>
      </c>
      <c r="AF18" s="14">
        <f t="shared" si="9"/>
        <v>1576</v>
      </c>
      <c r="AP18" s="13">
        <v>10</v>
      </c>
      <c r="AQ18" s="13">
        <f t="shared" si="21"/>
        <v>398</v>
      </c>
      <c r="AR18" s="13">
        <f t="shared" ref="AR18:AZ18" si="31">ROUNDUP(100/D18,0)*X18+AQ18</f>
        <v>830</v>
      </c>
      <c r="AS18" s="13">
        <f t="shared" si="31"/>
        <v>1364</v>
      </c>
      <c r="AT18" s="13">
        <f t="shared" si="31"/>
        <v>2068</v>
      </c>
      <c r="AU18" s="13">
        <f t="shared" si="31"/>
        <v>3010</v>
      </c>
      <c r="AV18" s="13">
        <f t="shared" si="31"/>
        <v>4258</v>
      </c>
      <c r="AW18" s="13">
        <f t="shared" si="31"/>
        <v>5880</v>
      </c>
      <c r="AX18" s="13">
        <f t="shared" si="31"/>
        <v>7944</v>
      </c>
      <c r="AY18" s="13">
        <f t="shared" si="31"/>
        <v>10518</v>
      </c>
      <c r="AZ18" s="13">
        <f t="shared" si="31"/>
        <v>13670</v>
      </c>
      <c r="BB18" s="17" t="str">
        <f t="shared" si="23"/>
        <v>{0 , 398 , 830 , 1364 , 2068 , 3010 , 4258 , 5880 , 7944 , 10518 , 13670},</v>
      </c>
    </row>
    <row r="19" spans="2:54" x14ac:dyDescent="0.15">
      <c r="B19" s="3">
        <v>11</v>
      </c>
      <c r="C19" s="15">
        <f t="shared" si="11"/>
        <v>83.718167826133495</v>
      </c>
      <c r="D19" s="15">
        <f t="shared" si="12"/>
        <v>79.075218756891587</v>
      </c>
      <c r="E19" s="15">
        <f t="shared" si="13"/>
        <v>74.695069365258803</v>
      </c>
      <c r="F19" s="15">
        <f t="shared" si="14"/>
        <v>70.562844693633508</v>
      </c>
      <c r="G19" s="15">
        <f t="shared" si="15"/>
        <v>66.664511735080339</v>
      </c>
      <c r="H19" s="15">
        <f t="shared" si="16"/>
        <v>62.986831777333826</v>
      </c>
      <c r="I19" s="15">
        <f t="shared" si="17"/>
        <v>59.517315444221495</v>
      </c>
      <c r="J19" s="15">
        <f t="shared" si="18"/>
        <v>56.244180281827099</v>
      </c>
      <c r="K19" s="15">
        <f t="shared" si="19"/>
        <v>53.156310745357132</v>
      </c>
      <c r="L19" s="15">
        <f t="shared" si="20"/>
        <v>50.243220450826129</v>
      </c>
      <c r="V19" s="3">
        <v>11</v>
      </c>
      <c r="W19" s="15">
        <f t="shared" si="0"/>
        <v>220</v>
      </c>
      <c r="X19" s="15">
        <f t="shared" si="1"/>
        <v>238</v>
      </c>
      <c r="Y19" s="15">
        <f t="shared" si="2"/>
        <v>294</v>
      </c>
      <c r="Z19" s="15">
        <f t="shared" si="3"/>
        <v>388</v>
      </c>
      <c r="AA19" s="15">
        <f t="shared" si="4"/>
        <v>519</v>
      </c>
      <c r="AB19" s="15">
        <f t="shared" si="5"/>
        <v>687</v>
      </c>
      <c r="AC19" s="15">
        <f t="shared" si="6"/>
        <v>893</v>
      </c>
      <c r="AD19" s="15">
        <f t="shared" si="7"/>
        <v>1136</v>
      </c>
      <c r="AE19" s="15">
        <f t="shared" si="8"/>
        <v>1416</v>
      </c>
      <c r="AF19" s="15">
        <f t="shared" si="9"/>
        <v>1734</v>
      </c>
      <c r="AP19" s="3">
        <v>11</v>
      </c>
      <c r="AQ19" s="3">
        <f t="shared" si="21"/>
        <v>440</v>
      </c>
      <c r="AR19" s="3">
        <f t="shared" ref="AR19:AZ19" si="32">ROUNDUP(100/D19,0)*X19+AQ19</f>
        <v>916</v>
      </c>
      <c r="AS19" s="3">
        <f t="shared" si="32"/>
        <v>1504</v>
      </c>
      <c r="AT19" s="3">
        <f t="shared" si="32"/>
        <v>2280</v>
      </c>
      <c r="AU19" s="3">
        <f t="shared" si="32"/>
        <v>3318</v>
      </c>
      <c r="AV19" s="3">
        <f t="shared" si="32"/>
        <v>4692</v>
      </c>
      <c r="AW19" s="3">
        <f t="shared" si="32"/>
        <v>6478</v>
      </c>
      <c r="AX19" s="3">
        <f t="shared" si="32"/>
        <v>8750</v>
      </c>
      <c r="AY19" s="3">
        <f t="shared" si="32"/>
        <v>11582</v>
      </c>
      <c r="AZ19" s="3">
        <f t="shared" si="32"/>
        <v>15050</v>
      </c>
      <c r="BB19" s="17" t="str">
        <f t="shared" si="23"/>
        <v>{0 , 440 , 916 , 1504 , 2280 , 3318 , 4692 , 6478 , 8750 , 11582 , 15050},</v>
      </c>
    </row>
    <row r="20" spans="2:54" x14ac:dyDescent="0.15">
      <c r="B20" s="3">
        <v>12</v>
      </c>
      <c r="C20" s="15">
        <f t="shared" si="11"/>
        <v>82.157506294523202</v>
      </c>
      <c r="D20" s="15">
        <f t="shared" si="12"/>
        <v>77.175211935504535</v>
      </c>
      <c r="E20" s="15">
        <f t="shared" si="13"/>
        <v>72.501405539180425</v>
      </c>
      <c r="F20" s="15">
        <f t="shared" si="14"/>
        <v>68.116986503243993</v>
      </c>
      <c r="G20" s="15">
        <f t="shared" si="15"/>
        <v>64.004036874478771</v>
      </c>
      <c r="H20" s="15">
        <f t="shared" si="16"/>
        <v>60.145748122854712</v>
      </c>
      <c r="I20" s="15">
        <f t="shared" si="17"/>
        <v>56.526352449541314</v>
      </c>
      <c r="J20" s="15">
        <f t="shared" si="18"/>
        <v>53.131058348112141</v>
      </c>
      <c r="K20" s="15">
        <f t="shared" si="19"/>
        <v>49.945990155596363</v>
      </c>
      <c r="L20" s="15">
        <f t="shared" si="20"/>
        <v>46.958131346338689</v>
      </c>
      <c r="V20" s="3">
        <v>12</v>
      </c>
      <c r="W20" s="15">
        <f t="shared" si="0"/>
        <v>243</v>
      </c>
      <c r="X20" s="15">
        <f t="shared" si="1"/>
        <v>263</v>
      </c>
      <c r="Y20" s="15">
        <f t="shared" si="2"/>
        <v>324</v>
      </c>
      <c r="Z20" s="15">
        <f t="shared" si="3"/>
        <v>426</v>
      </c>
      <c r="AA20" s="15">
        <f t="shared" si="4"/>
        <v>569</v>
      </c>
      <c r="AB20" s="15">
        <f t="shared" si="5"/>
        <v>753</v>
      </c>
      <c r="AC20" s="15">
        <f t="shared" si="6"/>
        <v>977</v>
      </c>
      <c r="AD20" s="15">
        <f t="shared" si="7"/>
        <v>1242</v>
      </c>
      <c r="AE20" s="15">
        <f t="shared" si="8"/>
        <v>1548</v>
      </c>
      <c r="AF20" s="15">
        <f t="shared" si="9"/>
        <v>1895</v>
      </c>
      <c r="AP20" s="3">
        <v>12</v>
      </c>
      <c r="AQ20" s="3">
        <f t="shared" si="21"/>
        <v>486</v>
      </c>
      <c r="AR20" s="3">
        <f t="shared" ref="AR20:AZ20" si="33">ROUNDUP(100/D20,0)*X20+AQ20</f>
        <v>1012</v>
      </c>
      <c r="AS20" s="3">
        <f t="shared" si="33"/>
        <v>1660</v>
      </c>
      <c r="AT20" s="3">
        <f t="shared" si="33"/>
        <v>2512</v>
      </c>
      <c r="AU20" s="3">
        <f t="shared" si="33"/>
        <v>3650</v>
      </c>
      <c r="AV20" s="3">
        <f t="shared" si="33"/>
        <v>5156</v>
      </c>
      <c r="AW20" s="3">
        <f t="shared" si="33"/>
        <v>7110</v>
      </c>
      <c r="AX20" s="3">
        <f t="shared" si="33"/>
        <v>9594</v>
      </c>
      <c r="AY20" s="3">
        <f t="shared" si="33"/>
        <v>14238</v>
      </c>
      <c r="AZ20" s="3">
        <f t="shared" si="33"/>
        <v>19923</v>
      </c>
      <c r="BB20" s="17" t="str">
        <f t="shared" si="23"/>
        <v>{0 , 486 , 1012 , 1660 , 2512 , 3650 , 5156 , 7110 , 9594 , 14238 , 19923},</v>
      </c>
    </row>
    <row r="21" spans="2:54" x14ac:dyDescent="0.15">
      <c r="B21" s="3">
        <v>13</v>
      </c>
      <c r="C21" s="15">
        <f t="shared" si="11"/>
        <v>80.609210043694645</v>
      </c>
      <c r="D21" s="15">
        <f t="shared" si="12"/>
        <v>75.300938664787381</v>
      </c>
      <c r="E21" s="15">
        <f t="shared" si="13"/>
        <v>70.349712738014333</v>
      </c>
      <c r="F21" s="15">
        <f t="shared" si="14"/>
        <v>65.731516638365022</v>
      </c>
      <c r="G21" s="15">
        <f t="shared" si="15"/>
        <v>61.423950082072473</v>
      </c>
      <c r="H21" s="15">
        <f t="shared" si="16"/>
        <v>57.406119475377565</v>
      </c>
      <c r="I21" s="15">
        <f t="shared" si="17"/>
        <v>53.658536571403054</v>
      </c>
      <c r="J21" s="15">
        <f t="shared" si="18"/>
        <v>50.16302394357848</v>
      </c>
      <c r="K21" s="15">
        <f t="shared" si="19"/>
        <v>46.902626817120655</v>
      </c>
      <c r="L21" s="15">
        <f t="shared" si="20"/>
        <v>43.861530830913281</v>
      </c>
      <c r="V21" s="3">
        <v>13</v>
      </c>
      <c r="W21" s="15">
        <f t="shared" si="0"/>
        <v>268</v>
      </c>
      <c r="X21" s="15">
        <f t="shared" si="1"/>
        <v>290</v>
      </c>
      <c r="Y21" s="15">
        <f t="shared" si="2"/>
        <v>356</v>
      </c>
      <c r="Z21" s="15">
        <f t="shared" si="3"/>
        <v>466</v>
      </c>
      <c r="AA21" s="15">
        <f t="shared" si="4"/>
        <v>621</v>
      </c>
      <c r="AB21" s="15">
        <f t="shared" si="5"/>
        <v>820</v>
      </c>
      <c r="AC21" s="15">
        <f t="shared" si="6"/>
        <v>1063</v>
      </c>
      <c r="AD21" s="15">
        <f t="shared" si="7"/>
        <v>1350</v>
      </c>
      <c r="AE21" s="15">
        <f t="shared" si="8"/>
        <v>1682</v>
      </c>
      <c r="AF21" s="15">
        <f t="shared" si="9"/>
        <v>2058</v>
      </c>
      <c r="AP21" s="3">
        <v>13</v>
      </c>
      <c r="AQ21" s="3">
        <f t="shared" si="21"/>
        <v>536</v>
      </c>
      <c r="AR21" s="3">
        <f t="shared" ref="AR21:AZ21" si="34">ROUNDUP(100/D21,0)*X21+AQ21</f>
        <v>1116</v>
      </c>
      <c r="AS21" s="3">
        <f t="shared" si="34"/>
        <v>1828</v>
      </c>
      <c r="AT21" s="3">
        <f t="shared" si="34"/>
        <v>2760</v>
      </c>
      <c r="AU21" s="3">
        <f t="shared" si="34"/>
        <v>4002</v>
      </c>
      <c r="AV21" s="3">
        <f t="shared" si="34"/>
        <v>5642</v>
      </c>
      <c r="AW21" s="3">
        <f t="shared" si="34"/>
        <v>7768</v>
      </c>
      <c r="AX21" s="3">
        <f t="shared" si="34"/>
        <v>10468</v>
      </c>
      <c r="AY21" s="3">
        <f t="shared" si="34"/>
        <v>15514</v>
      </c>
      <c r="AZ21" s="3">
        <f t="shared" si="34"/>
        <v>21688</v>
      </c>
      <c r="BB21" s="17" t="str">
        <f t="shared" si="23"/>
        <v>{0 , 536 , 1116 , 1828 , 2760 , 4002 , 5642 , 7768 , 10468 , 15514 , 21688},</v>
      </c>
    </row>
    <row r="22" spans="2:54" x14ac:dyDescent="0.15">
      <c r="B22" s="3">
        <v>14</v>
      </c>
      <c r="C22" s="15">
        <f t="shared" si="11"/>
        <v>79.073321543323942</v>
      </c>
      <c r="D22" s="15">
        <f t="shared" si="12"/>
        <v>73.452340190706011</v>
      </c>
      <c r="E22" s="15">
        <f t="shared" si="13"/>
        <v>68.239656527258589</v>
      </c>
      <c r="F22" s="15">
        <f t="shared" si="14"/>
        <v>63.405612564007157</v>
      </c>
      <c r="G22" s="15">
        <f t="shared" si="15"/>
        <v>58.922704613442384</v>
      </c>
      <c r="H22" s="15">
        <f t="shared" si="16"/>
        <v>54.765426805046161</v>
      </c>
      <c r="I22" s="15">
        <f t="shared" si="17"/>
        <v>50.910125967560447</v>
      </c>
      <c r="J22" s="15">
        <f t="shared" si="18"/>
        <v>47.334867052339696</v>
      </c>
      <c r="K22" s="15">
        <f t="shared" si="19"/>
        <v>44.019308332101986</v>
      </c>
      <c r="L22" s="15">
        <f t="shared" si="20"/>
        <v>40.944585665012134</v>
      </c>
      <c r="V22" s="3">
        <v>14</v>
      </c>
      <c r="W22" s="15">
        <f t="shared" si="0"/>
        <v>295</v>
      </c>
      <c r="X22" s="15">
        <f t="shared" si="1"/>
        <v>318</v>
      </c>
      <c r="Y22" s="15">
        <f t="shared" si="2"/>
        <v>390</v>
      </c>
      <c r="Z22" s="15">
        <f t="shared" si="3"/>
        <v>509</v>
      </c>
      <c r="AA22" s="15">
        <f t="shared" si="4"/>
        <v>675</v>
      </c>
      <c r="AB22" s="15">
        <f t="shared" si="5"/>
        <v>890</v>
      </c>
      <c r="AC22" s="15">
        <f t="shared" si="6"/>
        <v>1151</v>
      </c>
      <c r="AD22" s="15">
        <f t="shared" si="7"/>
        <v>1461</v>
      </c>
      <c r="AE22" s="15">
        <f t="shared" si="8"/>
        <v>1818</v>
      </c>
      <c r="AF22" s="15">
        <f t="shared" si="9"/>
        <v>2222</v>
      </c>
      <c r="AP22" s="3">
        <v>14</v>
      </c>
      <c r="AQ22" s="3">
        <f t="shared" si="21"/>
        <v>590</v>
      </c>
      <c r="AR22" s="3">
        <f t="shared" ref="AR22:AZ22" si="35">ROUNDUP(100/D22,0)*X22+AQ22</f>
        <v>1226</v>
      </c>
      <c r="AS22" s="3">
        <f t="shared" si="35"/>
        <v>2006</v>
      </c>
      <c r="AT22" s="3">
        <f t="shared" si="35"/>
        <v>3024</v>
      </c>
      <c r="AU22" s="3">
        <f t="shared" si="35"/>
        <v>4374</v>
      </c>
      <c r="AV22" s="3">
        <f t="shared" si="35"/>
        <v>6154</v>
      </c>
      <c r="AW22" s="3">
        <f t="shared" si="35"/>
        <v>8456</v>
      </c>
      <c r="AX22" s="3">
        <f t="shared" si="35"/>
        <v>12839</v>
      </c>
      <c r="AY22" s="3">
        <f t="shared" si="35"/>
        <v>18293</v>
      </c>
      <c r="AZ22" s="3">
        <f t="shared" si="35"/>
        <v>24959</v>
      </c>
      <c r="BB22" s="17" t="str">
        <f t="shared" si="23"/>
        <v>{0 , 590 , 1226 , 2006 , 3024 , 4374 , 6154 , 8456 , 12839 , 18293 , 24959},</v>
      </c>
    </row>
    <row r="23" spans="2:54" x14ac:dyDescent="0.15">
      <c r="B23" s="13">
        <v>15</v>
      </c>
      <c r="C23" s="14">
        <f t="shared" si="11"/>
        <v>77.549883902512676</v>
      </c>
      <c r="D23" s="14">
        <f t="shared" si="12"/>
        <v>71.62935721642927</v>
      </c>
      <c r="E23" s="14">
        <f t="shared" si="13"/>
        <v>66.170901317135773</v>
      </c>
      <c r="F23" s="14">
        <f t="shared" si="14"/>
        <v>61.138453633964879</v>
      </c>
      <c r="G23" s="14">
        <f t="shared" si="15"/>
        <v>56.49876611956541</v>
      </c>
      <c r="H23" s="14">
        <f t="shared" si="16"/>
        <v>52.221185588870142</v>
      </c>
      <c r="I23" s="14">
        <f t="shared" si="17"/>
        <v>48.277451201630598</v>
      </c>
      <c r="J23" s="14">
        <f t="shared" si="18"/>
        <v>44.641507750539624</v>
      </c>
      <c r="K23" s="14">
        <f t="shared" si="19"/>
        <v>41.289333521386006</v>
      </c>
      <c r="L23" s="14">
        <f t="shared" si="20"/>
        <v>38.198781587958678</v>
      </c>
      <c r="V23" s="13">
        <v>15</v>
      </c>
      <c r="W23" s="14">
        <f t="shared" si="0"/>
        <v>324</v>
      </c>
      <c r="X23" s="14">
        <f t="shared" si="1"/>
        <v>349</v>
      </c>
      <c r="Y23" s="14">
        <f t="shared" si="2"/>
        <v>426</v>
      </c>
      <c r="Z23" s="14">
        <f t="shared" si="3"/>
        <v>553</v>
      </c>
      <c r="AA23" s="14">
        <f t="shared" si="4"/>
        <v>732</v>
      </c>
      <c r="AB23" s="14">
        <f t="shared" si="5"/>
        <v>961</v>
      </c>
      <c r="AC23" s="14">
        <f t="shared" si="6"/>
        <v>1242</v>
      </c>
      <c r="AD23" s="14">
        <f t="shared" si="7"/>
        <v>1573</v>
      </c>
      <c r="AE23" s="14">
        <f t="shared" si="8"/>
        <v>1956</v>
      </c>
      <c r="AF23" s="14">
        <f t="shared" si="9"/>
        <v>2389</v>
      </c>
      <c r="AP23" s="13">
        <v>15</v>
      </c>
      <c r="AQ23" s="13">
        <f t="shared" si="21"/>
        <v>648</v>
      </c>
      <c r="AR23" s="13">
        <f t="shared" ref="AR23:AZ23" si="36">ROUNDUP(100/D23,0)*X23+AQ23</f>
        <v>1346</v>
      </c>
      <c r="AS23" s="13">
        <f t="shared" si="36"/>
        <v>2198</v>
      </c>
      <c r="AT23" s="13">
        <f t="shared" si="36"/>
        <v>3304</v>
      </c>
      <c r="AU23" s="13">
        <f t="shared" si="36"/>
        <v>4768</v>
      </c>
      <c r="AV23" s="13">
        <f t="shared" si="36"/>
        <v>6690</v>
      </c>
      <c r="AW23" s="13">
        <f t="shared" si="36"/>
        <v>10416</v>
      </c>
      <c r="AX23" s="13">
        <f t="shared" si="36"/>
        <v>15135</v>
      </c>
      <c r="AY23" s="13">
        <f t="shared" si="36"/>
        <v>21003</v>
      </c>
      <c r="AZ23" s="13">
        <f t="shared" si="36"/>
        <v>28170</v>
      </c>
      <c r="BB23" s="17" t="str">
        <f t="shared" si="23"/>
        <v>{0 , 648 , 1346 , 2198 , 3304 , 4768 , 6690 , 10416 , 15135 , 21003 , 28170},</v>
      </c>
    </row>
    <row r="24" spans="2:54" x14ac:dyDescent="0.15">
      <c r="B24" s="3">
        <v>16</v>
      </c>
      <c r="C24" s="15">
        <f t="shared" si="11"/>
        <v>76.038940887020686</v>
      </c>
      <c r="D24" s="15">
        <f t="shared" si="12"/>
        <v>69.831929890913898</v>
      </c>
      <c r="E24" s="15">
        <f t="shared" si="13"/>
        <v>64.143110345097369</v>
      </c>
      <c r="F24" s="15">
        <f t="shared" si="14"/>
        <v>58.929221108367663</v>
      </c>
      <c r="G24" s="15">
        <f t="shared" si="15"/>
        <v>54.15061268988179</v>
      </c>
      <c r="H24" s="15">
        <f t="shared" si="16"/>
        <v>49.770945731028839</v>
      </c>
      <c r="I24" s="15">
        <f t="shared" si="17"/>
        <v>45.756914659500701</v>
      </c>
      <c r="J24" s="15">
        <f t="shared" si="18"/>
        <v>42.077994414064221</v>
      </c>
      <c r="K24" s="15">
        <f t="shared" si="19"/>
        <v>38.706208313980582</v>
      </c>
      <c r="L24" s="15">
        <f t="shared" si="20"/>
        <v>35.615915307813943</v>
      </c>
      <c r="V24" s="3">
        <v>16</v>
      </c>
      <c r="W24" s="15">
        <f t="shared" si="0"/>
        <v>355</v>
      </c>
      <c r="X24" s="15">
        <f t="shared" si="1"/>
        <v>382</v>
      </c>
      <c r="Y24" s="15">
        <f t="shared" si="2"/>
        <v>463</v>
      </c>
      <c r="Z24" s="15">
        <f t="shared" si="3"/>
        <v>599</v>
      </c>
      <c r="AA24" s="15">
        <f t="shared" si="4"/>
        <v>790</v>
      </c>
      <c r="AB24" s="15">
        <f t="shared" si="5"/>
        <v>1035</v>
      </c>
      <c r="AC24" s="15">
        <f t="shared" si="6"/>
        <v>1334</v>
      </c>
      <c r="AD24" s="15">
        <f t="shared" si="7"/>
        <v>1687</v>
      </c>
      <c r="AE24" s="15">
        <f t="shared" si="8"/>
        <v>2095</v>
      </c>
      <c r="AF24" s="15">
        <f t="shared" si="9"/>
        <v>2558</v>
      </c>
      <c r="AP24" s="3">
        <v>16</v>
      </c>
      <c r="AQ24" s="3">
        <f t="shared" si="21"/>
        <v>710</v>
      </c>
      <c r="AR24" s="3">
        <f t="shared" ref="AR24:AZ24" si="37">ROUNDUP(100/D24,0)*X24+AQ24</f>
        <v>1474</v>
      </c>
      <c r="AS24" s="3">
        <f t="shared" si="37"/>
        <v>2400</v>
      </c>
      <c r="AT24" s="3">
        <f t="shared" si="37"/>
        <v>3598</v>
      </c>
      <c r="AU24" s="3">
        <f t="shared" si="37"/>
        <v>5178</v>
      </c>
      <c r="AV24" s="3">
        <f t="shared" si="37"/>
        <v>8283</v>
      </c>
      <c r="AW24" s="3">
        <f t="shared" si="37"/>
        <v>12285</v>
      </c>
      <c r="AX24" s="3">
        <f t="shared" si="37"/>
        <v>17346</v>
      </c>
      <c r="AY24" s="3">
        <f t="shared" si="37"/>
        <v>23631</v>
      </c>
      <c r="AZ24" s="3">
        <f t="shared" si="37"/>
        <v>31305</v>
      </c>
      <c r="BB24" s="17" t="str">
        <f t="shared" si="23"/>
        <v>{0 , 710 , 1474 , 2400 , 3598 , 5178 , 8283 , 12285 , 17346 , 23631 , 31305},</v>
      </c>
    </row>
    <row r="25" spans="2:54" x14ac:dyDescent="0.15">
      <c r="B25" s="3">
        <v>17</v>
      </c>
      <c r="C25" s="15">
        <f t="shared" si="11"/>
        <v>74.540536937173229</v>
      </c>
      <c r="D25" s="15">
        <f t="shared" si="12"/>
        <v>68.059997797111507</v>
      </c>
      <c r="E25" s="15">
        <f t="shared" si="13"/>
        <v>62.155945657853778</v>
      </c>
      <c r="F25" s="15">
        <f t="shared" si="14"/>
        <v>56.777098171602553</v>
      </c>
      <c r="G25" s="15">
        <f t="shared" si="15"/>
        <v>51.876734896018633</v>
      </c>
      <c r="H25" s="15">
        <f t="shared" si="16"/>
        <v>47.412291482430113</v>
      </c>
      <c r="I25" s="15">
        <f t="shared" si="17"/>
        <v>43.344989963695468</v>
      </c>
      <c r="J25" s="15">
        <f t="shared" si="18"/>
        <v>39.639501930416998</v>
      </c>
      <c r="K25" s="15">
        <f t="shared" si="19"/>
        <v>36.263641669867233</v>
      </c>
      <c r="L25" s="15">
        <f t="shared" si="20"/>
        <v>33.188086602246102</v>
      </c>
      <c r="V25" s="3">
        <v>17</v>
      </c>
      <c r="W25" s="15">
        <f t="shared" si="0"/>
        <v>388</v>
      </c>
      <c r="X25" s="15">
        <f t="shared" si="1"/>
        <v>416</v>
      </c>
      <c r="Y25" s="15">
        <f t="shared" si="2"/>
        <v>503</v>
      </c>
      <c r="Z25" s="15">
        <f t="shared" si="3"/>
        <v>648</v>
      </c>
      <c r="AA25" s="15">
        <f t="shared" si="4"/>
        <v>850</v>
      </c>
      <c r="AB25" s="15">
        <f t="shared" si="5"/>
        <v>1110</v>
      </c>
      <c r="AC25" s="15">
        <f t="shared" si="6"/>
        <v>1428</v>
      </c>
      <c r="AD25" s="15">
        <f t="shared" si="7"/>
        <v>1804</v>
      </c>
      <c r="AE25" s="15">
        <f t="shared" si="8"/>
        <v>2237</v>
      </c>
      <c r="AF25" s="15">
        <f t="shared" si="9"/>
        <v>2728</v>
      </c>
      <c r="AP25" s="3">
        <v>17</v>
      </c>
      <c r="AQ25" s="3">
        <f t="shared" si="21"/>
        <v>776</v>
      </c>
      <c r="AR25" s="3">
        <f t="shared" ref="AR25:AZ25" si="38">ROUNDUP(100/D25,0)*X25+AQ25</f>
        <v>1608</v>
      </c>
      <c r="AS25" s="3">
        <f t="shared" si="38"/>
        <v>2614</v>
      </c>
      <c r="AT25" s="3">
        <f t="shared" si="38"/>
        <v>3910</v>
      </c>
      <c r="AU25" s="3">
        <f t="shared" si="38"/>
        <v>5610</v>
      </c>
      <c r="AV25" s="3">
        <f t="shared" si="38"/>
        <v>8940</v>
      </c>
      <c r="AW25" s="3">
        <f t="shared" si="38"/>
        <v>13224</v>
      </c>
      <c r="AX25" s="3">
        <f t="shared" si="38"/>
        <v>18636</v>
      </c>
      <c r="AY25" s="3">
        <f t="shared" si="38"/>
        <v>25347</v>
      </c>
      <c r="AZ25" s="3">
        <f t="shared" si="38"/>
        <v>36259</v>
      </c>
      <c r="BB25" s="17" t="str">
        <f t="shared" si="23"/>
        <v>{0 , 776 , 1608 , 2614 , 3910 , 5610 , 8940 , 13224 , 18636 , 25347 , 36259},</v>
      </c>
    </row>
    <row r="26" spans="2:54" x14ac:dyDescent="0.15">
      <c r="B26" s="3">
        <v>18</v>
      </c>
      <c r="C26" s="15">
        <f t="shared" si="11"/>
        <v>73.054717186477305</v>
      </c>
      <c r="D26" s="15">
        <f t="shared" si="12"/>
        <v>66.313499939780641</v>
      </c>
      <c r="E26" s="15">
        <f t="shared" si="13"/>
        <v>60.20906809291138</v>
      </c>
      <c r="F26" s="15">
        <f t="shared" si="14"/>
        <v>54.68126995062012</v>
      </c>
      <c r="G26" s="15">
        <f t="shared" si="15"/>
        <v>49.675635836187332</v>
      </c>
      <c r="H26" s="15">
        <f t="shared" si="16"/>
        <v>45.142841359508495</v>
      </c>
      <c r="I26" s="15">
        <f t="shared" si="17"/>
        <v>41.038221385673609</v>
      </c>
      <c r="J26" s="15">
        <f t="shared" si="18"/>
        <v>37.321329914796962</v>
      </c>
      <c r="K26" s="15">
        <f t="shared" si="19"/>
        <v>33.955541536252362</v>
      </c>
      <c r="L26" s="15">
        <f t="shared" si="20"/>
        <v>30.907690530133511</v>
      </c>
      <c r="V26" s="3">
        <v>18</v>
      </c>
      <c r="W26" s="15">
        <f t="shared" si="0"/>
        <v>423</v>
      </c>
      <c r="X26" s="15">
        <f t="shared" si="1"/>
        <v>453</v>
      </c>
      <c r="Y26" s="15">
        <f t="shared" si="2"/>
        <v>545</v>
      </c>
      <c r="Z26" s="15">
        <f t="shared" si="3"/>
        <v>698</v>
      </c>
      <c r="AA26" s="15">
        <f t="shared" si="4"/>
        <v>912</v>
      </c>
      <c r="AB26" s="15">
        <f t="shared" si="5"/>
        <v>1188</v>
      </c>
      <c r="AC26" s="15">
        <f t="shared" si="6"/>
        <v>1524</v>
      </c>
      <c r="AD26" s="15">
        <f t="shared" si="7"/>
        <v>1922</v>
      </c>
      <c r="AE26" s="15">
        <f t="shared" si="8"/>
        <v>2381</v>
      </c>
      <c r="AF26" s="15">
        <f t="shared" si="9"/>
        <v>2901</v>
      </c>
      <c r="AP26" s="3">
        <v>18</v>
      </c>
      <c r="AQ26" s="3">
        <f t="shared" si="21"/>
        <v>846</v>
      </c>
      <c r="AR26" s="3">
        <f t="shared" ref="AR26:AZ26" si="39">ROUNDUP(100/D26,0)*X26+AQ26</f>
        <v>1752</v>
      </c>
      <c r="AS26" s="3">
        <f t="shared" si="39"/>
        <v>2842</v>
      </c>
      <c r="AT26" s="3">
        <f t="shared" si="39"/>
        <v>4238</v>
      </c>
      <c r="AU26" s="3">
        <f t="shared" si="39"/>
        <v>6974</v>
      </c>
      <c r="AV26" s="3">
        <f t="shared" si="39"/>
        <v>10538</v>
      </c>
      <c r="AW26" s="3">
        <f t="shared" si="39"/>
        <v>15110</v>
      </c>
      <c r="AX26" s="3">
        <f t="shared" si="39"/>
        <v>20876</v>
      </c>
      <c r="AY26" s="3">
        <f t="shared" si="39"/>
        <v>28019</v>
      </c>
      <c r="AZ26" s="3">
        <f t="shared" si="39"/>
        <v>39623</v>
      </c>
      <c r="BB26" s="17" t="str">
        <f t="shared" si="23"/>
        <v>{0 , 846 , 1752 , 2842 , 4238 , 6974 , 10538 , 15110 , 20876 , 28019 , 39623},</v>
      </c>
    </row>
    <row r="27" spans="2:54" x14ac:dyDescent="0.15">
      <c r="B27" s="3">
        <v>19</v>
      </c>
      <c r="C27" s="15">
        <f t="shared" si="11"/>
        <v>71.581527480983922</v>
      </c>
      <c r="D27" s="15">
        <f t="shared" si="12"/>
        <v>64.592374732885531</v>
      </c>
      <c r="E27" s="15">
        <f t="shared" si="13"/>
        <v>58.302137259596982</v>
      </c>
      <c r="F27" s="15">
        <f t="shared" si="14"/>
        <v>52.640923533637292</v>
      </c>
      <c r="G27" s="15">
        <f t="shared" si="15"/>
        <v>47.545831180273559</v>
      </c>
      <c r="H27" s="15">
        <f t="shared" si="16"/>
        <v>42.960248062246201</v>
      </c>
      <c r="I27" s="15">
        <f t="shared" si="17"/>
        <v>38.833223256021583</v>
      </c>
      <c r="J27" s="15">
        <f t="shared" si="18"/>
        <v>35.118900930419422</v>
      </c>
      <c r="K27" s="15">
        <f t="shared" si="19"/>
        <v>31.776010837377488</v>
      </c>
      <c r="L27" s="15">
        <f t="shared" si="20"/>
        <v>28.767409753639743</v>
      </c>
      <c r="V27" s="3">
        <v>19</v>
      </c>
      <c r="W27" s="15">
        <f t="shared" si="0"/>
        <v>460</v>
      </c>
      <c r="X27" s="15">
        <f t="shared" si="1"/>
        <v>492</v>
      </c>
      <c r="Y27" s="15">
        <f t="shared" si="2"/>
        <v>589</v>
      </c>
      <c r="Z27" s="15">
        <f t="shared" si="3"/>
        <v>750</v>
      </c>
      <c r="AA27" s="15">
        <f t="shared" si="4"/>
        <v>976</v>
      </c>
      <c r="AB27" s="15">
        <f t="shared" si="5"/>
        <v>1267</v>
      </c>
      <c r="AC27" s="15">
        <f t="shared" si="6"/>
        <v>1622</v>
      </c>
      <c r="AD27" s="15">
        <f t="shared" si="7"/>
        <v>2042</v>
      </c>
      <c r="AE27" s="15">
        <f t="shared" si="8"/>
        <v>2527</v>
      </c>
      <c r="AF27" s="15">
        <f t="shared" si="9"/>
        <v>3076</v>
      </c>
      <c r="AP27" s="3">
        <v>19</v>
      </c>
      <c r="AQ27" s="3">
        <f t="shared" si="21"/>
        <v>920</v>
      </c>
      <c r="AR27" s="3">
        <f t="shared" ref="AR27:AZ27" si="40">ROUNDUP(100/D27,0)*X27+AQ27</f>
        <v>1904</v>
      </c>
      <c r="AS27" s="3">
        <f t="shared" si="40"/>
        <v>3082</v>
      </c>
      <c r="AT27" s="3">
        <f t="shared" si="40"/>
        <v>4582</v>
      </c>
      <c r="AU27" s="3">
        <f t="shared" si="40"/>
        <v>7510</v>
      </c>
      <c r="AV27" s="3">
        <f t="shared" si="40"/>
        <v>11311</v>
      </c>
      <c r="AW27" s="3">
        <f t="shared" si="40"/>
        <v>16177</v>
      </c>
      <c r="AX27" s="3">
        <f t="shared" si="40"/>
        <v>22303</v>
      </c>
      <c r="AY27" s="3">
        <f t="shared" si="40"/>
        <v>32411</v>
      </c>
      <c r="AZ27" s="3">
        <f t="shared" si="40"/>
        <v>44715</v>
      </c>
      <c r="BB27" s="17" t="str">
        <f t="shared" si="23"/>
        <v>{0 , 920 , 1904 , 3082 , 4582 , 7510 , 11311 , 16177 , 22303 , 32411 , 44715},</v>
      </c>
    </row>
    <row r="28" spans="2:54" x14ac:dyDescent="0.15">
      <c r="B28" s="13">
        <v>20</v>
      </c>
      <c r="C28" s="14">
        <f t="shared" si="11"/>
        <v>70.121014399436035</v>
      </c>
      <c r="D28" s="14">
        <f t="shared" si="12"/>
        <v>62.896559986562366</v>
      </c>
      <c r="E28" s="14">
        <f t="shared" si="13"/>
        <v>56.43481151954883</v>
      </c>
      <c r="F28" s="14">
        <f t="shared" si="14"/>
        <v>50.655247989249894</v>
      </c>
      <c r="G28" s="14">
        <f t="shared" si="15"/>
        <v>45.485849215639064</v>
      </c>
      <c r="H28" s="14">
        <f t="shared" si="16"/>
        <v>40.862198391399922</v>
      </c>
      <c r="I28" s="14">
        <f t="shared" si="17"/>
        <v>36.726679372511249</v>
      </c>
      <c r="J28" s="14">
        <f t="shared" si="18"/>
        <v>33.027758713119937</v>
      </c>
      <c r="K28" s="14">
        <f t="shared" si="19"/>
        <v>29.719343498009007</v>
      </c>
      <c r="L28" s="14">
        <f t="shared" si="20"/>
        <v>26.76020697049595</v>
      </c>
      <c r="V28" s="13">
        <v>20</v>
      </c>
      <c r="W28" s="14">
        <f t="shared" si="0"/>
        <v>499</v>
      </c>
      <c r="X28" s="14">
        <f t="shared" si="1"/>
        <v>533</v>
      </c>
      <c r="Y28" s="14">
        <f t="shared" si="2"/>
        <v>635</v>
      </c>
      <c r="Z28" s="14">
        <f t="shared" si="3"/>
        <v>805</v>
      </c>
      <c r="AA28" s="14">
        <f t="shared" si="4"/>
        <v>1043</v>
      </c>
      <c r="AB28" s="14">
        <f t="shared" si="5"/>
        <v>1349</v>
      </c>
      <c r="AC28" s="14">
        <f t="shared" si="6"/>
        <v>1723</v>
      </c>
      <c r="AD28" s="14">
        <f t="shared" si="7"/>
        <v>2165</v>
      </c>
      <c r="AE28" s="14">
        <f t="shared" si="8"/>
        <v>2675</v>
      </c>
      <c r="AF28" s="14">
        <f t="shared" si="9"/>
        <v>3253</v>
      </c>
      <c r="AP28" s="13">
        <v>20</v>
      </c>
      <c r="AQ28" s="13">
        <f t="shared" si="21"/>
        <v>998</v>
      </c>
      <c r="AR28" s="13">
        <f t="shared" ref="AR28:AZ28" si="41">ROUNDUP(100/D28,0)*X28+AQ28</f>
        <v>2064</v>
      </c>
      <c r="AS28" s="13">
        <f t="shared" si="41"/>
        <v>3334</v>
      </c>
      <c r="AT28" s="13">
        <f t="shared" si="41"/>
        <v>4944</v>
      </c>
      <c r="AU28" s="13">
        <f t="shared" si="41"/>
        <v>8073</v>
      </c>
      <c r="AV28" s="13">
        <f t="shared" si="41"/>
        <v>12120</v>
      </c>
      <c r="AW28" s="13">
        <f t="shared" si="41"/>
        <v>17289</v>
      </c>
      <c r="AX28" s="13">
        <f t="shared" si="41"/>
        <v>25949</v>
      </c>
      <c r="AY28" s="13">
        <f t="shared" si="41"/>
        <v>36649</v>
      </c>
      <c r="AZ28" s="13">
        <f t="shared" si="41"/>
        <v>49661</v>
      </c>
      <c r="BB28" s="17" t="str">
        <f t="shared" si="23"/>
        <v>{0 , 998 , 2064 , 3334 , 4944 , 8073 , 12120 , 17289 , 25949 , 36649 , 49661},</v>
      </c>
    </row>
    <row r="29" spans="2:54" x14ac:dyDescent="0.15">
      <c r="B29" s="3">
        <v>21</v>
      </c>
      <c r="C29" s="15">
        <f t="shared" si="11"/>
        <v>68.673225274244118</v>
      </c>
      <c r="D29" s="15">
        <f t="shared" si="12"/>
        <v>61.225992893632906</v>
      </c>
      <c r="E29" s="15">
        <f t="shared" si="13"/>
        <v>54.606747966652854</v>
      </c>
      <c r="F29" s="15">
        <f t="shared" si="14"/>
        <v>48.723434385969988</v>
      </c>
      <c r="G29" s="15">
        <f t="shared" si="15"/>
        <v>43.494230893655754</v>
      </c>
      <c r="H29" s="15">
        <f t="shared" si="16"/>
        <v>38.846413164916292</v>
      </c>
      <c r="I29" s="15">
        <f t="shared" si="17"/>
        <v>34.715342405988046</v>
      </c>
      <c r="J29" s="15">
        <f t="shared" si="18"/>
        <v>31.043566400283876</v>
      </c>
      <c r="K29" s="15">
        <f t="shared" si="19"/>
        <v>27.780020500730561</v>
      </c>
      <c r="L29" s="15">
        <f t="shared" si="20"/>
        <v>24.879317456224264</v>
      </c>
      <c r="V29" s="3">
        <v>21</v>
      </c>
      <c r="W29" s="15">
        <f t="shared" si="0"/>
        <v>540</v>
      </c>
      <c r="X29" s="15">
        <f t="shared" si="1"/>
        <v>575</v>
      </c>
      <c r="Y29" s="15">
        <f t="shared" si="2"/>
        <v>682</v>
      </c>
      <c r="Z29" s="15">
        <f t="shared" si="3"/>
        <v>861</v>
      </c>
      <c r="AA29" s="15">
        <f t="shared" si="4"/>
        <v>1111</v>
      </c>
      <c r="AB29" s="15">
        <f t="shared" si="5"/>
        <v>1432</v>
      </c>
      <c r="AC29" s="15">
        <f t="shared" si="6"/>
        <v>1825</v>
      </c>
      <c r="AD29" s="15">
        <f t="shared" si="7"/>
        <v>2289</v>
      </c>
      <c r="AE29" s="15">
        <f t="shared" si="8"/>
        <v>2824</v>
      </c>
      <c r="AF29" s="15">
        <f t="shared" si="9"/>
        <v>3431</v>
      </c>
      <c r="AP29" s="3">
        <v>21</v>
      </c>
      <c r="AQ29" s="3">
        <f t="shared" si="21"/>
        <v>1080</v>
      </c>
      <c r="AR29" s="3">
        <f t="shared" ref="AR29:AZ29" si="42">ROUNDUP(100/D29,0)*X29+AQ29</f>
        <v>2230</v>
      </c>
      <c r="AS29" s="3">
        <f t="shared" si="42"/>
        <v>3594</v>
      </c>
      <c r="AT29" s="3">
        <f t="shared" si="42"/>
        <v>6177</v>
      </c>
      <c r="AU29" s="3">
        <f t="shared" si="42"/>
        <v>9510</v>
      </c>
      <c r="AV29" s="3">
        <f t="shared" si="42"/>
        <v>13806</v>
      </c>
      <c r="AW29" s="3">
        <f t="shared" si="42"/>
        <v>19281</v>
      </c>
      <c r="AX29" s="3">
        <f t="shared" si="42"/>
        <v>28437</v>
      </c>
      <c r="AY29" s="3">
        <f t="shared" si="42"/>
        <v>39733</v>
      </c>
      <c r="AZ29" s="3">
        <f t="shared" si="42"/>
        <v>56888</v>
      </c>
      <c r="BB29" s="17" t="str">
        <f t="shared" si="23"/>
        <v>{0 , 1080 , 2230 , 3594 , 6177 , 9510 , 13806 , 19281 , 28437 , 39733 , 56888},</v>
      </c>
    </row>
    <row r="30" spans="2:54" x14ac:dyDescent="0.15">
      <c r="B30" s="3">
        <v>22</v>
      </c>
      <c r="C30" s="15">
        <f t="shared" si="11"/>
        <v>67.238208213334062</v>
      </c>
      <c r="D30" s="15">
        <f t="shared" si="12"/>
        <v>59.58061001564333</v>
      </c>
      <c r="E30" s="15">
        <f t="shared" si="13"/>
        <v>52.81760240640056</v>
      </c>
      <c r="F30" s="15">
        <f t="shared" si="14"/>
        <v>46.844675812201785</v>
      </c>
      <c r="G30" s="15">
        <f t="shared" si="15"/>
        <v>41.569529876992434</v>
      </c>
      <c r="H30" s="15">
        <f t="shared" si="16"/>
        <v>36.910647133517401</v>
      </c>
      <c r="I30" s="15">
        <f t="shared" si="17"/>
        <v>32.796033304054106</v>
      </c>
      <c r="J30" s="15">
        <f t="shared" si="18"/>
        <v>29.162104764143574</v>
      </c>
      <c r="K30" s="15">
        <f t="shared" si="19"/>
        <v>25.9527059771622</v>
      </c>
      <c r="L30" s="15">
        <f t="shared" si="20"/>
        <v>23.118241716031985</v>
      </c>
      <c r="V30" s="3">
        <v>22</v>
      </c>
      <c r="W30" s="15">
        <f t="shared" si="0"/>
        <v>583</v>
      </c>
      <c r="X30" s="15">
        <f t="shared" si="1"/>
        <v>620</v>
      </c>
      <c r="Y30" s="15">
        <f t="shared" si="2"/>
        <v>732</v>
      </c>
      <c r="Z30" s="15">
        <f t="shared" si="3"/>
        <v>919</v>
      </c>
      <c r="AA30" s="15">
        <f t="shared" si="4"/>
        <v>1181</v>
      </c>
      <c r="AB30" s="15">
        <f t="shared" si="5"/>
        <v>1518</v>
      </c>
      <c r="AC30" s="15">
        <f t="shared" si="6"/>
        <v>1929</v>
      </c>
      <c r="AD30" s="15">
        <f t="shared" si="7"/>
        <v>2415</v>
      </c>
      <c r="AE30" s="15">
        <f t="shared" si="8"/>
        <v>2976</v>
      </c>
      <c r="AF30" s="15">
        <f t="shared" si="9"/>
        <v>3612</v>
      </c>
      <c r="AP30" s="3">
        <v>22</v>
      </c>
      <c r="AQ30" s="3">
        <f t="shared" si="21"/>
        <v>1166</v>
      </c>
      <c r="AR30" s="3">
        <f t="shared" ref="AR30:AZ30" si="43">ROUNDUP(100/D30,0)*X30+AQ30</f>
        <v>2406</v>
      </c>
      <c r="AS30" s="3">
        <f t="shared" si="43"/>
        <v>3870</v>
      </c>
      <c r="AT30" s="3">
        <f t="shared" si="43"/>
        <v>6627</v>
      </c>
      <c r="AU30" s="3">
        <f t="shared" si="43"/>
        <v>10170</v>
      </c>
      <c r="AV30" s="3">
        <f t="shared" si="43"/>
        <v>14724</v>
      </c>
      <c r="AW30" s="3">
        <f t="shared" si="43"/>
        <v>22440</v>
      </c>
      <c r="AX30" s="3">
        <f t="shared" si="43"/>
        <v>32100</v>
      </c>
      <c r="AY30" s="3">
        <f t="shared" si="43"/>
        <v>44004</v>
      </c>
      <c r="AZ30" s="3">
        <f t="shared" si="43"/>
        <v>62064</v>
      </c>
      <c r="BB30" s="17" t="str">
        <f t="shared" si="23"/>
        <v>{0 , 1166 , 2406 , 3870 , 6627 , 10170 , 14724 , 22440 , 32100 , 44004 , 62064},</v>
      </c>
    </row>
    <row r="31" spans="2:54" x14ac:dyDescent="0.15">
      <c r="B31" s="3">
        <v>23</v>
      </c>
      <c r="C31" s="15">
        <f t="shared" si="11"/>
        <v>65.816012122915524</v>
      </c>
      <c r="D31" s="15">
        <f t="shared" si="12"/>
        <v>57.960347268405918</v>
      </c>
      <c r="E31" s="15">
        <f t="shared" si="13"/>
        <v>51.06702933464495</v>
      </c>
      <c r="F31" s="15">
        <f t="shared" si="14"/>
        <v>45.01816739667256</v>
      </c>
      <c r="G31" s="15">
        <f t="shared" si="15"/>
        <v>39.710312587676611</v>
      </c>
      <c r="H31" s="15">
        <f t="shared" si="16"/>
        <v>35.052688895437875</v>
      </c>
      <c r="I31" s="15">
        <f t="shared" si="17"/>
        <v>30.965640692510991</v>
      </c>
      <c r="J31" s="15">
        <f t="shared" si="18"/>
        <v>27.379270449487159</v>
      </c>
      <c r="K31" s="15">
        <f t="shared" si="19"/>
        <v>24.232243333233466</v>
      </c>
      <c r="L31" s="15">
        <f t="shared" si="20"/>
        <v>21.470738246105114</v>
      </c>
      <c r="V31" s="3">
        <v>23</v>
      </c>
      <c r="W31" s="15">
        <f t="shared" si="0"/>
        <v>628</v>
      </c>
      <c r="X31" s="15">
        <f t="shared" si="1"/>
        <v>667</v>
      </c>
      <c r="Y31" s="15">
        <f t="shared" si="2"/>
        <v>784</v>
      </c>
      <c r="Z31" s="15">
        <f t="shared" si="3"/>
        <v>979</v>
      </c>
      <c r="AA31" s="15">
        <f t="shared" si="4"/>
        <v>1253</v>
      </c>
      <c r="AB31" s="15">
        <f t="shared" si="5"/>
        <v>1605</v>
      </c>
      <c r="AC31" s="15">
        <f t="shared" si="6"/>
        <v>2035</v>
      </c>
      <c r="AD31" s="15">
        <f t="shared" si="7"/>
        <v>2543</v>
      </c>
      <c r="AE31" s="15">
        <f t="shared" si="8"/>
        <v>3130</v>
      </c>
      <c r="AF31" s="15">
        <f t="shared" si="9"/>
        <v>3795</v>
      </c>
      <c r="AP31" s="3">
        <v>23</v>
      </c>
      <c r="AQ31" s="3">
        <f t="shared" si="21"/>
        <v>1256</v>
      </c>
      <c r="AR31" s="3">
        <f t="shared" ref="AR31:AZ31" si="44">ROUNDUP(100/D31,0)*X31+AQ31</f>
        <v>2590</v>
      </c>
      <c r="AS31" s="3">
        <f t="shared" si="44"/>
        <v>4158</v>
      </c>
      <c r="AT31" s="3">
        <f t="shared" si="44"/>
        <v>7095</v>
      </c>
      <c r="AU31" s="3">
        <f t="shared" si="44"/>
        <v>10854</v>
      </c>
      <c r="AV31" s="3">
        <f t="shared" si="44"/>
        <v>15669</v>
      </c>
      <c r="AW31" s="3">
        <f t="shared" si="44"/>
        <v>23809</v>
      </c>
      <c r="AX31" s="3">
        <f t="shared" si="44"/>
        <v>33981</v>
      </c>
      <c r="AY31" s="3">
        <f t="shared" si="44"/>
        <v>49631</v>
      </c>
      <c r="AZ31" s="3">
        <f t="shared" si="44"/>
        <v>68606</v>
      </c>
      <c r="BB31" s="17" t="str">
        <f t="shared" si="23"/>
        <v>{0 , 1256 , 2590 , 4158 , 7095 , 10854 , 15669 , 23809 , 33981 , 49631 , 68606},</v>
      </c>
    </row>
    <row r="32" spans="2:54" x14ac:dyDescent="0.15">
      <c r="B32" s="3">
        <v>24</v>
      </c>
      <c r="C32" s="15">
        <f t="shared" si="11"/>
        <v>64.406686731221839</v>
      </c>
      <c r="D32" s="15">
        <f t="shared" si="12"/>
        <v>56.365139907018843</v>
      </c>
      <c r="E32" s="15">
        <f t="shared" si="13"/>
        <v>49.354681915728591</v>
      </c>
      <c r="F32" s="15">
        <f t="shared" si="14"/>
        <v>43.243106329334317</v>
      </c>
      <c r="G32" s="15">
        <f t="shared" si="15"/>
        <v>37.915158255953727</v>
      </c>
      <c r="H32" s="15">
        <f t="shared" si="16"/>
        <v>33.270360810294079</v>
      </c>
      <c r="I32" s="15">
        <f t="shared" si="17"/>
        <v>29.221120274524829</v>
      </c>
      <c r="J32" s="15">
        <f t="shared" si="18"/>
        <v>25.691074215823502</v>
      </c>
      <c r="K32" s="15">
        <f t="shared" si="19"/>
        <v>22.613651408638873</v>
      </c>
      <c r="L32" s="15">
        <f t="shared" si="20"/>
        <v>19.930816404025862</v>
      </c>
      <c r="V32" s="3">
        <v>24</v>
      </c>
      <c r="W32" s="15">
        <f t="shared" si="0"/>
        <v>675</v>
      </c>
      <c r="X32" s="15">
        <f t="shared" si="1"/>
        <v>715</v>
      </c>
      <c r="Y32" s="15">
        <f t="shared" si="2"/>
        <v>838</v>
      </c>
      <c r="Z32" s="15">
        <f t="shared" si="3"/>
        <v>1042</v>
      </c>
      <c r="AA32" s="15">
        <f t="shared" si="4"/>
        <v>1327</v>
      </c>
      <c r="AB32" s="15">
        <f t="shared" si="5"/>
        <v>1695</v>
      </c>
      <c r="AC32" s="15">
        <f t="shared" si="6"/>
        <v>2143</v>
      </c>
      <c r="AD32" s="15">
        <f t="shared" si="7"/>
        <v>2674</v>
      </c>
      <c r="AE32" s="15">
        <f t="shared" si="8"/>
        <v>3286</v>
      </c>
      <c r="AF32" s="15">
        <f t="shared" si="9"/>
        <v>3979</v>
      </c>
      <c r="AP32" s="3">
        <v>24</v>
      </c>
      <c r="AQ32" s="3">
        <f t="shared" si="21"/>
        <v>1350</v>
      </c>
      <c r="AR32" s="3">
        <f t="shared" ref="AR32:AZ32" si="45">ROUNDUP(100/D32,0)*X32+AQ32</f>
        <v>2780</v>
      </c>
      <c r="AS32" s="3">
        <f t="shared" si="45"/>
        <v>5294</v>
      </c>
      <c r="AT32" s="3">
        <f t="shared" si="45"/>
        <v>8420</v>
      </c>
      <c r="AU32" s="3">
        <f t="shared" si="45"/>
        <v>12401</v>
      </c>
      <c r="AV32" s="3">
        <f t="shared" si="45"/>
        <v>19181</v>
      </c>
      <c r="AW32" s="3">
        <f t="shared" si="45"/>
        <v>27753</v>
      </c>
      <c r="AX32" s="3">
        <f t="shared" si="45"/>
        <v>38449</v>
      </c>
      <c r="AY32" s="3">
        <f t="shared" si="45"/>
        <v>54879</v>
      </c>
      <c r="AZ32" s="3">
        <f t="shared" si="45"/>
        <v>78753</v>
      </c>
      <c r="BB32" s="17" t="str">
        <f t="shared" si="23"/>
        <v>{0 , 1350 , 2780 , 5294 , 8420 , 12401 , 19181 , 27753 , 38449 , 54879 , 78753},</v>
      </c>
    </row>
    <row r="33" spans="2:54" x14ac:dyDescent="0.15">
      <c r="B33" s="13">
        <v>25</v>
      </c>
      <c r="C33" s="14">
        <f t="shared" si="11"/>
        <v>63.010282613275997</v>
      </c>
      <c r="D33" s="14">
        <f t="shared" si="12"/>
        <v>54.794922510338232</v>
      </c>
      <c r="E33" s="14">
        <f t="shared" si="13"/>
        <v>47.680211959956992</v>
      </c>
      <c r="F33" s="14">
        <f t="shared" si="14"/>
        <v>41.518691882753679</v>
      </c>
      <c r="G33" s="14">
        <f t="shared" si="15"/>
        <v>36.182658969967754</v>
      </c>
      <c r="H33" s="14">
        <f t="shared" si="16"/>
        <v>31.56151891206526</v>
      </c>
      <c r="I33" s="14">
        <f t="shared" si="17"/>
        <v>27.559494227475817</v>
      </c>
      <c r="J33" s="14">
        <f t="shared" si="18"/>
        <v>24.093639184048946</v>
      </c>
      <c r="K33" s="14">
        <f t="shared" si="19"/>
        <v>21.092120670606864</v>
      </c>
      <c r="L33" s="14">
        <f t="shared" si="20"/>
        <v>18.492729388036711</v>
      </c>
      <c r="V33" s="13">
        <v>25</v>
      </c>
      <c r="W33" s="14">
        <f t="shared" si="0"/>
        <v>724</v>
      </c>
      <c r="X33" s="14">
        <f t="shared" si="1"/>
        <v>766</v>
      </c>
      <c r="Y33" s="14">
        <f t="shared" si="2"/>
        <v>894</v>
      </c>
      <c r="Z33" s="14">
        <f t="shared" si="3"/>
        <v>1106</v>
      </c>
      <c r="AA33" s="14">
        <f t="shared" si="4"/>
        <v>1404</v>
      </c>
      <c r="AB33" s="14">
        <f t="shared" si="5"/>
        <v>1786</v>
      </c>
      <c r="AC33" s="14">
        <f t="shared" si="6"/>
        <v>2254</v>
      </c>
      <c r="AD33" s="14">
        <f t="shared" si="7"/>
        <v>2806</v>
      </c>
      <c r="AE33" s="14">
        <f t="shared" si="8"/>
        <v>3444</v>
      </c>
      <c r="AF33" s="14">
        <f t="shared" si="9"/>
        <v>4166</v>
      </c>
      <c r="AP33" s="13">
        <v>25</v>
      </c>
      <c r="AQ33" s="13">
        <f t="shared" si="21"/>
        <v>1448</v>
      </c>
      <c r="AR33" s="13">
        <f t="shared" ref="AR33:AZ33" si="46">ROUNDUP(100/D33,0)*X33+AQ33</f>
        <v>2980</v>
      </c>
      <c r="AS33" s="13">
        <f t="shared" si="46"/>
        <v>5662</v>
      </c>
      <c r="AT33" s="13">
        <f t="shared" si="46"/>
        <v>8980</v>
      </c>
      <c r="AU33" s="13">
        <f t="shared" si="46"/>
        <v>13192</v>
      </c>
      <c r="AV33" s="13">
        <f t="shared" si="46"/>
        <v>20336</v>
      </c>
      <c r="AW33" s="13">
        <f t="shared" si="46"/>
        <v>29352</v>
      </c>
      <c r="AX33" s="13">
        <f t="shared" si="46"/>
        <v>43382</v>
      </c>
      <c r="AY33" s="13">
        <f t="shared" si="46"/>
        <v>60602</v>
      </c>
      <c r="AZ33" s="13">
        <f t="shared" si="46"/>
        <v>85598</v>
      </c>
      <c r="BB33" s="17" t="str">
        <f t="shared" si="23"/>
        <v>{0 , 1448 , 2980 , 5662 , 8980 , 13192 , 20336 , 29352 , 43382 , 60602 , 85598},</v>
      </c>
    </row>
    <row r="34" spans="2:54" x14ac:dyDescent="0.15">
      <c r="B34" s="3">
        <v>26</v>
      </c>
      <c r="C34" s="15">
        <f t="shared" si="11"/>
        <v>61.62685121674167</v>
      </c>
      <c r="D34" s="15">
        <f t="shared" si="12"/>
        <v>53.249628964875143</v>
      </c>
      <c r="E34" s="15">
        <f t="shared" si="13"/>
        <v>46.043269900388829</v>
      </c>
      <c r="F34" s="15">
        <f t="shared" si="14"/>
        <v>39.844125434007609</v>
      </c>
      <c r="G34" s="15">
        <f t="shared" si="15"/>
        <v>34.511419726287734</v>
      </c>
      <c r="H34" s="15">
        <f t="shared" si="16"/>
        <v>29.924052821165631</v>
      </c>
      <c r="I34" s="15">
        <f t="shared" si="17"/>
        <v>25.977850597452928</v>
      </c>
      <c r="J34" s="15">
        <f t="shared" si="18"/>
        <v>22.583199087662567</v>
      </c>
      <c r="K34" s="15">
        <f t="shared" si="19"/>
        <v>19.663009442115165</v>
      </c>
      <c r="L34" s="15">
        <f t="shared" si="20"/>
        <v>17.150967324870297</v>
      </c>
      <c r="V34" s="3">
        <v>26</v>
      </c>
      <c r="W34" s="15">
        <f t="shared" si="0"/>
        <v>775</v>
      </c>
      <c r="X34" s="15">
        <f t="shared" si="1"/>
        <v>819</v>
      </c>
      <c r="Y34" s="15">
        <f t="shared" si="2"/>
        <v>951</v>
      </c>
      <c r="Z34" s="15">
        <f t="shared" si="3"/>
        <v>1172</v>
      </c>
      <c r="AA34" s="15">
        <f t="shared" si="4"/>
        <v>1482</v>
      </c>
      <c r="AB34" s="15">
        <f t="shared" si="5"/>
        <v>1880</v>
      </c>
      <c r="AC34" s="15">
        <f t="shared" si="6"/>
        <v>2366</v>
      </c>
      <c r="AD34" s="15">
        <f t="shared" si="7"/>
        <v>2940</v>
      </c>
      <c r="AE34" s="15">
        <f t="shared" si="8"/>
        <v>3603</v>
      </c>
      <c r="AF34" s="15">
        <f t="shared" si="9"/>
        <v>4355</v>
      </c>
      <c r="AP34" s="3">
        <v>26</v>
      </c>
      <c r="AQ34" s="3">
        <f t="shared" si="21"/>
        <v>1550</v>
      </c>
      <c r="AR34" s="3">
        <f t="shared" ref="AR34:AZ34" si="47">ROUNDUP(100/D34,0)*X34+AQ34</f>
        <v>3188</v>
      </c>
      <c r="AS34" s="3">
        <f t="shared" si="47"/>
        <v>6041</v>
      </c>
      <c r="AT34" s="3">
        <f t="shared" si="47"/>
        <v>9557</v>
      </c>
      <c r="AU34" s="3">
        <f t="shared" si="47"/>
        <v>14003</v>
      </c>
      <c r="AV34" s="3">
        <f t="shared" si="47"/>
        <v>21523</v>
      </c>
      <c r="AW34" s="3">
        <f t="shared" si="47"/>
        <v>30987</v>
      </c>
      <c r="AX34" s="3">
        <f t="shared" si="47"/>
        <v>45687</v>
      </c>
      <c r="AY34" s="3">
        <f t="shared" si="47"/>
        <v>67305</v>
      </c>
      <c r="AZ34" s="3">
        <f t="shared" si="47"/>
        <v>93435</v>
      </c>
      <c r="BB34" s="17" t="str">
        <f t="shared" si="23"/>
        <v>{0 , 1550 , 3188 , 6041 , 9557 , 14003 , 21523 , 30987 , 45687 , 67305 , 93435},</v>
      </c>
    </row>
    <row r="35" spans="2:54" x14ac:dyDescent="0.15">
      <c r="B35" s="3">
        <v>27</v>
      </c>
      <c r="C35" s="15">
        <f t="shared" si="11"/>
        <v>60.256444888921671</v>
      </c>
      <c r="D35" s="15">
        <f t="shared" si="12"/>
        <v>51.72919244808795</v>
      </c>
      <c r="E35" s="15">
        <f t="shared" si="13"/>
        <v>44.443504768912824</v>
      </c>
      <c r="F35" s="15">
        <f t="shared" si="14"/>
        <v>38.218610487104208</v>
      </c>
      <c r="G35" s="15">
        <f t="shared" si="15"/>
        <v>32.90005848130636</v>
      </c>
      <c r="H35" s="15">
        <f t="shared" si="16"/>
        <v>28.355885655586075</v>
      </c>
      <c r="I35" s="15">
        <f t="shared" si="17"/>
        <v>24.473342691353647</v>
      </c>
      <c r="J35" s="15">
        <f t="shared" si="18"/>
        <v>21.156096528577834</v>
      </c>
      <c r="K35" s="15">
        <f t="shared" si="19"/>
        <v>18.321840164688162</v>
      </c>
      <c r="L35" s="15">
        <f t="shared" si="20"/>
        <v>15.900250465861818</v>
      </c>
      <c r="V35" s="3">
        <v>27</v>
      </c>
      <c r="W35" s="15">
        <f t="shared" si="0"/>
        <v>828</v>
      </c>
      <c r="X35" s="15">
        <f t="shared" si="1"/>
        <v>873</v>
      </c>
      <c r="Y35" s="15">
        <f t="shared" si="2"/>
        <v>1011</v>
      </c>
      <c r="Z35" s="15">
        <f t="shared" si="3"/>
        <v>1241</v>
      </c>
      <c r="AA35" s="15">
        <f t="shared" si="4"/>
        <v>1562</v>
      </c>
      <c r="AB35" s="15">
        <f t="shared" si="5"/>
        <v>1975</v>
      </c>
      <c r="AC35" s="15">
        <f t="shared" si="6"/>
        <v>2480</v>
      </c>
      <c r="AD35" s="15">
        <f t="shared" si="7"/>
        <v>3077</v>
      </c>
      <c r="AE35" s="15">
        <f t="shared" si="8"/>
        <v>3765</v>
      </c>
      <c r="AF35" s="15">
        <f t="shared" si="9"/>
        <v>4545</v>
      </c>
      <c r="AP35" s="3">
        <v>27</v>
      </c>
      <c r="AQ35" s="3">
        <f t="shared" si="21"/>
        <v>1656</v>
      </c>
      <c r="AR35" s="3">
        <f t="shared" ref="AR35:AZ35" si="48">ROUNDUP(100/D35,0)*X35+AQ35</f>
        <v>3402</v>
      </c>
      <c r="AS35" s="3">
        <f t="shared" si="48"/>
        <v>6435</v>
      </c>
      <c r="AT35" s="3">
        <f t="shared" si="48"/>
        <v>10158</v>
      </c>
      <c r="AU35" s="3">
        <f t="shared" si="48"/>
        <v>16406</v>
      </c>
      <c r="AV35" s="3">
        <f t="shared" si="48"/>
        <v>24306</v>
      </c>
      <c r="AW35" s="3">
        <f t="shared" si="48"/>
        <v>36706</v>
      </c>
      <c r="AX35" s="3">
        <f t="shared" si="48"/>
        <v>52091</v>
      </c>
      <c r="AY35" s="3">
        <f t="shared" si="48"/>
        <v>74681</v>
      </c>
      <c r="AZ35" s="3">
        <f t="shared" si="48"/>
        <v>106496</v>
      </c>
      <c r="BB35" s="17" t="str">
        <f t="shared" si="23"/>
        <v>{0 , 1656 , 3402 , 6435 , 10158 , 16406 , 24306 , 36706 , 52091 , 74681 , 106496},</v>
      </c>
    </row>
    <row r="36" spans="2:54" x14ac:dyDescent="0.15">
      <c r="B36" s="3">
        <v>28</v>
      </c>
      <c r="C36" s="15">
        <f t="shared" si="11"/>
        <v>58.899116904971379</v>
      </c>
      <c r="D36" s="15">
        <f t="shared" si="12"/>
        <v>50.233545411039053</v>
      </c>
      <c r="E36" s="15">
        <f t="shared" si="13"/>
        <v>42.880564171579387</v>
      </c>
      <c r="F36" s="15">
        <f t="shared" si="14"/>
        <v>36.641352695948108</v>
      </c>
      <c r="G36" s="15">
        <f t="shared" si="15"/>
        <v>31.347206203537159</v>
      </c>
      <c r="H36" s="15">
        <f t="shared" si="16"/>
        <v>26.854973941082644</v>
      </c>
      <c r="I36" s="15">
        <f t="shared" si="17"/>
        <v>23.043188466546756</v>
      </c>
      <c r="J36" s="15">
        <f t="shared" si="18"/>
        <v>19.808781237579506</v>
      </c>
      <c r="K36" s="15">
        <f t="shared" si="19"/>
        <v>17.06429569591366</v>
      </c>
      <c r="L36" s="15">
        <f t="shared" si="20"/>
        <v>14.735522491057242</v>
      </c>
      <c r="V36" s="3">
        <v>28</v>
      </c>
      <c r="W36" s="15">
        <f t="shared" si="0"/>
        <v>883</v>
      </c>
      <c r="X36" s="15">
        <f t="shared" si="1"/>
        <v>930</v>
      </c>
      <c r="Y36" s="15">
        <f t="shared" si="2"/>
        <v>1073</v>
      </c>
      <c r="Z36" s="15">
        <f t="shared" si="3"/>
        <v>1311</v>
      </c>
      <c r="AA36" s="15">
        <f t="shared" si="4"/>
        <v>1644</v>
      </c>
      <c r="AB36" s="15">
        <f t="shared" si="5"/>
        <v>2073</v>
      </c>
      <c r="AC36" s="15">
        <f t="shared" si="6"/>
        <v>2596</v>
      </c>
      <c r="AD36" s="15">
        <f t="shared" si="7"/>
        <v>3215</v>
      </c>
      <c r="AE36" s="15">
        <f t="shared" si="8"/>
        <v>3929</v>
      </c>
      <c r="AF36" s="15">
        <f t="shared" si="9"/>
        <v>4738</v>
      </c>
      <c r="AP36" s="3">
        <v>28</v>
      </c>
      <c r="AQ36" s="3">
        <f t="shared" si="21"/>
        <v>1766</v>
      </c>
      <c r="AR36" s="3">
        <f t="shared" ref="AR36:AZ36" si="49">ROUNDUP(100/D36,0)*X36+AQ36</f>
        <v>3626</v>
      </c>
      <c r="AS36" s="3">
        <f t="shared" si="49"/>
        <v>6845</v>
      </c>
      <c r="AT36" s="3">
        <f t="shared" si="49"/>
        <v>10778</v>
      </c>
      <c r="AU36" s="3">
        <f t="shared" si="49"/>
        <v>17354</v>
      </c>
      <c r="AV36" s="3">
        <f t="shared" si="49"/>
        <v>25646</v>
      </c>
      <c r="AW36" s="3">
        <f t="shared" si="49"/>
        <v>38626</v>
      </c>
      <c r="AX36" s="3">
        <f t="shared" si="49"/>
        <v>57916</v>
      </c>
      <c r="AY36" s="3">
        <f t="shared" si="49"/>
        <v>81490</v>
      </c>
      <c r="AZ36" s="3">
        <f t="shared" si="49"/>
        <v>114656</v>
      </c>
      <c r="BB36" s="17" t="str">
        <f t="shared" si="23"/>
        <v>{0 , 1766 , 3626 , 6845 , 10778 , 17354 , 25646 , 38626 , 57916 , 81490 , 114656},</v>
      </c>
    </row>
    <row r="37" spans="2:54" x14ac:dyDescent="0.15">
      <c r="B37" s="3">
        <v>29</v>
      </c>
      <c r="C37" s="15">
        <f t="shared" si="11"/>
        <v>57.554921497399121</v>
      </c>
      <c r="D37" s="15">
        <f t="shared" si="12"/>
        <v>48.762619560382461</v>
      </c>
      <c r="E37" s="15">
        <f t="shared" si="13"/>
        <v>41.354094263153371</v>
      </c>
      <c r="F37" s="15">
        <f t="shared" si="14"/>
        <v>35.11155988787155</v>
      </c>
      <c r="G37" s="15">
        <f t="shared" si="15"/>
        <v>29.851506926838898</v>
      </c>
      <c r="H37" s="15">
        <f t="shared" si="16"/>
        <v>25.419307520388799</v>
      </c>
      <c r="I37" s="15">
        <f t="shared" si="17"/>
        <v>21.684669918055615</v>
      </c>
      <c r="J37" s="15">
        <f t="shared" si="18"/>
        <v>18.537808339476047</v>
      </c>
      <c r="K37" s="15">
        <f t="shared" si="19"/>
        <v>15.886215641819485</v>
      </c>
      <c r="L37" s="15">
        <f t="shared" si="20"/>
        <v>13.651943921027993</v>
      </c>
      <c r="V37" s="3">
        <v>29</v>
      </c>
      <c r="W37" s="15">
        <f t="shared" si="0"/>
        <v>940</v>
      </c>
      <c r="X37" s="15">
        <f t="shared" si="1"/>
        <v>989</v>
      </c>
      <c r="Y37" s="15">
        <f t="shared" si="2"/>
        <v>1137</v>
      </c>
      <c r="Z37" s="15">
        <f t="shared" si="3"/>
        <v>1383</v>
      </c>
      <c r="AA37" s="15">
        <f t="shared" si="4"/>
        <v>1728</v>
      </c>
      <c r="AB37" s="15">
        <f t="shared" si="5"/>
        <v>2172</v>
      </c>
      <c r="AC37" s="15">
        <f t="shared" si="6"/>
        <v>2714</v>
      </c>
      <c r="AD37" s="15">
        <f t="shared" si="7"/>
        <v>3355</v>
      </c>
      <c r="AE37" s="15">
        <f t="shared" si="8"/>
        <v>4095</v>
      </c>
      <c r="AF37" s="15">
        <f t="shared" si="9"/>
        <v>4933</v>
      </c>
      <c r="AP37" s="3">
        <v>29</v>
      </c>
      <c r="AQ37" s="3">
        <f t="shared" si="21"/>
        <v>1880</v>
      </c>
      <c r="AR37" s="3">
        <f t="shared" ref="AR37:AZ37" si="50">ROUNDUP(100/D37,0)*X37+AQ37</f>
        <v>4847</v>
      </c>
      <c r="AS37" s="3">
        <f t="shared" si="50"/>
        <v>8258</v>
      </c>
      <c r="AT37" s="3">
        <f t="shared" si="50"/>
        <v>12407</v>
      </c>
      <c r="AU37" s="3">
        <f t="shared" si="50"/>
        <v>19319</v>
      </c>
      <c r="AV37" s="3">
        <f t="shared" si="50"/>
        <v>28007</v>
      </c>
      <c r="AW37" s="3">
        <f t="shared" si="50"/>
        <v>41577</v>
      </c>
      <c r="AX37" s="3">
        <f t="shared" si="50"/>
        <v>61707</v>
      </c>
      <c r="AY37" s="3">
        <f t="shared" si="50"/>
        <v>90372</v>
      </c>
      <c r="AZ37" s="3">
        <f t="shared" si="50"/>
        <v>129836</v>
      </c>
      <c r="BB37" s="17" t="str">
        <f t="shared" si="23"/>
        <v>{0 , 1880 , 4847 , 8258 , 12407 , 19319 , 28007 , 41577 , 61707 , 90372 , 129836},</v>
      </c>
    </row>
    <row r="38" spans="2:54" x14ac:dyDescent="0.15">
      <c r="B38" s="13">
        <v>30</v>
      </c>
      <c r="C38" s="14">
        <f t="shared" si="11"/>
        <v>56.223913886931427</v>
      </c>
      <c r="D38" s="14">
        <f t="shared" si="12"/>
        <v>47.316345839647035</v>
      </c>
      <c r="E38" s="14">
        <f t="shared" si="13"/>
        <v>39.863739720851996</v>
      </c>
      <c r="F38" s="14">
        <f t="shared" si="14"/>
        <v>33.628442087752923</v>
      </c>
      <c r="G38" s="14">
        <f t="shared" si="15"/>
        <v>28.411617804596393</v>
      </c>
      <c r="H38" s="14">
        <f t="shared" si="16"/>
        <v>24.046909461427045</v>
      </c>
      <c r="I38" s="14">
        <f t="shared" si="17"/>
        <v>20.395132463217475</v>
      </c>
      <c r="J38" s="14">
        <f t="shared" si="18"/>
        <v>17.339836622998931</v>
      </c>
      <c r="K38" s="14">
        <f t="shared" si="19"/>
        <v>14.78359272425223</v>
      </c>
      <c r="L38" s="14">
        <f t="shared" si="20"/>
        <v>12.64488563609925</v>
      </c>
      <c r="V38" s="13">
        <v>30</v>
      </c>
      <c r="W38" s="14">
        <f t="shared" si="0"/>
        <v>999</v>
      </c>
      <c r="X38" s="14">
        <f t="shared" si="1"/>
        <v>1050</v>
      </c>
      <c r="Y38" s="14">
        <f t="shared" si="2"/>
        <v>1203</v>
      </c>
      <c r="Z38" s="14">
        <f t="shared" si="3"/>
        <v>1458</v>
      </c>
      <c r="AA38" s="14">
        <f t="shared" si="4"/>
        <v>1815</v>
      </c>
      <c r="AB38" s="14">
        <f t="shared" si="5"/>
        <v>2274</v>
      </c>
      <c r="AC38" s="14">
        <f t="shared" si="6"/>
        <v>2835</v>
      </c>
      <c r="AD38" s="14">
        <f t="shared" si="7"/>
        <v>3498</v>
      </c>
      <c r="AE38" s="14">
        <f t="shared" si="8"/>
        <v>4263</v>
      </c>
      <c r="AF38" s="14">
        <f t="shared" si="9"/>
        <v>5130</v>
      </c>
      <c r="AP38" s="13">
        <v>30</v>
      </c>
      <c r="AQ38" s="13">
        <f t="shared" si="21"/>
        <v>1998</v>
      </c>
      <c r="AR38" s="13">
        <f t="shared" ref="AR38:AZ38" si="51">ROUNDUP(100/D38,0)*X38+AQ38</f>
        <v>5148</v>
      </c>
      <c r="AS38" s="13">
        <f t="shared" si="51"/>
        <v>8757</v>
      </c>
      <c r="AT38" s="13">
        <f t="shared" si="51"/>
        <v>13131</v>
      </c>
      <c r="AU38" s="13">
        <f t="shared" si="51"/>
        <v>20391</v>
      </c>
      <c r="AV38" s="13">
        <f t="shared" si="51"/>
        <v>31761</v>
      </c>
      <c r="AW38" s="13">
        <f t="shared" si="51"/>
        <v>45936</v>
      </c>
      <c r="AX38" s="13">
        <f t="shared" si="51"/>
        <v>66924</v>
      </c>
      <c r="AY38" s="13">
        <f t="shared" si="51"/>
        <v>96765</v>
      </c>
      <c r="AZ38" s="13">
        <f t="shared" si="51"/>
        <v>137805</v>
      </c>
      <c r="BB38" s="17" t="str">
        <f t="shared" si="23"/>
        <v>{0 , 1998 , 5148 , 8757 , 13131 , 20391 , 31761 , 45936 , 66924 , 96765 , 137805},</v>
      </c>
    </row>
    <row r="39" spans="2:54" x14ac:dyDescent="0.15">
      <c r="B39" s="3">
        <v>31</v>
      </c>
      <c r="C39" s="15">
        <f t="shared" si="11"/>
        <v>54.906150314826206</v>
      </c>
      <c r="D39" s="15">
        <f t="shared" si="12"/>
        <v>45.89465440977704</v>
      </c>
      <c r="E39" s="15">
        <f t="shared" si="13"/>
        <v>38.409143717230066</v>
      </c>
      <c r="F39" s="15">
        <f t="shared" si="14"/>
        <v>32.19121154274616</v>
      </c>
      <c r="G39" s="15">
        <f t="shared" si="15"/>
        <v>27.026209164888748</v>
      </c>
      <c r="H39" s="15">
        <f t="shared" si="16"/>
        <v>22.73583596449485</v>
      </c>
      <c r="I39" s="15">
        <f t="shared" si="17"/>
        <v>19.171984323773234</v>
      </c>
      <c r="J39" s="15">
        <f t="shared" si="18"/>
        <v>16.211626815501447</v>
      </c>
      <c r="K39" s="15">
        <f t="shared" si="19"/>
        <v>13.75256918340353</v>
      </c>
      <c r="L39" s="15">
        <f t="shared" si="20"/>
        <v>11.709922502695994</v>
      </c>
      <c r="V39" s="3">
        <v>31</v>
      </c>
      <c r="W39" s="15">
        <f t="shared" si="0"/>
        <v>1060</v>
      </c>
      <c r="X39" s="15">
        <f t="shared" si="1"/>
        <v>1112</v>
      </c>
      <c r="Y39" s="15">
        <f t="shared" si="2"/>
        <v>1270</v>
      </c>
      <c r="Z39" s="15">
        <f t="shared" si="3"/>
        <v>1534</v>
      </c>
      <c r="AA39" s="15">
        <f t="shared" si="4"/>
        <v>1903</v>
      </c>
      <c r="AB39" s="15">
        <f t="shared" si="5"/>
        <v>2377</v>
      </c>
      <c r="AC39" s="15">
        <f t="shared" si="6"/>
        <v>2957</v>
      </c>
      <c r="AD39" s="15">
        <f t="shared" si="7"/>
        <v>3642</v>
      </c>
      <c r="AE39" s="15">
        <f t="shared" si="8"/>
        <v>4432</v>
      </c>
      <c r="AF39" s="15">
        <f t="shared" si="9"/>
        <v>5328</v>
      </c>
      <c r="AP39" s="3">
        <v>31</v>
      </c>
      <c r="AQ39" s="3">
        <f t="shared" si="21"/>
        <v>2120</v>
      </c>
      <c r="AR39" s="3">
        <f t="shared" ref="AR39:AZ39" si="52">ROUNDUP(100/D39,0)*X39+AQ39</f>
        <v>5456</v>
      </c>
      <c r="AS39" s="3">
        <f t="shared" si="52"/>
        <v>9266</v>
      </c>
      <c r="AT39" s="3">
        <f t="shared" si="52"/>
        <v>15402</v>
      </c>
      <c r="AU39" s="3">
        <f t="shared" si="52"/>
        <v>23014</v>
      </c>
      <c r="AV39" s="3">
        <f t="shared" si="52"/>
        <v>34899</v>
      </c>
      <c r="AW39" s="3">
        <f t="shared" si="52"/>
        <v>52641</v>
      </c>
      <c r="AX39" s="3">
        <f t="shared" si="52"/>
        <v>78135</v>
      </c>
      <c r="AY39" s="3">
        <f t="shared" si="52"/>
        <v>113591</v>
      </c>
      <c r="AZ39" s="3">
        <f t="shared" si="52"/>
        <v>161543</v>
      </c>
      <c r="BB39" s="17" t="str">
        <f t="shared" si="23"/>
        <v>{0 , 2120 , 5456 , 9266 , 15402 , 23014 , 34899 , 52641 , 78135 , 113591 , 161543},</v>
      </c>
    </row>
    <row r="40" spans="2:54" x14ac:dyDescent="0.15">
      <c r="B40" s="3">
        <v>32</v>
      </c>
      <c r="C40" s="15">
        <f t="shared" si="11"/>
        <v>53.601688076723917</v>
      </c>
      <c r="D40" s="15">
        <f t="shared" si="12"/>
        <v>44.497474628889925</v>
      </c>
      <c r="E40" s="15">
        <f t="shared" si="13"/>
        <v>36.98994789217226</v>
      </c>
      <c r="F40" s="15">
        <f t="shared" si="14"/>
        <v>30.799082747645155</v>
      </c>
      <c r="G40" s="15">
        <f t="shared" si="15"/>
        <v>25.693964566677142</v>
      </c>
      <c r="H40" s="15">
        <f t="shared" si="16"/>
        <v>21.484176268398706</v>
      </c>
      <c r="I40" s="15">
        <f t="shared" si="17"/>
        <v>18.012695905340458</v>
      </c>
      <c r="J40" s="15">
        <f t="shared" si="18"/>
        <v>15.15003986251112</v>
      </c>
      <c r="K40" s="15">
        <f t="shared" si="19"/>
        <v>12.78943321563151</v>
      </c>
      <c r="L40" s="15">
        <f t="shared" si="20"/>
        <v>10.842827106507558</v>
      </c>
      <c r="V40" s="3">
        <v>32</v>
      </c>
      <c r="W40" s="15">
        <f t="shared" si="0"/>
        <v>1123</v>
      </c>
      <c r="X40" s="15">
        <f t="shared" si="1"/>
        <v>1177</v>
      </c>
      <c r="Y40" s="15">
        <f t="shared" si="2"/>
        <v>1340</v>
      </c>
      <c r="Z40" s="15">
        <f t="shared" si="3"/>
        <v>1612</v>
      </c>
      <c r="AA40" s="15">
        <f t="shared" si="4"/>
        <v>1993</v>
      </c>
      <c r="AB40" s="15">
        <f t="shared" si="5"/>
        <v>2483</v>
      </c>
      <c r="AC40" s="15">
        <f t="shared" si="6"/>
        <v>3081</v>
      </c>
      <c r="AD40" s="15">
        <f t="shared" si="7"/>
        <v>3788</v>
      </c>
      <c r="AE40" s="15">
        <f t="shared" si="8"/>
        <v>4604</v>
      </c>
      <c r="AF40" s="15">
        <f t="shared" si="9"/>
        <v>5529</v>
      </c>
      <c r="AP40" s="3">
        <v>32</v>
      </c>
      <c r="AQ40" s="3">
        <f t="shared" si="21"/>
        <v>2246</v>
      </c>
      <c r="AR40" s="3">
        <f t="shared" ref="AR40:AZ40" si="53">ROUNDUP(100/D40,0)*X40+AQ40</f>
        <v>5777</v>
      </c>
      <c r="AS40" s="3">
        <f t="shared" si="53"/>
        <v>9797</v>
      </c>
      <c r="AT40" s="3">
        <f t="shared" si="53"/>
        <v>16245</v>
      </c>
      <c r="AU40" s="3">
        <f t="shared" si="53"/>
        <v>24217</v>
      </c>
      <c r="AV40" s="3">
        <f t="shared" si="53"/>
        <v>36632</v>
      </c>
      <c r="AW40" s="3">
        <f t="shared" si="53"/>
        <v>55118</v>
      </c>
      <c r="AX40" s="3">
        <f t="shared" si="53"/>
        <v>81634</v>
      </c>
      <c r="AY40" s="3">
        <f t="shared" si="53"/>
        <v>118466</v>
      </c>
      <c r="AZ40" s="3">
        <f t="shared" si="53"/>
        <v>173756</v>
      </c>
      <c r="BB40" s="17" t="str">
        <f t="shared" si="23"/>
        <v>{0 , 2246 , 5777 , 9797 , 16245 , 24217 , 36632 , 55118 , 81634 , 118466 , 173756},</v>
      </c>
    </row>
    <row r="41" spans="2:54" x14ac:dyDescent="0.15">
      <c r="B41" s="3">
        <v>33</v>
      </c>
      <c r="C41" s="15">
        <f t="shared" si="11"/>
        <v>52.310585558133496</v>
      </c>
      <c r="D41" s="15">
        <f t="shared" si="12"/>
        <v>43.124735031207457</v>
      </c>
      <c r="E41" s="15">
        <f t="shared" si="13"/>
        <v>35.605792323949451</v>
      </c>
      <c r="F41" s="15">
        <f t="shared" si="14"/>
        <v>29.451272470909</v>
      </c>
      <c r="G41" s="15">
        <f t="shared" si="15"/>
        <v>24.413580857046135</v>
      </c>
      <c r="H41" s="15">
        <f t="shared" si="16"/>
        <v>20.290052555509028</v>
      </c>
      <c r="I41" s="15">
        <f t="shared" si="17"/>
        <v>16.914799174220907</v>
      </c>
      <c r="J41" s="15">
        <f t="shared" si="18"/>
        <v>14.152035212191052</v>
      </c>
      <c r="K41" s="15">
        <f t="shared" si="19"/>
        <v>11.890615446728011</v>
      </c>
      <c r="L41" s="15">
        <f t="shared" si="20"/>
        <v>10.039563592168001</v>
      </c>
      <c r="V41" s="3">
        <v>33</v>
      </c>
      <c r="W41" s="15">
        <f t="shared" ref="W41:W58" si="54">99+V41^$AI$5+INT($W$7^$AI$6*$AI$7*V41)</f>
        <v>1188</v>
      </c>
      <c r="X41" s="15">
        <f t="shared" ref="X41:X58" si="55">99+V41^$AI$5+INT($X$7^$AI$6*$AI$7*V41)</f>
        <v>1244</v>
      </c>
      <c r="Y41" s="15">
        <f t="shared" ref="Y41:Y58" si="56">99+V41^$AI$5+INT($Y$7^$AI$6*$AI$7*V41)</f>
        <v>1412</v>
      </c>
      <c r="Z41" s="15">
        <f t="shared" ref="Z41:Z58" si="57">99+V41^$AI$5+INT($Z$7^$AI$6*$AI$7*V41)</f>
        <v>1692</v>
      </c>
      <c r="AA41" s="15">
        <f t="shared" ref="AA41:AA58" si="58">99+V41^$AI$5+INT($AA$7^$AI$6*$AI$7*V41)</f>
        <v>2085</v>
      </c>
      <c r="AB41" s="15">
        <f t="shared" ref="AB41:AB58" si="59">99+V41^$AI$5+INT($AB$7^$AI$6*$AI$7*V41)</f>
        <v>2590</v>
      </c>
      <c r="AC41" s="15">
        <f t="shared" ref="AC41:AC58" si="60">99+V41^$AI$5+INT($AC$7^$AI$6*$AI$7*V41)</f>
        <v>3207</v>
      </c>
      <c r="AD41" s="15">
        <f t="shared" ref="AD41:AD58" si="61">99+V41^$AI$5+INT($AD$7^$AI$6*$AI$7*V41)</f>
        <v>3936</v>
      </c>
      <c r="AE41" s="15">
        <f t="shared" ref="AE41:AE58" si="62">99+V41^$AI$5+INT($AE$7^$AI$6*$AI$7*V41)</f>
        <v>4778</v>
      </c>
      <c r="AF41" s="15">
        <f t="shared" ref="AF41:AF58" si="63">99+V41^$AI$5+INT($AF$7^$AI$6*$AI$7*V41)</f>
        <v>5732</v>
      </c>
      <c r="AP41" s="3">
        <v>33</v>
      </c>
      <c r="AQ41" s="3">
        <f t="shared" si="21"/>
        <v>2376</v>
      </c>
      <c r="AR41" s="3">
        <f t="shared" ref="AR41:AZ41" si="64">ROUNDUP(100/D41,0)*X41+AQ41</f>
        <v>6108</v>
      </c>
      <c r="AS41" s="3">
        <f t="shared" si="64"/>
        <v>10344</v>
      </c>
      <c r="AT41" s="3">
        <f t="shared" si="64"/>
        <v>17112</v>
      </c>
      <c r="AU41" s="3">
        <f t="shared" si="64"/>
        <v>27537</v>
      </c>
      <c r="AV41" s="3">
        <f t="shared" si="64"/>
        <v>40487</v>
      </c>
      <c r="AW41" s="3">
        <f t="shared" si="64"/>
        <v>59729</v>
      </c>
      <c r="AX41" s="3">
        <f t="shared" si="64"/>
        <v>91217</v>
      </c>
      <c r="AY41" s="3">
        <f t="shared" si="64"/>
        <v>134219</v>
      </c>
      <c r="AZ41" s="3">
        <f t="shared" si="64"/>
        <v>191539</v>
      </c>
      <c r="BB41" s="17" t="str">
        <f t="shared" si="23"/>
        <v>{0 , 2376 , 6108 , 10344 , 17112 , 27537 , 40487 , 59729 , 91217 , 134219 , 191539},</v>
      </c>
    </row>
    <row r="42" spans="2:54" x14ac:dyDescent="0.15">
      <c r="B42" s="3">
        <v>34</v>
      </c>
      <c r="C42" s="15">
        <f t="shared" si="11"/>
        <v>51.032902271657285</v>
      </c>
      <c r="D42" s="15">
        <f t="shared" si="12"/>
        <v>41.776363305114273</v>
      </c>
      <c r="E42" s="15">
        <f t="shared" si="13"/>
        <v>34.256315499293805</v>
      </c>
      <c r="F42" s="15">
        <f t="shared" si="14"/>
        <v>28.146999781375424</v>
      </c>
      <c r="G42" s="15">
        <f t="shared" si="15"/>
        <v>23.183768229533914</v>
      </c>
      <c r="H42" s="15">
        <f t="shared" si="16"/>
        <v>19.151619855707782</v>
      </c>
      <c r="I42" s="15">
        <f t="shared" si="17"/>
        <v>15.875887031492383</v>
      </c>
      <c r="J42" s="15">
        <f t="shared" si="18"/>
        <v>13.214669104767134</v>
      </c>
      <c r="K42" s="15">
        <f t="shared" si="19"/>
        <v>11.052685440784975</v>
      </c>
      <c r="L42" s="15">
        <f t="shared" si="20"/>
        <v>9.2962816091463107</v>
      </c>
      <c r="V42" s="3">
        <v>34</v>
      </c>
      <c r="W42" s="15">
        <f t="shared" si="54"/>
        <v>1255</v>
      </c>
      <c r="X42" s="15">
        <f t="shared" si="55"/>
        <v>1312</v>
      </c>
      <c r="Y42" s="15">
        <f t="shared" si="56"/>
        <v>1486</v>
      </c>
      <c r="Z42" s="15">
        <f t="shared" si="57"/>
        <v>1775</v>
      </c>
      <c r="AA42" s="15">
        <f t="shared" si="58"/>
        <v>2179</v>
      </c>
      <c r="AB42" s="15">
        <f t="shared" si="59"/>
        <v>2700</v>
      </c>
      <c r="AC42" s="15">
        <f t="shared" si="60"/>
        <v>3335</v>
      </c>
      <c r="AD42" s="15">
        <f t="shared" si="61"/>
        <v>4087</v>
      </c>
      <c r="AE42" s="15">
        <f t="shared" si="62"/>
        <v>4954</v>
      </c>
      <c r="AF42" s="15">
        <f t="shared" si="63"/>
        <v>5936</v>
      </c>
      <c r="AP42" s="3">
        <v>34</v>
      </c>
      <c r="AQ42" s="3">
        <f t="shared" si="21"/>
        <v>2510</v>
      </c>
      <c r="AR42" s="3">
        <f t="shared" ref="AR42:AZ42" si="65">ROUNDUP(100/D42,0)*X42+AQ42</f>
        <v>6446</v>
      </c>
      <c r="AS42" s="3">
        <f t="shared" si="65"/>
        <v>10904</v>
      </c>
      <c r="AT42" s="3">
        <f t="shared" si="65"/>
        <v>18004</v>
      </c>
      <c r="AU42" s="3">
        <f t="shared" si="65"/>
        <v>28899</v>
      </c>
      <c r="AV42" s="3">
        <f t="shared" si="65"/>
        <v>45099</v>
      </c>
      <c r="AW42" s="3">
        <f t="shared" si="65"/>
        <v>68444</v>
      </c>
      <c r="AX42" s="3">
        <f t="shared" si="65"/>
        <v>101140</v>
      </c>
      <c r="AY42" s="3">
        <f t="shared" si="65"/>
        <v>150680</v>
      </c>
      <c r="AZ42" s="3">
        <f t="shared" si="65"/>
        <v>215976</v>
      </c>
      <c r="BB42" s="17" t="str">
        <f t="shared" si="23"/>
        <v>{0 , 2510 , 6446 , 10904 , 18004 , 28899 , 45099 , 68444 , 101140 , 150680 , 215976},</v>
      </c>
    </row>
    <row r="43" spans="2:54" x14ac:dyDescent="0.15">
      <c r="B43" s="13">
        <v>35</v>
      </c>
      <c r="C43" s="14">
        <f t="shared" si="11"/>
        <v>49.768698896067789</v>
      </c>
      <c r="D43" s="14">
        <f t="shared" si="12"/>
        <v>40.452286270293541</v>
      </c>
      <c r="E43" s="14">
        <f t="shared" si="13"/>
        <v>32.94115428244406</v>
      </c>
      <c r="F43" s="14">
        <f t="shared" si="14"/>
        <v>26.885486075690807</v>
      </c>
      <c r="G43" s="14">
        <f t="shared" si="15"/>
        <v>22.003250283588638</v>
      </c>
      <c r="H43" s="14">
        <f t="shared" si="16"/>
        <v>18.067065949199026</v>
      </c>
      <c r="I43" s="14">
        <f t="shared" si="17"/>
        <v>14.893612684332613</v>
      </c>
      <c r="J43" s="14">
        <f t="shared" si="18"/>
        <v>12.335092866979362</v>
      </c>
      <c r="K43" s="14">
        <f t="shared" si="19"/>
        <v>10.2723482448162</v>
      </c>
      <c r="L43" s="14">
        <f t="shared" si="20"/>
        <v>8.6093103635365882</v>
      </c>
      <c r="V43" s="13">
        <v>35</v>
      </c>
      <c r="W43" s="14">
        <f t="shared" si="54"/>
        <v>1324</v>
      </c>
      <c r="X43" s="14">
        <f t="shared" si="55"/>
        <v>1383</v>
      </c>
      <c r="Y43" s="14">
        <f t="shared" si="56"/>
        <v>1562</v>
      </c>
      <c r="Z43" s="14">
        <f t="shared" si="57"/>
        <v>1859</v>
      </c>
      <c r="AA43" s="14">
        <f t="shared" si="58"/>
        <v>2276</v>
      </c>
      <c r="AB43" s="14">
        <f t="shared" si="59"/>
        <v>2811</v>
      </c>
      <c r="AC43" s="14">
        <f t="shared" si="60"/>
        <v>3466</v>
      </c>
      <c r="AD43" s="14">
        <f t="shared" si="61"/>
        <v>4239</v>
      </c>
      <c r="AE43" s="14">
        <f t="shared" si="62"/>
        <v>5132</v>
      </c>
      <c r="AF43" s="14">
        <f t="shared" si="63"/>
        <v>6143</v>
      </c>
      <c r="AP43" s="13">
        <v>35</v>
      </c>
      <c r="AQ43" s="13">
        <f t="shared" si="21"/>
        <v>3972</v>
      </c>
      <c r="AR43" s="13">
        <f t="shared" ref="AR43:AZ43" si="66">ROUNDUP(100/D43,0)*X43+AQ43</f>
        <v>8121</v>
      </c>
      <c r="AS43" s="13">
        <f t="shared" si="66"/>
        <v>14369</v>
      </c>
      <c r="AT43" s="13">
        <f t="shared" si="66"/>
        <v>21805</v>
      </c>
      <c r="AU43" s="13">
        <f t="shared" si="66"/>
        <v>33185</v>
      </c>
      <c r="AV43" s="13">
        <f t="shared" si="66"/>
        <v>50051</v>
      </c>
      <c r="AW43" s="13">
        <f t="shared" si="66"/>
        <v>74313</v>
      </c>
      <c r="AX43" s="13">
        <f t="shared" si="66"/>
        <v>112464</v>
      </c>
      <c r="AY43" s="13">
        <f t="shared" si="66"/>
        <v>163784</v>
      </c>
      <c r="AZ43" s="13">
        <f t="shared" si="66"/>
        <v>237500</v>
      </c>
      <c r="BB43" s="17" t="str">
        <f t="shared" si="23"/>
        <v>{0 , 3972 , 8121 , 14369 , 21805 , 33185 , 50051 , 74313 , 112464 , 163784 , 237500},</v>
      </c>
    </row>
    <row r="44" spans="2:54" x14ac:dyDescent="0.15">
      <c r="B44" s="3">
        <v>36</v>
      </c>
      <c r="C44" s="15">
        <f t="shared" si="11"/>
        <v>48.518037317358221</v>
      </c>
      <c r="D44" s="15">
        <f t="shared" si="12"/>
        <v>39.152429853886574</v>
      </c>
      <c r="E44" s="15">
        <f t="shared" si="13"/>
        <v>31.659943883109257</v>
      </c>
      <c r="F44" s="15">
        <f t="shared" si="14"/>
        <v>25.665955106487409</v>
      </c>
      <c r="G44" s="15">
        <f t="shared" si="15"/>
        <v>20.870764085189929</v>
      </c>
      <c r="H44" s="15">
        <f t="shared" si="16"/>
        <v>17.034611268151941</v>
      </c>
      <c r="I44" s="15">
        <f t="shared" si="17"/>
        <v>13.965689014521551</v>
      </c>
      <c r="J44" s="15">
        <f t="shared" si="18"/>
        <v>11.510551211617241</v>
      </c>
      <c r="K44" s="15">
        <f t="shared" si="19"/>
        <v>9.5464409692937924</v>
      </c>
      <c r="L44" s="15">
        <f t="shared" si="20"/>
        <v>7.9751527754350349</v>
      </c>
      <c r="V44" s="3">
        <v>36</v>
      </c>
      <c r="W44" s="15">
        <f t="shared" si="54"/>
        <v>1395</v>
      </c>
      <c r="X44" s="15">
        <f t="shared" si="55"/>
        <v>1456</v>
      </c>
      <c r="Y44" s="15">
        <f t="shared" si="56"/>
        <v>1639</v>
      </c>
      <c r="Z44" s="15">
        <f t="shared" si="57"/>
        <v>1945</v>
      </c>
      <c r="AA44" s="15">
        <f t="shared" si="58"/>
        <v>2374</v>
      </c>
      <c r="AB44" s="15">
        <f t="shared" si="59"/>
        <v>2925</v>
      </c>
      <c r="AC44" s="15">
        <f t="shared" si="60"/>
        <v>3598</v>
      </c>
      <c r="AD44" s="15">
        <f t="shared" si="61"/>
        <v>4393</v>
      </c>
      <c r="AE44" s="15">
        <f t="shared" si="62"/>
        <v>5311</v>
      </c>
      <c r="AF44" s="15">
        <f t="shared" si="63"/>
        <v>6352</v>
      </c>
      <c r="AP44" s="3">
        <v>36</v>
      </c>
      <c r="AQ44" s="3">
        <f t="shared" si="21"/>
        <v>4185</v>
      </c>
      <c r="AR44" s="3">
        <f t="shared" ref="AR44:AZ44" si="67">ROUNDUP(100/D44,0)*X44+AQ44</f>
        <v>8553</v>
      </c>
      <c r="AS44" s="3">
        <f t="shared" si="67"/>
        <v>15109</v>
      </c>
      <c r="AT44" s="3">
        <f t="shared" si="67"/>
        <v>22889</v>
      </c>
      <c r="AU44" s="3">
        <f t="shared" si="67"/>
        <v>34759</v>
      </c>
      <c r="AV44" s="3">
        <f t="shared" si="67"/>
        <v>52309</v>
      </c>
      <c r="AW44" s="3">
        <f t="shared" si="67"/>
        <v>81093</v>
      </c>
      <c r="AX44" s="3">
        <f t="shared" si="67"/>
        <v>120630</v>
      </c>
      <c r="AY44" s="3">
        <f t="shared" si="67"/>
        <v>179051</v>
      </c>
      <c r="AZ44" s="3">
        <f t="shared" si="67"/>
        <v>261627</v>
      </c>
      <c r="BB44" s="17" t="str">
        <f t="shared" si="23"/>
        <v>{0 , 4185 , 8553 , 15109 , 22889 , 34759 , 52309 , 81093 , 120630 , 179051 , 261627},</v>
      </c>
    </row>
    <row r="45" spans="2:54" x14ac:dyDescent="0.15">
      <c r="B45" s="3">
        <v>37</v>
      </c>
      <c r="C45" s="15">
        <f t="shared" si="11"/>
        <v>47.280980671898597</v>
      </c>
      <c r="D45" s="15">
        <f t="shared" si="12"/>
        <v>37.876719065618829</v>
      </c>
      <c r="E45" s="15">
        <f t="shared" si="13"/>
        <v>30.412317823296114</v>
      </c>
      <c r="F45" s="15">
        <f t="shared" si="14"/>
        <v>24.48763301133987</v>
      </c>
      <c r="G45" s="15">
        <f t="shared" si="15"/>
        <v>19.785060228676556</v>
      </c>
      <c r="H45" s="15">
        <f t="shared" si="16"/>
        <v>16.052508797144117</v>
      </c>
      <c r="I45" s="15">
        <f t="shared" si="17"/>
        <v>13.089887944066229</v>
      </c>
      <c r="J45" s="15">
        <f t="shared" si="18"/>
        <v>10.73838054220079</v>
      </c>
      <c r="K45" s="15">
        <f t="shared" si="19"/>
        <v>8.8719294047617243</v>
      </c>
      <c r="L45" s="15">
        <f t="shared" si="20"/>
        <v>7.3904797415864998</v>
      </c>
      <c r="V45" s="3">
        <v>37</v>
      </c>
      <c r="W45" s="15">
        <f t="shared" si="54"/>
        <v>1468</v>
      </c>
      <c r="X45" s="15">
        <f t="shared" si="55"/>
        <v>1530</v>
      </c>
      <c r="Y45" s="15">
        <f t="shared" si="56"/>
        <v>1719</v>
      </c>
      <c r="Z45" s="15">
        <f t="shared" si="57"/>
        <v>2034</v>
      </c>
      <c r="AA45" s="15">
        <f t="shared" si="58"/>
        <v>2474</v>
      </c>
      <c r="AB45" s="15">
        <f t="shared" si="59"/>
        <v>3040</v>
      </c>
      <c r="AC45" s="15">
        <f t="shared" si="60"/>
        <v>3732</v>
      </c>
      <c r="AD45" s="15">
        <f t="shared" si="61"/>
        <v>4550</v>
      </c>
      <c r="AE45" s="15">
        <f t="shared" si="62"/>
        <v>5493</v>
      </c>
      <c r="AF45" s="15">
        <f t="shared" si="63"/>
        <v>6562</v>
      </c>
      <c r="AP45" s="3">
        <v>37</v>
      </c>
      <c r="AQ45" s="3">
        <f t="shared" si="21"/>
        <v>4404</v>
      </c>
      <c r="AR45" s="3">
        <f t="shared" ref="AR45:AZ45" si="68">ROUNDUP(100/D45,0)*X45+AQ45</f>
        <v>8994</v>
      </c>
      <c r="AS45" s="3">
        <f t="shared" si="68"/>
        <v>15870</v>
      </c>
      <c r="AT45" s="3">
        <f t="shared" si="68"/>
        <v>26040</v>
      </c>
      <c r="AU45" s="3">
        <f t="shared" si="68"/>
        <v>40884</v>
      </c>
      <c r="AV45" s="3">
        <f t="shared" si="68"/>
        <v>62164</v>
      </c>
      <c r="AW45" s="3">
        <f t="shared" si="68"/>
        <v>92020</v>
      </c>
      <c r="AX45" s="3">
        <f t="shared" si="68"/>
        <v>137520</v>
      </c>
      <c r="AY45" s="3">
        <f t="shared" si="68"/>
        <v>203436</v>
      </c>
      <c r="AZ45" s="3">
        <f t="shared" si="68"/>
        <v>295304</v>
      </c>
      <c r="BB45" s="17" t="str">
        <f t="shared" si="23"/>
        <v>{0 , 4404 , 8994 , 15870 , 26040 , 40884 , 62164 , 92020 , 137520 , 203436 , 295304},</v>
      </c>
    </row>
    <row r="46" spans="2:54" x14ac:dyDescent="0.15">
      <c r="B46" s="3">
        <v>38</v>
      </c>
      <c r="C46" s="15">
        <f t="shared" si="11"/>
        <v>46.057593391840491</v>
      </c>
      <c r="D46" s="15">
        <f t="shared" si="12"/>
        <v>36.625077971830642</v>
      </c>
      <c r="E46" s="15">
        <f t="shared" si="13"/>
        <v>29.197907902941104</v>
      </c>
      <c r="F46" s="15">
        <f t="shared" si="14"/>
        <v>23.349748342535001</v>
      </c>
      <c r="G46" s="15">
        <f t="shared" si="15"/>
        <v>18.74490289982349</v>
      </c>
      <c r="H46" s="15">
        <f t="shared" si="16"/>
        <v>15.119043972371701</v>
      </c>
      <c r="I46" s="15">
        <f t="shared" si="17"/>
        <v>12.264039797890561</v>
      </c>
      <c r="J46" s="15">
        <f t="shared" si="18"/>
        <v>10.016007262870454</v>
      </c>
      <c r="K46" s="15">
        <f t="shared" si="19"/>
        <v>8.2459046746921469</v>
      </c>
      <c r="L46" s="15">
        <f t="shared" si="20"/>
        <v>6.8521245029796809</v>
      </c>
      <c r="V46" s="3">
        <v>38</v>
      </c>
      <c r="W46" s="15">
        <f t="shared" si="54"/>
        <v>1543</v>
      </c>
      <c r="X46" s="15">
        <f t="shared" si="55"/>
        <v>1607</v>
      </c>
      <c r="Y46" s="15">
        <f t="shared" si="56"/>
        <v>1801</v>
      </c>
      <c r="Z46" s="15">
        <f t="shared" si="57"/>
        <v>2124</v>
      </c>
      <c r="AA46" s="15">
        <f t="shared" si="58"/>
        <v>2576</v>
      </c>
      <c r="AB46" s="15">
        <f t="shared" si="59"/>
        <v>3158</v>
      </c>
      <c r="AC46" s="15">
        <f t="shared" si="60"/>
        <v>3868</v>
      </c>
      <c r="AD46" s="15">
        <f t="shared" si="61"/>
        <v>4708</v>
      </c>
      <c r="AE46" s="15">
        <f t="shared" si="62"/>
        <v>5677</v>
      </c>
      <c r="AF46" s="15">
        <f t="shared" si="63"/>
        <v>6775</v>
      </c>
      <c r="AP46" s="3">
        <v>38</v>
      </c>
      <c r="AQ46" s="3">
        <f t="shared" si="21"/>
        <v>4629</v>
      </c>
      <c r="AR46" s="3">
        <f t="shared" ref="AR46:AZ46" si="69">ROUNDUP(100/D46,0)*X46+AQ46</f>
        <v>9450</v>
      </c>
      <c r="AS46" s="3">
        <f t="shared" si="69"/>
        <v>16654</v>
      </c>
      <c r="AT46" s="3">
        <f t="shared" si="69"/>
        <v>27274</v>
      </c>
      <c r="AU46" s="3">
        <f t="shared" si="69"/>
        <v>42730</v>
      </c>
      <c r="AV46" s="3">
        <f t="shared" si="69"/>
        <v>64836</v>
      </c>
      <c r="AW46" s="3">
        <f t="shared" si="69"/>
        <v>99648</v>
      </c>
      <c r="AX46" s="3">
        <f t="shared" si="69"/>
        <v>146728</v>
      </c>
      <c r="AY46" s="3">
        <f t="shared" si="69"/>
        <v>220529</v>
      </c>
      <c r="AZ46" s="3">
        <f t="shared" si="69"/>
        <v>322154</v>
      </c>
      <c r="BB46" s="17" t="str">
        <f t="shared" si="23"/>
        <v>{0 , 4629 , 9450 , 16654 , 27274 , 42730 , 64836 , 99648 , 146728 , 220529 , 322154},</v>
      </c>
    </row>
    <row r="47" spans="2:54" x14ac:dyDescent="0.15">
      <c r="B47" s="3">
        <v>39</v>
      </c>
      <c r="C47" s="15">
        <f t="shared" si="11"/>
        <v>44.847941252925466</v>
      </c>
      <c r="D47" s="15">
        <f t="shared" si="12"/>
        <v>35.397429668345957</v>
      </c>
      <c r="E47" s="15">
        <f t="shared" si="13"/>
        <v>28.016344164284533</v>
      </c>
      <c r="F47" s="15">
        <f t="shared" si="14"/>
        <v>22.251532097691033</v>
      </c>
      <c r="G47" s="15">
        <f t="shared" si="15"/>
        <v>17.749069940213566</v>
      </c>
      <c r="H47" s="15">
        <f t="shared" si="16"/>
        <v>14.23253457959153</v>
      </c>
      <c r="I47" s="15">
        <f t="shared" si="17"/>
        <v>11.486032663530274</v>
      </c>
      <c r="J47" s="15">
        <f t="shared" si="18"/>
        <v>9.3409460935508353</v>
      </c>
      <c r="K47" s="15">
        <f t="shared" si="19"/>
        <v>7.6655799247534677</v>
      </c>
      <c r="L47" s="15">
        <f t="shared" si="20"/>
        <v>6.357077117066007</v>
      </c>
      <c r="V47" s="3">
        <v>39</v>
      </c>
      <c r="W47" s="15">
        <f t="shared" si="54"/>
        <v>1620</v>
      </c>
      <c r="X47" s="15">
        <f t="shared" si="55"/>
        <v>1686</v>
      </c>
      <c r="Y47" s="15">
        <f t="shared" si="56"/>
        <v>1885</v>
      </c>
      <c r="Z47" s="15">
        <f t="shared" si="57"/>
        <v>2216</v>
      </c>
      <c r="AA47" s="15">
        <f t="shared" si="58"/>
        <v>2680</v>
      </c>
      <c r="AB47" s="15">
        <f t="shared" si="59"/>
        <v>3277</v>
      </c>
      <c r="AC47" s="15">
        <f t="shared" si="60"/>
        <v>4006</v>
      </c>
      <c r="AD47" s="15">
        <f t="shared" si="61"/>
        <v>4868</v>
      </c>
      <c r="AE47" s="15">
        <f t="shared" si="62"/>
        <v>5863</v>
      </c>
      <c r="AF47" s="15">
        <f t="shared" si="63"/>
        <v>6990</v>
      </c>
      <c r="AP47" s="3">
        <v>39</v>
      </c>
      <c r="AQ47" s="3">
        <f t="shared" si="21"/>
        <v>4860</v>
      </c>
      <c r="AR47" s="3">
        <f t="shared" ref="AR47:AZ47" si="70">ROUNDUP(100/D47,0)*X47+AQ47</f>
        <v>9918</v>
      </c>
      <c r="AS47" s="3">
        <f t="shared" si="70"/>
        <v>17458</v>
      </c>
      <c r="AT47" s="3">
        <f t="shared" si="70"/>
        <v>28538</v>
      </c>
      <c r="AU47" s="3">
        <f t="shared" si="70"/>
        <v>44618</v>
      </c>
      <c r="AV47" s="3">
        <f t="shared" si="70"/>
        <v>70834</v>
      </c>
      <c r="AW47" s="3">
        <f t="shared" si="70"/>
        <v>106888</v>
      </c>
      <c r="AX47" s="3">
        <f t="shared" si="70"/>
        <v>160436</v>
      </c>
      <c r="AY47" s="3">
        <f t="shared" si="70"/>
        <v>242518</v>
      </c>
      <c r="AZ47" s="3">
        <f t="shared" si="70"/>
        <v>354358</v>
      </c>
      <c r="BB47" s="17" t="str">
        <f t="shared" si="23"/>
        <v>{0 , 4860 , 9918 , 17458 , 28538 , 44618 , 70834 , 106888 , 160436 , 242518 , 354358},</v>
      </c>
    </row>
    <row r="48" spans="2:54" x14ac:dyDescent="0.15">
      <c r="B48" s="13">
        <v>40</v>
      </c>
      <c r="C48" s="14">
        <f t="shared" si="11"/>
        <v>43.652091424865759</v>
      </c>
      <c r="D48" s="14">
        <f t="shared" si="12"/>
        <v>34.193696252107628</v>
      </c>
      <c r="E48" s="14">
        <f t="shared" si="13"/>
        <v>26.867254854919459</v>
      </c>
      <c r="F48" s="14">
        <f t="shared" si="14"/>
        <v>21.192217751264575</v>
      </c>
      <c r="G48" s="14">
        <f t="shared" si="15"/>
        <v>16.796352912951672</v>
      </c>
      <c r="H48" s="14">
        <f t="shared" si="16"/>
        <v>13.391330650758745</v>
      </c>
      <c r="I48" s="14">
        <f t="shared" si="17"/>
        <v>10.753811747771003</v>
      </c>
      <c r="J48" s="14">
        <f t="shared" si="18"/>
        <v>8.7107983904552473</v>
      </c>
      <c r="K48" s="14">
        <f t="shared" si="19"/>
        <v>7.1282870486626013</v>
      </c>
      <c r="L48" s="14">
        <f t="shared" si="20"/>
        <v>5.9024790342731475</v>
      </c>
      <c r="V48" s="13">
        <v>40</v>
      </c>
      <c r="W48" s="14">
        <f t="shared" si="54"/>
        <v>1699</v>
      </c>
      <c r="X48" s="14">
        <f t="shared" si="55"/>
        <v>1767</v>
      </c>
      <c r="Y48" s="14">
        <f t="shared" si="56"/>
        <v>1971</v>
      </c>
      <c r="Z48" s="14">
        <f t="shared" si="57"/>
        <v>2311</v>
      </c>
      <c r="AA48" s="14">
        <f t="shared" si="58"/>
        <v>2787</v>
      </c>
      <c r="AB48" s="14">
        <f t="shared" si="59"/>
        <v>3399</v>
      </c>
      <c r="AC48" s="14">
        <f t="shared" si="60"/>
        <v>4147</v>
      </c>
      <c r="AD48" s="14">
        <f t="shared" si="61"/>
        <v>5031</v>
      </c>
      <c r="AE48" s="14">
        <f t="shared" si="62"/>
        <v>6051</v>
      </c>
      <c r="AF48" s="14">
        <f t="shared" si="63"/>
        <v>7207</v>
      </c>
      <c r="AP48" s="13">
        <v>40</v>
      </c>
      <c r="AQ48" s="13">
        <f t="shared" si="21"/>
        <v>5097</v>
      </c>
      <c r="AR48" s="13">
        <f t="shared" ref="AR48:AZ48" si="71">ROUNDUP(100/D48,0)*X48+AQ48</f>
        <v>10398</v>
      </c>
      <c r="AS48" s="13">
        <f t="shared" si="71"/>
        <v>18282</v>
      </c>
      <c r="AT48" s="13">
        <f t="shared" si="71"/>
        <v>29837</v>
      </c>
      <c r="AU48" s="13">
        <f t="shared" si="71"/>
        <v>46559</v>
      </c>
      <c r="AV48" s="13">
        <f t="shared" si="71"/>
        <v>73751</v>
      </c>
      <c r="AW48" s="13">
        <f t="shared" si="71"/>
        <v>115221</v>
      </c>
      <c r="AX48" s="13">
        <f t="shared" si="71"/>
        <v>175593</v>
      </c>
      <c r="AY48" s="13">
        <f t="shared" si="71"/>
        <v>266358</v>
      </c>
      <c r="AZ48" s="13">
        <f t="shared" si="71"/>
        <v>388877</v>
      </c>
      <c r="BB48" s="17" t="str">
        <f t="shared" si="23"/>
        <v>{0 , 5097 , 10398 , 18282 , 29837 , 46559 , 73751 , 115221 , 175593 , 266358 , 388877},</v>
      </c>
    </row>
    <row r="49" spans="2:54" x14ac:dyDescent="0.15">
      <c r="B49" s="3">
        <v>41</v>
      </c>
      <c r="C49" s="15">
        <f t="shared" si="11"/>
        <v>42.470112524480605</v>
      </c>
      <c r="D49" s="15">
        <f t="shared" si="12"/>
        <v>33.013798791501756</v>
      </c>
      <c r="E49" s="15">
        <f t="shared" si="13"/>
        <v>25.750266389443553</v>
      </c>
      <c r="F49" s="15">
        <f t="shared" si="14"/>
        <v>20.171041286986032</v>
      </c>
      <c r="G49" s="15">
        <f t="shared" si="15"/>
        <v>15.885557169771696</v>
      </c>
      <c r="H49" s="15">
        <f t="shared" si="16"/>
        <v>12.593814359321756</v>
      </c>
      <c r="I49" s="15">
        <f t="shared" si="17"/>
        <v>10.065378730165301</v>
      </c>
      <c r="J49" s="15">
        <f t="shared" si="18"/>
        <v>8.1232504719998371</v>
      </c>
      <c r="K49" s="15">
        <f t="shared" si="19"/>
        <v>6.631473450797527</v>
      </c>
      <c r="L49" s="15">
        <f t="shared" si="20"/>
        <v>5.4856177784799041</v>
      </c>
      <c r="V49" s="3">
        <v>41</v>
      </c>
      <c r="W49" s="15">
        <f t="shared" si="54"/>
        <v>1780</v>
      </c>
      <c r="X49" s="15">
        <f t="shared" si="55"/>
        <v>1849</v>
      </c>
      <c r="Y49" s="15">
        <f t="shared" si="56"/>
        <v>2058</v>
      </c>
      <c r="Z49" s="15">
        <f t="shared" si="57"/>
        <v>2407</v>
      </c>
      <c r="AA49" s="15">
        <f t="shared" si="58"/>
        <v>2895</v>
      </c>
      <c r="AB49" s="15">
        <f t="shared" si="59"/>
        <v>3522</v>
      </c>
      <c r="AC49" s="15">
        <f t="shared" si="60"/>
        <v>4289</v>
      </c>
      <c r="AD49" s="15">
        <f t="shared" si="61"/>
        <v>5195</v>
      </c>
      <c r="AE49" s="15">
        <f t="shared" si="62"/>
        <v>6240</v>
      </c>
      <c r="AF49" s="15">
        <f t="shared" si="63"/>
        <v>7425</v>
      </c>
      <c r="AP49" s="3">
        <v>41</v>
      </c>
      <c r="AQ49" s="3">
        <f t="shared" si="21"/>
        <v>5340</v>
      </c>
      <c r="AR49" s="3">
        <f t="shared" ref="AR49:AZ49" si="72">ROUNDUP(100/D49,0)*X49+AQ49</f>
        <v>12736</v>
      </c>
      <c r="AS49" s="3">
        <f t="shared" si="72"/>
        <v>20968</v>
      </c>
      <c r="AT49" s="3">
        <f t="shared" si="72"/>
        <v>33003</v>
      </c>
      <c r="AU49" s="3">
        <f t="shared" si="72"/>
        <v>53268</v>
      </c>
      <c r="AV49" s="3">
        <f t="shared" si="72"/>
        <v>81444</v>
      </c>
      <c r="AW49" s="3">
        <f t="shared" si="72"/>
        <v>124334</v>
      </c>
      <c r="AX49" s="3">
        <f t="shared" si="72"/>
        <v>191869</v>
      </c>
      <c r="AY49" s="3">
        <f t="shared" si="72"/>
        <v>291709</v>
      </c>
      <c r="AZ49" s="3">
        <f t="shared" si="72"/>
        <v>432784</v>
      </c>
      <c r="BB49" s="17" t="str">
        <f t="shared" si="23"/>
        <v>{0 , 5340 , 12736 , 20968 , 33003 , 53268 , 81444 , 124334 , 191869 , 291709 , 432784},</v>
      </c>
    </row>
    <row r="50" spans="2:54" x14ac:dyDescent="0.15">
      <c r="B50" s="3">
        <v>42</v>
      </c>
      <c r="C50" s="15">
        <f t="shared" si="11"/>
        <v>41.302074671787743</v>
      </c>
      <c r="D50" s="15">
        <f t="shared" si="12"/>
        <v>31.857657295287392</v>
      </c>
      <c r="E50" s="15">
        <f t="shared" si="13"/>
        <v>24.665003309636884</v>
      </c>
      <c r="F50" s="15">
        <f t="shared" si="14"/>
        <v>19.187241231266686</v>
      </c>
      <c r="G50" s="15">
        <f t="shared" si="15"/>
        <v>15.015501919589388</v>
      </c>
      <c r="H50" s="15">
        <f t="shared" si="16"/>
        <v>11.838399914134675</v>
      </c>
      <c r="I50" s="15">
        <f t="shared" si="17"/>
        <v>9.4187911133618485</v>
      </c>
      <c r="J50" s="15">
        <f t="shared" si="18"/>
        <v>7.5760719501981111</v>
      </c>
      <c r="K50" s="15">
        <f t="shared" si="19"/>
        <v>6.1726988457498706</v>
      </c>
      <c r="L50" s="15">
        <f t="shared" si="20"/>
        <v>5.1039217311149052</v>
      </c>
      <c r="V50" s="3">
        <v>42</v>
      </c>
      <c r="W50" s="15">
        <f t="shared" si="54"/>
        <v>1863</v>
      </c>
      <c r="X50" s="15">
        <f t="shared" si="55"/>
        <v>1934</v>
      </c>
      <c r="Y50" s="15">
        <f t="shared" si="56"/>
        <v>2148</v>
      </c>
      <c r="Z50" s="15">
        <f t="shared" si="57"/>
        <v>2505</v>
      </c>
      <c r="AA50" s="15">
        <f t="shared" si="58"/>
        <v>3005</v>
      </c>
      <c r="AB50" s="15">
        <f t="shared" si="59"/>
        <v>3648</v>
      </c>
      <c r="AC50" s="15">
        <f t="shared" si="60"/>
        <v>4433</v>
      </c>
      <c r="AD50" s="15">
        <f t="shared" si="61"/>
        <v>5361</v>
      </c>
      <c r="AE50" s="15">
        <f t="shared" si="62"/>
        <v>6432</v>
      </c>
      <c r="AF50" s="15">
        <f t="shared" si="63"/>
        <v>7646</v>
      </c>
      <c r="AP50" s="3">
        <v>42</v>
      </c>
      <c r="AQ50" s="3">
        <f t="shared" si="21"/>
        <v>5589</v>
      </c>
      <c r="AR50" s="3">
        <f t="shared" ref="AR50:AZ50" si="73">ROUNDUP(100/D50,0)*X50+AQ50</f>
        <v>13325</v>
      </c>
      <c r="AS50" s="3">
        <f t="shared" si="73"/>
        <v>24065</v>
      </c>
      <c r="AT50" s="3">
        <f t="shared" si="73"/>
        <v>39095</v>
      </c>
      <c r="AU50" s="3">
        <f t="shared" si="73"/>
        <v>60130</v>
      </c>
      <c r="AV50" s="3">
        <f t="shared" si="73"/>
        <v>92962</v>
      </c>
      <c r="AW50" s="3">
        <f t="shared" si="73"/>
        <v>141725</v>
      </c>
      <c r="AX50" s="3">
        <f t="shared" si="73"/>
        <v>216779</v>
      </c>
      <c r="AY50" s="3">
        <f t="shared" si="73"/>
        <v>326123</v>
      </c>
      <c r="AZ50" s="3">
        <f t="shared" si="73"/>
        <v>479043</v>
      </c>
      <c r="BB50" s="17" t="str">
        <f t="shared" si="23"/>
        <v>{0 , 5589 , 13325 , 24065 , 39095 , 60130 , 92962 , 141725 , 216779 , 326123 , 479043},</v>
      </c>
    </row>
    <row r="51" spans="2:54" x14ac:dyDescent="0.15">
      <c r="B51" s="3">
        <v>43</v>
      </c>
      <c r="C51" s="15">
        <f t="shared" si="11"/>
        <v>40.148049549268187</v>
      </c>
      <c r="D51" s="15">
        <f t="shared" si="12"/>
        <v>30.725190680041376</v>
      </c>
      <c r="E51" s="15">
        <f t="shared" si="13"/>
        <v>23.611088243082865</v>
      </c>
      <c r="F51" s="15">
        <f t="shared" si="14"/>
        <v>18.240058687623581</v>
      </c>
      <c r="G51" s="15">
        <f t="shared" si="15"/>
        <v>14.18502029855723</v>
      </c>
      <c r="H51" s="15">
        <f t="shared" si="16"/>
        <v>11.123533451945438</v>
      </c>
      <c r="I51" s="15">
        <f t="shared" si="17"/>
        <v>8.8121615701776221</v>
      </c>
      <c r="J51" s="15">
        <f t="shared" si="18"/>
        <v>7.0671140676088999</v>
      </c>
      <c r="K51" s="15">
        <f t="shared" si="19"/>
        <v>5.7496320950012443</v>
      </c>
      <c r="L51" s="15">
        <f t="shared" si="20"/>
        <v>4.7549550185370721</v>
      </c>
      <c r="V51" s="3">
        <v>43</v>
      </c>
      <c r="W51" s="15">
        <f t="shared" si="54"/>
        <v>1948</v>
      </c>
      <c r="X51" s="15">
        <f t="shared" si="55"/>
        <v>2021</v>
      </c>
      <c r="Y51" s="15">
        <f t="shared" si="56"/>
        <v>2240</v>
      </c>
      <c r="Z51" s="15">
        <f t="shared" si="57"/>
        <v>2605</v>
      </c>
      <c r="AA51" s="15">
        <f t="shared" si="58"/>
        <v>3117</v>
      </c>
      <c r="AB51" s="15">
        <f t="shared" si="59"/>
        <v>3775</v>
      </c>
      <c r="AC51" s="15">
        <f t="shared" si="60"/>
        <v>4579</v>
      </c>
      <c r="AD51" s="15">
        <f t="shared" si="61"/>
        <v>5529</v>
      </c>
      <c r="AE51" s="15">
        <f t="shared" si="62"/>
        <v>6626</v>
      </c>
      <c r="AF51" s="15">
        <f t="shared" si="63"/>
        <v>7869</v>
      </c>
      <c r="AP51" s="3">
        <v>43</v>
      </c>
      <c r="AQ51" s="3">
        <f t="shared" si="21"/>
        <v>5844</v>
      </c>
      <c r="AR51" s="3">
        <f t="shared" ref="AR51:AZ51" si="74">ROUNDUP(100/D51,0)*X51+AQ51</f>
        <v>13928</v>
      </c>
      <c r="AS51" s="3">
        <f t="shared" si="74"/>
        <v>25128</v>
      </c>
      <c r="AT51" s="3">
        <f t="shared" si="74"/>
        <v>40758</v>
      </c>
      <c r="AU51" s="3">
        <f t="shared" si="74"/>
        <v>65694</v>
      </c>
      <c r="AV51" s="3">
        <f t="shared" si="74"/>
        <v>99669</v>
      </c>
      <c r="AW51" s="3">
        <f t="shared" si="74"/>
        <v>154617</v>
      </c>
      <c r="AX51" s="3">
        <f t="shared" si="74"/>
        <v>237552</v>
      </c>
      <c r="AY51" s="3">
        <f t="shared" si="74"/>
        <v>356820</v>
      </c>
      <c r="AZ51" s="3">
        <f t="shared" si="74"/>
        <v>529938</v>
      </c>
      <c r="BB51" s="17" t="str">
        <f t="shared" si="23"/>
        <v>{0 , 5844 , 13928 , 25128 , 40758 , 65694 , 99669 , 154617 , 237552 , 356820 , 529938},</v>
      </c>
    </row>
    <row r="52" spans="2:54" x14ac:dyDescent="0.15">
      <c r="B52" s="3">
        <v>44</v>
      </c>
      <c r="C52" s="15">
        <f t="shared" si="11"/>
        <v>39.008110464542099</v>
      </c>
      <c r="D52" s="15">
        <f t="shared" si="12"/>
        <v>29.616316736019975</v>
      </c>
      <c r="E52" s="15">
        <f t="shared" si="13"/>
        <v>22.588141860143576</v>
      </c>
      <c r="F52" s="15">
        <f t="shared" si="14"/>
        <v>17.32873737217119</v>
      </c>
      <c r="G52" s="15">
        <f t="shared" si="15"/>
        <v>13.392959441680402</v>
      </c>
      <c r="H52" s="15">
        <f t="shared" si="16"/>
        <v>10.447692928415867</v>
      </c>
      <c r="I52" s="15">
        <f t="shared" si="17"/>
        <v>8.2436572873410281</v>
      </c>
      <c r="J52" s="15">
        <f t="shared" si="18"/>
        <v>6.5943080399128853</v>
      </c>
      <c r="K52" s="15">
        <f t="shared" si="19"/>
        <v>5.3600480809109765</v>
      </c>
      <c r="L52" s="15">
        <f t="shared" si="20"/>
        <v>4.4364125023512155</v>
      </c>
      <c r="V52" s="3">
        <v>44</v>
      </c>
      <c r="W52" s="15">
        <f t="shared" si="54"/>
        <v>2035</v>
      </c>
      <c r="X52" s="15">
        <f t="shared" si="55"/>
        <v>2109</v>
      </c>
      <c r="Y52" s="15">
        <f t="shared" si="56"/>
        <v>2334</v>
      </c>
      <c r="Z52" s="15">
        <f t="shared" si="57"/>
        <v>2708</v>
      </c>
      <c r="AA52" s="15">
        <f t="shared" si="58"/>
        <v>3231</v>
      </c>
      <c r="AB52" s="15">
        <f t="shared" si="59"/>
        <v>3905</v>
      </c>
      <c r="AC52" s="15">
        <f t="shared" si="60"/>
        <v>4727</v>
      </c>
      <c r="AD52" s="15">
        <f t="shared" si="61"/>
        <v>5700</v>
      </c>
      <c r="AE52" s="15">
        <f t="shared" si="62"/>
        <v>6822</v>
      </c>
      <c r="AF52" s="15">
        <f t="shared" si="63"/>
        <v>8093</v>
      </c>
      <c r="AP52" s="3">
        <v>44</v>
      </c>
      <c r="AQ52" s="3">
        <f t="shared" si="21"/>
        <v>6105</v>
      </c>
      <c r="AR52" s="3">
        <f t="shared" ref="AR52:AZ52" si="75">ROUNDUP(100/D52,0)*X52+AQ52</f>
        <v>14541</v>
      </c>
      <c r="AS52" s="3">
        <f t="shared" si="75"/>
        <v>26211</v>
      </c>
      <c r="AT52" s="3">
        <f t="shared" si="75"/>
        <v>42459</v>
      </c>
      <c r="AU52" s="3">
        <f t="shared" si="75"/>
        <v>68307</v>
      </c>
      <c r="AV52" s="3">
        <f t="shared" si="75"/>
        <v>107357</v>
      </c>
      <c r="AW52" s="3">
        <f t="shared" si="75"/>
        <v>168808</v>
      </c>
      <c r="AX52" s="3">
        <f t="shared" si="75"/>
        <v>260008</v>
      </c>
      <c r="AY52" s="3">
        <f t="shared" si="75"/>
        <v>389626</v>
      </c>
      <c r="AZ52" s="3">
        <f t="shared" si="75"/>
        <v>575765</v>
      </c>
      <c r="BB52" s="17" t="str">
        <f t="shared" si="23"/>
        <v>{0 , 6105 , 14541 , 26211 , 42459 , 68307 , 107357 , 168808 , 260008 , 389626 , 575765},</v>
      </c>
    </row>
    <row r="53" spans="2:54" x14ac:dyDescent="0.15">
      <c r="B53" s="13">
        <v>45</v>
      </c>
      <c r="C53" s="14">
        <f t="shared" si="11"/>
        <v>37.882332416716146</v>
      </c>
      <c r="D53" s="14">
        <f t="shared" si="12"/>
        <v>28.530952091331361</v>
      </c>
      <c r="E53" s="14">
        <f t="shared" si="13"/>
        <v>21.595782829193887</v>
      </c>
      <c r="F53" s="14">
        <f t="shared" si="14"/>
        <v>16.452523650232248</v>
      </c>
      <c r="G53" s="14">
        <f t="shared" si="15"/>
        <v>12.638180556056637</v>
      </c>
      <c r="H53" s="14">
        <f t="shared" si="16"/>
        <v>9.8093880076277369</v>
      </c>
      <c r="I53" s="14">
        <f t="shared" si="17"/>
        <v>7.7114993058311487</v>
      </c>
      <c r="J53" s="14">
        <f t="shared" si="18"/>
        <v>6.1556634041952574</v>
      </c>
      <c r="K53" s="14">
        <f t="shared" si="19"/>
        <v>5.0018246182071326</v>
      </c>
      <c r="L53" s="14">
        <f t="shared" si="20"/>
        <v>4.1461148723073906</v>
      </c>
      <c r="V53" s="13">
        <v>45</v>
      </c>
      <c r="W53" s="14">
        <f t="shared" si="54"/>
        <v>2124</v>
      </c>
      <c r="X53" s="14">
        <f t="shared" si="55"/>
        <v>2200</v>
      </c>
      <c r="Y53" s="14">
        <f t="shared" si="56"/>
        <v>2430</v>
      </c>
      <c r="Z53" s="14">
        <f t="shared" si="57"/>
        <v>2812</v>
      </c>
      <c r="AA53" s="14">
        <f t="shared" si="58"/>
        <v>3348</v>
      </c>
      <c r="AB53" s="14">
        <f t="shared" si="59"/>
        <v>4036</v>
      </c>
      <c r="AC53" s="14">
        <f t="shared" si="60"/>
        <v>4878</v>
      </c>
      <c r="AD53" s="14">
        <f t="shared" si="61"/>
        <v>5872</v>
      </c>
      <c r="AE53" s="14">
        <f t="shared" si="62"/>
        <v>7020</v>
      </c>
      <c r="AF53" s="14">
        <f t="shared" si="63"/>
        <v>8320</v>
      </c>
      <c r="AP53" s="13">
        <v>45</v>
      </c>
      <c r="AQ53" s="13">
        <f t="shared" si="21"/>
        <v>6372</v>
      </c>
      <c r="AR53" s="13">
        <f t="shared" ref="AR53:AZ53" si="76">ROUNDUP(100/D53,0)*X53+AQ53</f>
        <v>15172</v>
      </c>
      <c r="AS53" s="13">
        <f t="shared" si="76"/>
        <v>27322</v>
      </c>
      <c r="AT53" s="13">
        <f t="shared" si="76"/>
        <v>47006</v>
      </c>
      <c r="AU53" s="13">
        <f t="shared" si="76"/>
        <v>73790</v>
      </c>
      <c r="AV53" s="13">
        <f t="shared" si="76"/>
        <v>118186</v>
      </c>
      <c r="AW53" s="13">
        <f t="shared" si="76"/>
        <v>181600</v>
      </c>
      <c r="AX53" s="13">
        <f t="shared" si="76"/>
        <v>281424</v>
      </c>
      <c r="AY53" s="13">
        <f t="shared" si="76"/>
        <v>421824</v>
      </c>
      <c r="AZ53" s="13">
        <f t="shared" si="76"/>
        <v>629824</v>
      </c>
      <c r="BB53" s="17" t="str">
        <f t="shared" si="23"/>
        <v>{0 , 6372 , 15172 , 27322 , 47006 , 73790 , 118186 , 181600 , 281424 , 421824 , 629824},</v>
      </c>
    </row>
    <row r="54" spans="2:54" x14ac:dyDescent="0.15">
      <c r="B54" s="3">
        <v>46</v>
      </c>
      <c r="C54" s="15">
        <f t="shared" si="11"/>
        <v>36.770792166687905</v>
      </c>
      <c r="D54" s="15">
        <f t="shared" si="12"/>
        <v>27.469012174303145</v>
      </c>
      <c r="E54" s="15">
        <f t="shared" si="13"/>
        <v>20.633627770011469</v>
      </c>
      <c r="F54" s="15">
        <f t="shared" si="14"/>
        <v>15.6106665741237</v>
      </c>
      <c r="G54" s="15">
        <f t="shared" si="15"/>
        <v>11.919558995806193</v>
      </c>
      <c r="H54" s="15">
        <f t="shared" si="16"/>
        <v>9.2071599500267975</v>
      </c>
      <c r="I54" s="15">
        <f t="shared" si="17"/>
        <v>7.2139618577353435</v>
      </c>
      <c r="J54" s="15">
        <f t="shared" si="18"/>
        <v>5.7492663730144713</v>
      </c>
      <c r="K54" s="15">
        <f t="shared" si="19"/>
        <v>4.6729394031770859</v>
      </c>
      <c r="L54" s="15">
        <f t="shared" si="20"/>
        <v>3.8820038414278146</v>
      </c>
      <c r="V54" s="3">
        <v>46</v>
      </c>
      <c r="W54" s="15">
        <f t="shared" si="54"/>
        <v>2215</v>
      </c>
      <c r="X54" s="15">
        <f t="shared" si="55"/>
        <v>2293</v>
      </c>
      <c r="Y54" s="15">
        <f t="shared" si="56"/>
        <v>2527</v>
      </c>
      <c r="Z54" s="15">
        <f t="shared" si="57"/>
        <v>2918</v>
      </c>
      <c r="AA54" s="15">
        <f t="shared" si="58"/>
        <v>3466</v>
      </c>
      <c r="AB54" s="15">
        <f t="shared" si="59"/>
        <v>4170</v>
      </c>
      <c r="AC54" s="15">
        <f t="shared" si="60"/>
        <v>5030</v>
      </c>
      <c r="AD54" s="15">
        <f t="shared" si="61"/>
        <v>6046</v>
      </c>
      <c r="AE54" s="15">
        <f t="shared" si="62"/>
        <v>7219</v>
      </c>
      <c r="AF54" s="15">
        <f t="shared" si="63"/>
        <v>8549</v>
      </c>
      <c r="AP54" s="3">
        <v>46</v>
      </c>
      <c r="AQ54" s="3">
        <f t="shared" si="21"/>
        <v>6645</v>
      </c>
      <c r="AR54" s="3">
        <f t="shared" ref="AR54:AZ54" si="77">ROUNDUP(100/D54,0)*X54+AQ54</f>
        <v>15817</v>
      </c>
      <c r="AS54" s="3">
        <f t="shared" si="77"/>
        <v>28452</v>
      </c>
      <c r="AT54" s="3">
        <f t="shared" si="77"/>
        <v>48878</v>
      </c>
      <c r="AU54" s="3">
        <f t="shared" si="77"/>
        <v>80072</v>
      </c>
      <c r="AV54" s="3">
        <f t="shared" si="77"/>
        <v>125942</v>
      </c>
      <c r="AW54" s="3">
        <f t="shared" si="77"/>
        <v>196362</v>
      </c>
      <c r="AX54" s="3">
        <f t="shared" si="77"/>
        <v>305190</v>
      </c>
      <c r="AY54" s="3">
        <f t="shared" si="77"/>
        <v>464008</v>
      </c>
      <c r="AZ54" s="3">
        <f t="shared" si="77"/>
        <v>686282</v>
      </c>
      <c r="BB54" s="17" t="str">
        <f t="shared" si="23"/>
        <v>{0 , 6645 , 15817 , 28452 , 48878 , 80072 , 125942 , 196362 , 305190 , 464008 , 686282},</v>
      </c>
    </row>
    <row r="55" spans="2:54" x14ac:dyDescent="0.15">
      <c r="B55" s="3">
        <v>47</v>
      </c>
      <c r="C55" s="15">
        <f t="shared" si="11"/>
        <v>35.673568311720153</v>
      </c>
      <c r="D55" s="15">
        <f t="shared" si="12"/>
        <v>26.430411173919389</v>
      </c>
      <c r="E55" s="15">
        <f t="shared" si="13"/>
        <v>19.701291205211682</v>
      </c>
      <c r="F55" s="15">
        <f t="shared" si="14"/>
        <v>14.802417922177273</v>
      </c>
      <c r="G55" s="15">
        <f t="shared" si="15"/>
        <v>11.235984338762188</v>
      </c>
      <c r="H55" s="15">
        <f t="shared" si="16"/>
        <v>8.639581498753957</v>
      </c>
      <c r="I55" s="15">
        <f t="shared" si="17"/>
        <v>6.7493716995439605</v>
      </c>
      <c r="J55" s="15">
        <f t="shared" si="18"/>
        <v>5.3732781943395977</v>
      </c>
      <c r="K55" s="15">
        <f t="shared" si="19"/>
        <v>4.3714670007582992</v>
      </c>
      <c r="L55" s="15">
        <f t="shared" si="20"/>
        <v>3.6421374429999869</v>
      </c>
      <c r="V55" s="3">
        <v>47</v>
      </c>
      <c r="W55" s="15">
        <f t="shared" si="54"/>
        <v>2308</v>
      </c>
      <c r="X55" s="15">
        <f t="shared" si="55"/>
        <v>2387</v>
      </c>
      <c r="Y55" s="15">
        <f t="shared" si="56"/>
        <v>2627</v>
      </c>
      <c r="Z55" s="15">
        <f t="shared" si="57"/>
        <v>3027</v>
      </c>
      <c r="AA55" s="15">
        <f t="shared" si="58"/>
        <v>3586</v>
      </c>
      <c r="AB55" s="15">
        <f t="shared" si="59"/>
        <v>4305</v>
      </c>
      <c r="AC55" s="15">
        <f t="shared" si="60"/>
        <v>5184</v>
      </c>
      <c r="AD55" s="15">
        <f t="shared" si="61"/>
        <v>6223</v>
      </c>
      <c r="AE55" s="15">
        <f t="shared" si="62"/>
        <v>7421</v>
      </c>
      <c r="AF55" s="15">
        <f t="shared" si="63"/>
        <v>8779</v>
      </c>
      <c r="AP55" s="3">
        <v>47</v>
      </c>
      <c r="AQ55" s="3">
        <f t="shared" si="21"/>
        <v>6924</v>
      </c>
      <c r="AR55" s="3">
        <f t="shared" ref="AR55:AZ55" si="78">ROUNDUP(100/D55,0)*X55+AQ55</f>
        <v>16472</v>
      </c>
      <c r="AS55" s="3">
        <f t="shared" si="78"/>
        <v>32234</v>
      </c>
      <c r="AT55" s="3">
        <f t="shared" si="78"/>
        <v>53423</v>
      </c>
      <c r="AU55" s="3">
        <f t="shared" si="78"/>
        <v>85697</v>
      </c>
      <c r="AV55" s="3">
        <f t="shared" si="78"/>
        <v>137357</v>
      </c>
      <c r="AW55" s="3">
        <f t="shared" si="78"/>
        <v>215117</v>
      </c>
      <c r="AX55" s="3">
        <f t="shared" si="78"/>
        <v>333354</v>
      </c>
      <c r="AY55" s="3">
        <f t="shared" si="78"/>
        <v>504037</v>
      </c>
      <c r="AZ55" s="3">
        <f t="shared" si="78"/>
        <v>749849</v>
      </c>
      <c r="BB55" s="17" t="str">
        <f t="shared" si="23"/>
        <v>{0 , 6924 , 16472 , 32234 , 53423 , 85697 , 137357 , 215117 , 333354 , 504037 , 749849},</v>
      </c>
    </row>
    <row r="56" spans="2:54" x14ac:dyDescent="0.15">
      <c r="B56" s="3">
        <v>48</v>
      </c>
      <c r="C56" s="15">
        <f t="shared" si="11"/>
        <v>34.590741364629643</v>
      </c>
      <c r="D56" s="15">
        <f t="shared" si="12"/>
        <v>25.41506199819025</v>
      </c>
      <c r="E56" s="15">
        <f t="shared" si="13"/>
        <v>18.798385509607417</v>
      </c>
      <c r="F56" s="15">
        <f t="shared" si="14"/>
        <v>14.027032239058927</v>
      </c>
      <c r="G56" s="15">
        <f t="shared" si="15"/>
        <v>10.586360464995856</v>
      </c>
      <c r="H56" s="15">
        <f t="shared" si="16"/>
        <v>8.1052567643106439</v>
      </c>
      <c r="I56" s="15">
        <f t="shared" si="17"/>
        <v>6.3161074417978451</v>
      </c>
      <c r="J56" s="15">
        <f t="shared" si="18"/>
        <v>5.0259335174415352</v>
      </c>
      <c r="K56" s="15">
        <f t="shared" si="19"/>
        <v>4.0955758697348799</v>
      </c>
      <c r="L56" s="15">
        <f t="shared" si="20"/>
        <v>3.4246854290695978</v>
      </c>
      <c r="V56" s="3">
        <v>48</v>
      </c>
      <c r="W56" s="15">
        <f t="shared" si="54"/>
        <v>2403</v>
      </c>
      <c r="X56" s="15">
        <f t="shared" si="55"/>
        <v>2484</v>
      </c>
      <c r="Y56" s="15">
        <f t="shared" si="56"/>
        <v>2729</v>
      </c>
      <c r="Z56" s="15">
        <f t="shared" si="57"/>
        <v>3137</v>
      </c>
      <c r="AA56" s="15">
        <f t="shared" si="58"/>
        <v>3708</v>
      </c>
      <c r="AB56" s="15">
        <f t="shared" si="59"/>
        <v>4443</v>
      </c>
      <c r="AC56" s="15">
        <f t="shared" si="60"/>
        <v>5340</v>
      </c>
      <c r="AD56" s="15">
        <f t="shared" si="61"/>
        <v>6401</v>
      </c>
      <c r="AE56" s="15">
        <f t="shared" si="62"/>
        <v>7625</v>
      </c>
      <c r="AF56" s="15">
        <f t="shared" si="63"/>
        <v>9012</v>
      </c>
      <c r="AP56" s="3">
        <v>48</v>
      </c>
      <c r="AQ56" s="3">
        <f t="shared" si="21"/>
        <v>7209</v>
      </c>
      <c r="AR56" s="3">
        <f t="shared" ref="AR56:AZ56" si="79">ROUNDUP(100/D56,0)*X56+AQ56</f>
        <v>17145</v>
      </c>
      <c r="AS56" s="3">
        <f t="shared" si="79"/>
        <v>33519</v>
      </c>
      <c r="AT56" s="3">
        <f t="shared" si="79"/>
        <v>58615</v>
      </c>
      <c r="AU56" s="3">
        <f t="shared" si="79"/>
        <v>95695</v>
      </c>
      <c r="AV56" s="3">
        <f t="shared" si="79"/>
        <v>153454</v>
      </c>
      <c r="AW56" s="3">
        <f t="shared" si="79"/>
        <v>238894</v>
      </c>
      <c r="AX56" s="3">
        <f t="shared" si="79"/>
        <v>366914</v>
      </c>
      <c r="AY56" s="3">
        <f t="shared" si="79"/>
        <v>557539</v>
      </c>
      <c r="AZ56" s="3">
        <f t="shared" si="79"/>
        <v>827899</v>
      </c>
      <c r="BB56" s="17" t="str">
        <f t="shared" si="23"/>
        <v>{0 , 7209 , 17145 , 33519 , 58615 , 95695 , 153454 , 238894 , 366914 , 557539 , 827899},</v>
      </c>
    </row>
    <row r="57" spans="2:54" x14ac:dyDescent="0.15">
      <c r="B57" s="3">
        <v>49</v>
      </c>
      <c r="C57" s="15">
        <f t="shared" si="11"/>
        <v>33.522393837969403</v>
      </c>
      <c r="D57" s="15">
        <f t="shared" si="12"/>
        <v>24.422876230304691</v>
      </c>
      <c r="E57" s="15">
        <f t="shared" si="13"/>
        <v>17.924520857364396</v>
      </c>
      <c r="F57" s="15">
        <f t="shared" si="14"/>
        <v>13.28376687745539</v>
      </c>
      <c r="G57" s="15">
        <f t="shared" si="15"/>
        <v>9.9696056372558388</v>
      </c>
      <c r="H57" s="15">
        <f t="shared" si="16"/>
        <v>7.6028211075022494</v>
      </c>
      <c r="I57" s="15">
        <f t="shared" si="17"/>
        <v>5.9125988750004783</v>
      </c>
      <c r="J57" s="15">
        <f t="shared" si="18"/>
        <v>4.7055387648261471</v>
      </c>
      <c r="K57" s="15">
        <f t="shared" si="19"/>
        <v>3.8435254262502436</v>
      </c>
      <c r="L57" s="15">
        <f t="shared" si="20"/>
        <v>3.227924770061334</v>
      </c>
      <c r="V57" s="3">
        <v>49</v>
      </c>
      <c r="W57" s="15">
        <f t="shared" si="54"/>
        <v>2500</v>
      </c>
      <c r="X57" s="15">
        <f t="shared" si="55"/>
        <v>2583</v>
      </c>
      <c r="Y57" s="15">
        <f t="shared" si="56"/>
        <v>2833</v>
      </c>
      <c r="Z57" s="15">
        <f t="shared" si="57"/>
        <v>3249</v>
      </c>
      <c r="AA57" s="15">
        <f t="shared" si="58"/>
        <v>3832</v>
      </c>
      <c r="AB57" s="15">
        <f t="shared" si="59"/>
        <v>4582</v>
      </c>
      <c r="AC57" s="15">
        <f t="shared" si="60"/>
        <v>5498</v>
      </c>
      <c r="AD57" s="15">
        <f t="shared" si="61"/>
        <v>6581</v>
      </c>
      <c r="AE57" s="15">
        <f t="shared" si="62"/>
        <v>7831</v>
      </c>
      <c r="AF57" s="15">
        <f t="shared" si="63"/>
        <v>9247</v>
      </c>
      <c r="AP57" s="3">
        <v>49</v>
      </c>
      <c r="AQ57" s="3">
        <f t="shared" si="21"/>
        <v>7500</v>
      </c>
      <c r="AR57" s="3">
        <f t="shared" ref="AR57:AZ57" si="80">ROUNDUP(100/D57,0)*X57+AQ57</f>
        <v>20415</v>
      </c>
      <c r="AS57" s="3">
        <f t="shared" si="80"/>
        <v>37413</v>
      </c>
      <c r="AT57" s="3">
        <f t="shared" si="80"/>
        <v>63405</v>
      </c>
      <c r="AU57" s="3">
        <f t="shared" si="80"/>
        <v>105557</v>
      </c>
      <c r="AV57" s="3">
        <f t="shared" si="80"/>
        <v>169705</v>
      </c>
      <c r="AW57" s="3">
        <f t="shared" si="80"/>
        <v>263171</v>
      </c>
      <c r="AX57" s="3">
        <f t="shared" si="80"/>
        <v>407953</v>
      </c>
      <c r="AY57" s="3">
        <f t="shared" si="80"/>
        <v>619390</v>
      </c>
      <c r="AZ57" s="3">
        <f t="shared" si="80"/>
        <v>906047</v>
      </c>
      <c r="BB57" s="17" t="str">
        <f t="shared" si="23"/>
        <v>{0 , 7500 , 20415 , 37413 , 63405 , 105557 , 169705 , 263171 , 407953 , 619390 , 906047},</v>
      </c>
    </row>
    <row r="58" spans="2:54" x14ac:dyDescent="0.15">
      <c r="B58" s="13">
        <v>50</v>
      </c>
      <c r="C58" s="14">
        <f t="shared" si="11"/>
        <v>32.468610333622905</v>
      </c>
      <c r="D58" s="14">
        <f t="shared" si="12"/>
        <v>23.453764082403104</v>
      </c>
      <c r="E58" s="14">
        <f t="shared" si="13"/>
        <v>17.079305166811455</v>
      </c>
      <c r="F58" s="14">
        <f t="shared" si="14"/>
        <v>12.571882041201553</v>
      </c>
      <c r="G58" s="14">
        <f t="shared" si="15"/>
        <v>9.3846525834057282</v>
      </c>
      <c r="H58" s="14">
        <f t="shared" si="16"/>
        <v>7.1309410206007762</v>
      </c>
      <c r="I58" s="14">
        <f t="shared" si="17"/>
        <v>5.5373262917028629</v>
      </c>
      <c r="J58" s="14">
        <f t="shared" si="18"/>
        <v>4.4104705103003878</v>
      </c>
      <c r="K58" s="14">
        <f t="shared" si="19"/>
        <v>3.6136631458514317</v>
      </c>
      <c r="L58" s="14">
        <f t="shared" si="20"/>
        <v>3.0502352551501941</v>
      </c>
      <c r="V58" s="13">
        <v>50</v>
      </c>
      <c r="W58" s="14">
        <f t="shared" si="54"/>
        <v>2599</v>
      </c>
      <c r="X58" s="14">
        <f t="shared" si="55"/>
        <v>2684</v>
      </c>
      <c r="Y58" s="14">
        <f t="shared" si="56"/>
        <v>2939</v>
      </c>
      <c r="Z58" s="14">
        <f t="shared" si="57"/>
        <v>3364</v>
      </c>
      <c r="AA58" s="14">
        <f t="shared" si="58"/>
        <v>3959</v>
      </c>
      <c r="AB58" s="14">
        <f t="shared" si="59"/>
        <v>4724</v>
      </c>
      <c r="AC58" s="14">
        <f t="shared" si="60"/>
        <v>5659</v>
      </c>
      <c r="AD58" s="14">
        <f t="shared" si="61"/>
        <v>6764</v>
      </c>
      <c r="AE58" s="14">
        <f t="shared" si="62"/>
        <v>8039</v>
      </c>
      <c r="AF58" s="14">
        <f t="shared" si="63"/>
        <v>9484</v>
      </c>
      <c r="AP58" s="13">
        <v>50</v>
      </c>
      <c r="AQ58" s="13">
        <f t="shared" si="21"/>
        <v>10396</v>
      </c>
      <c r="AR58" s="13">
        <f t="shared" ref="AR58:AZ58" si="81">ROUNDUP(100/D58,0)*X58+AQ58</f>
        <v>23816</v>
      </c>
      <c r="AS58" s="13">
        <f t="shared" si="81"/>
        <v>41450</v>
      </c>
      <c r="AT58" s="13">
        <f t="shared" si="81"/>
        <v>68362</v>
      </c>
      <c r="AU58" s="13">
        <f t="shared" si="81"/>
        <v>111911</v>
      </c>
      <c r="AV58" s="13">
        <f t="shared" si="81"/>
        <v>182771</v>
      </c>
      <c r="AW58" s="13">
        <f t="shared" si="81"/>
        <v>290292</v>
      </c>
      <c r="AX58" s="13">
        <f t="shared" si="81"/>
        <v>445864</v>
      </c>
      <c r="AY58" s="13">
        <f t="shared" si="81"/>
        <v>670956</v>
      </c>
      <c r="AZ58" s="13">
        <f t="shared" si="81"/>
        <v>983928</v>
      </c>
      <c r="BB58" s="17" t="str">
        <f t="shared" si="23"/>
        <v>{0 , 10396 , 23816 , 41450 , 68362 , 111911 , 182771 , 290292 , 445864 , 670956 , 983928},</v>
      </c>
    </row>
    <row r="59" spans="2:54" x14ac:dyDescent="0.15">
      <c r="B59" s="3"/>
      <c r="C59" s="15"/>
      <c r="D59" s="15"/>
      <c r="E59" s="15"/>
      <c r="F59" s="15"/>
      <c r="G59" s="15"/>
      <c r="H59" s="15"/>
      <c r="I59" s="15"/>
      <c r="J59" s="15"/>
      <c r="K59" s="15"/>
      <c r="L59" s="15"/>
    </row>
    <row r="60" spans="2:54" x14ac:dyDescent="0.15">
      <c r="B60" s="3"/>
      <c r="C60" s="15"/>
      <c r="D60" s="15"/>
      <c r="E60" s="15"/>
      <c r="F60" s="15"/>
      <c r="G60" s="15"/>
      <c r="H60" s="15"/>
      <c r="I60" s="15"/>
      <c r="J60" s="15"/>
      <c r="K60" s="15"/>
      <c r="L60" s="15"/>
    </row>
    <row r="61" spans="2:54" x14ac:dyDescent="0.15">
      <c r="B61" s="3"/>
      <c r="C61" s="15"/>
      <c r="D61" s="15"/>
      <c r="E61" s="15"/>
      <c r="F61" s="15"/>
      <c r="G61" s="15"/>
      <c r="H61" s="15"/>
      <c r="I61" s="15"/>
      <c r="J61" s="15"/>
      <c r="K61" s="15"/>
      <c r="L61" s="15"/>
    </row>
    <row r="62" spans="2:54" x14ac:dyDescent="0.15">
      <c r="B62" s="3"/>
      <c r="C62" s="15"/>
      <c r="D62" s="15"/>
      <c r="E62" s="15"/>
      <c r="F62" s="15"/>
      <c r="G62" s="15"/>
      <c r="H62" s="15"/>
      <c r="I62" s="15"/>
      <c r="J62" s="15"/>
      <c r="K62" s="15"/>
      <c r="L62" s="15"/>
    </row>
    <row r="63" spans="2:54" x14ac:dyDescent="0.15">
      <c r="B63" s="3"/>
      <c r="C63" s="15"/>
      <c r="D63" s="15"/>
      <c r="E63" s="15"/>
      <c r="F63" s="15"/>
      <c r="G63" s="15"/>
      <c r="H63" s="15"/>
      <c r="I63" s="15"/>
      <c r="J63" s="15"/>
      <c r="K63" s="15"/>
      <c r="L63" s="15"/>
    </row>
    <row r="64" spans="2:54" x14ac:dyDescent="0.15">
      <c r="B64" s="3"/>
      <c r="C64" s="15"/>
      <c r="D64" s="15"/>
      <c r="E64" s="15"/>
      <c r="F64" s="15"/>
      <c r="G64" s="15"/>
      <c r="H64" s="15"/>
      <c r="I64" s="15"/>
      <c r="J64" s="15"/>
      <c r="K64" s="15"/>
      <c r="L64" s="15"/>
    </row>
  </sheetData>
  <mergeCells count="3">
    <mergeCell ref="B2:L4"/>
    <mergeCell ref="V2:AF4"/>
    <mergeCell ref="AP5:AZ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N161"/>
  <sheetViews>
    <sheetView topLeftCell="B1" workbookViewId="0">
      <pane ySplit="5" topLeftCell="A60" activePane="bottomLeft" state="frozen"/>
      <selection pane="bottomLeft" activeCell="M56" sqref="M56"/>
    </sheetView>
  </sheetViews>
  <sheetFormatPr defaultRowHeight="12" x14ac:dyDescent="0.15"/>
  <cols>
    <col min="1" max="5" width="9" style="36"/>
    <col min="6" max="6" width="10.5" style="36" bestFit="1" customWidth="1"/>
    <col min="7" max="26" width="9" style="36"/>
    <col min="27" max="27" width="10.5" style="36" bestFit="1" customWidth="1"/>
    <col min="28" max="16384" width="9" style="36"/>
  </cols>
  <sheetData>
    <row r="1" spans="1:40" x14ac:dyDescent="0.15">
      <c r="A1" s="93" t="s">
        <v>411</v>
      </c>
      <c r="B1" s="94">
        <v>9</v>
      </c>
      <c r="D1" s="95" t="s">
        <v>419</v>
      </c>
      <c r="E1" s="95">
        <v>1</v>
      </c>
      <c r="F1" s="95"/>
      <c r="G1" s="95" t="s">
        <v>416</v>
      </c>
      <c r="H1" s="95">
        <v>0.3</v>
      </c>
      <c r="I1" s="95"/>
      <c r="J1" s="95" t="s">
        <v>416</v>
      </c>
      <c r="K1" s="95">
        <v>0.7</v>
      </c>
      <c r="L1" s="95"/>
      <c r="M1" s="95" t="s">
        <v>418</v>
      </c>
      <c r="N1" s="95">
        <v>0.3</v>
      </c>
      <c r="O1" s="95"/>
      <c r="P1" s="95" t="s">
        <v>418</v>
      </c>
      <c r="Q1" s="95">
        <v>0.7</v>
      </c>
      <c r="R1" s="95"/>
      <c r="S1" s="95" t="s">
        <v>422</v>
      </c>
      <c r="T1" s="95">
        <v>1</v>
      </c>
      <c r="U1" s="95"/>
      <c r="V1" s="95" t="s">
        <v>420</v>
      </c>
      <c r="W1" s="95">
        <v>1</v>
      </c>
      <c r="X1" s="95"/>
      <c r="Y1" s="95" t="s">
        <v>421</v>
      </c>
      <c r="Z1" s="95">
        <v>1</v>
      </c>
      <c r="AA1" s="95"/>
    </row>
    <row r="2" spans="1:40" x14ac:dyDescent="0.15">
      <c r="A2" s="93" t="s">
        <v>58</v>
      </c>
      <c r="B2" s="93">
        <v>3</v>
      </c>
      <c r="D2" s="95"/>
      <c r="E2" s="95"/>
      <c r="F2" s="95"/>
      <c r="G2" s="95" t="s">
        <v>417</v>
      </c>
      <c r="H2" s="95">
        <v>0.2</v>
      </c>
      <c r="I2" s="95"/>
      <c r="J2" s="95" t="s">
        <v>417</v>
      </c>
      <c r="K2" s="95">
        <v>0.35</v>
      </c>
      <c r="L2" s="95"/>
      <c r="M2" s="95" t="s">
        <v>423</v>
      </c>
      <c r="N2" s="95">
        <v>1</v>
      </c>
      <c r="O2" s="95"/>
      <c r="P2" s="95" t="s">
        <v>417</v>
      </c>
      <c r="Q2" s="95">
        <v>0.3</v>
      </c>
      <c r="R2" s="95"/>
      <c r="S2" s="95" t="s">
        <v>417</v>
      </c>
      <c r="T2" s="95">
        <v>0.15</v>
      </c>
      <c r="U2" s="95"/>
      <c r="V2" s="95"/>
      <c r="W2" s="95"/>
      <c r="X2" s="95"/>
      <c r="Y2" s="95"/>
      <c r="Z2" s="95"/>
      <c r="AA2" s="95"/>
      <c r="AC2" s="36" t="s">
        <v>238</v>
      </c>
      <c r="AD2" s="36" t="s">
        <v>0</v>
      </c>
      <c r="AE2" s="36" t="s">
        <v>1</v>
      </c>
      <c r="AF2" s="36" t="s">
        <v>2</v>
      </c>
      <c r="AG2" s="36" t="s">
        <v>3</v>
      </c>
      <c r="AH2" s="36" t="s">
        <v>4</v>
      </c>
      <c r="AI2" s="36" t="s">
        <v>5</v>
      </c>
      <c r="AJ2" s="36" t="s">
        <v>243</v>
      </c>
      <c r="AK2" s="36" t="s">
        <v>164</v>
      </c>
      <c r="AM2" s="36" t="s">
        <v>135</v>
      </c>
      <c r="AN2" s="36" t="s">
        <v>894</v>
      </c>
    </row>
    <row r="3" spans="1:40" x14ac:dyDescent="0.15">
      <c r="B3" s="17"/>
      <c r="C3" s="17"/>
      <c r="D3" s="17">
        <v>0.2</v>
      </c>
      <c r="E3" s="17">
        <v>0.5</v>
      </c>
      <c r="F3" s="17">
        <v>0.3</v>
      </c>
      <c r="G3" s="17">
        <v>0.2</v>
      </c>
      <c r="H3" s="17">
        <v>0.5</v>
      </c>
      <c r="I3" s="17">
        <v>0.3</v>
      </c>
      <c r="J3" s="17">
        <v>0.2</v>
      </c>
      <c r="K3" s="17">
        <v>0.5</v>
      </c>
      <c r="L3" s="17">
        <v>0.3</v>
      </c>
      <c r="M3" s="17">
        <v>0.2</v>
      </c>
      <c r="N3" s="17">
        <v>0.5</v>
      </c>
      <c r="O3" s="17">
        <v>0.3</v>
      </c>
      <c r="P3" s="17">
        <v>0.2</v>
      </c>
      <c r="Q3" s="17">
        <v>0.5</v>
      </c>
      <c r="R3" s="17">
        <v>0.3</v>
      </c>
      <c r="S3" s="17">
        <v>0.2</v>
      </c>
      <c r="T3" s="17">
        <v>0.5</v>
      </c>
      <c r="U3" s="17">
        <v>0.3</v>
      </c>
      <c r="V3" s="17">
        <v>0.2</v>
      </c>
      <c r="W3" s="17">
        <v>0.5</v>
      </c>
      <c r="X3" s="17">
        <v>0.3</v>
      </c>
      <c r="Y3" s="17">
        <v>0.2</v>
      </c>
      <c r="Z3" s="17">
        <v>0.5</v>
      </c>
      <c r="AA3" s="17">
        <v>0.3</v>
      </c>
      <c r="AC3" s="36">
        <v>1</v>
      </c>
      <c r="AD3" s="36">
        <f>SUM(AE3:AK3)/7</f>
        <v>0.13882579406889023</v>
      </c>
      <c r="AE3" s="36">
        <v>8.3263238109347104E-2</v>
      </c>
      <c r="AF3" s="36">
        <v>0.28265661617663901</v>
      </c>
      <c r="AG3" s="36">
        <v>0.136863007781796</v>
      </c>
      <c r="AH3" s="36">
        <v>0.136863007781796</v>
      </c>
      <c r="AI3" s="36">
        <v>9.2264904196603797E-2</v>
      </c>
      <c r="AJ3" s="36">
        <v>9.8541476347729598E-2</v>
      </c>
      <c r="AK3" s="36">
        <v>0.14132830808832</v>
      </c>
      <c r="AM3" s="36">
        <v>1</v>
      </c>
      <c r="AN3" s="36">
        <v>40</v>
      </c>
    </row>
    <row r="4" spans="1:40" x14ac:dyDescent="0.15">
      <c r="B4" s="17"/>
      <c r="C4" s="17"/>
      <c r="D4" s="180" t="s">
        <v>306</v>
      </c>
      <c r="E4" s="180"/>
      <c r="F4" s="180"/>
      <c r="G4" s="184" t="s">
        <v>307</v>
      </c>
      <c r="H4" s="184"/>
      <c r="I4" s="184"/>
      <c r="J4" s="185" t="s">
        <v>308</v>
      </c>
      <c r="K4" s="185"/>
      <c r="L4" s="185"/>
      <c r="M4" s="186" t="s">
        <v>309</v>
      </c>
      <c r="N4" s="186"/>
      <c r="O4" s="186"/>
      <c r="P4" s="179" t="s">
        <v>310</v>
      </c>
      <c r="Q4" s="179"/>
      <c r="R4" s="179"/>
      <c r="S4" s="181" t="s">
        <v>311</v>
      </c>
      <c r="T4" s="181"/>
      <c r="U4" s="181"/>
      <c r="V4" s="182" t="s">
        <v>431</v>
      </c>
      <c r="W4" s="182"/>
      <c r="X4" s="182"/>
      <c r="Y4" s="183" t="s">
        <v>434</v>
      </c>
      <c r="Z4" s="183"/>
      <c r="AA4" s="183"/>
      <c r="AC4" s="36">
        <v>2</v>
      </c>
      <c r="AD4" s="36">
        <f t="shared" ref="AD4:AD52" si="0">SUM(AE4:AK4)/7</f>
        <v>0.14537395543180948</v>
      </c>
      <c r="AE4" s="36">
        <v>8.6428372144325666E-2</v>
      </c>
      <c r="AF4" s="36">
        <v>0.31101512954955818</v>
      </c>
      <c r="AG4" s="36">
        <v>0.137034136005733</v>
      </c>
      <c r="AH4" s="36">
        <v>0.137034136005733</v>
      </c>
      <c r="AI4" s="36">
        <v>9.3793318736507314E-2</v>
      </c>
      <c r="AJ4" s="36">
        <v>9.6805030806030049E-2</v>
      </c>
      <c r="AK4" s="36">
        <v>0.15550756477477909</v>
      </c>
      <c r="AM4" s="36">
        <v>2</v>
      </c>
      <c r="AN4" s="36">
        <v>74</v>
      </c>
    </row>
    <row r="5" spans="1:40" x14ac:dyDescent="0.15">
      <c r="B5" s="22" t="s">
        <v>135</v>
      </c>
      <c r="C5" s="22" t="s">
        <v>396</v>
      </c>
      <c r="D5" s="66" t="s">
        <v>435</v>
      </c>
      <c r="E5" s="66" t="s">
        <v>436</v>
      </c>
      <c r="F5" s="66" t="s">
        <v>437</v>
      </c>
      <c r="G5" s="28" t="s">
        <v>435</v>
      </c>
      <c r="H5" s="28" t="s">
        <v>438</v>
      </c>
      <c r="I5" s="28" t="s">
        <v>439</v>
      </c>
      <c r="J5" s="61" t="s">
        <v>435</v>
      </c>
      <c r="K5" s="61" t="s">
        <v>440</v>
      </c>
      <c r="L5" s="61" t="s">
        <v>441</v>
      </c>
      <c r="M5" s="62" t="s">
        <v>435</v>
      </c>
      <c r="N5" s="62" t="s">
        <v>442</v>
      </c>
      <c r="O5" s="62" t="s">
        <v>443</v>
      </c>
      <c r="P5" s="63" t="s">
        <v>435</v>
      </c>
      <c r="Q5" s="63" t="s">
        <v>444</v>
      </c>
      <c r="R5" s="63" t="s">
        <v>445</v>
      </c>
      <c r="S5" s="64" t="s">
        <v>435</v>
      </c>
      <c r="T5" s="64" t="s">
        <v>446</v>
      </c>
      <c r="U5" s="64" t="s">
        <v>447</v>
      </c>
      <c r="V5" s="65" t="s">
        <v>435</v>
      </c>
      <c r="W5" s="65" t="s">
        <v>448</v>
      </c>
      <c r="X5" s="65" t="s">
        <v>449</v>
      </c>
      <c r="Y5" s="67" t="s">
        <v>435</v>
      </c>
      <c r="Z5" s="67" t="s">
        <v>450</v>
      </c>
      <c r="AA5" s="67" t="s">
        <v>451</v>
      </c>
      <c r="AC5" s="36">
        <v>3</v>
      </c>
      <c r="AD5" s="36">
        <f t="shared" si="0"/>
        <v>0.15192211679472908</v>
      </c>
      <c r="AE5" s="36">
        <v>8.9593506179304214E-2</v>
      </c>
      <c r="AF5" s="36">
        <v>0.33937364292247724</v>
      </c>
      <c r="AG5" s="36">
        <v>0.137205264229671</v>
      </c>
      <c r="AH5" s="36">
        <v>0.137205264229671</v>
      </c>
      <c r="AI5" s="36">
        <v>9.5321733276410858E-2</v>
      </c>
      <c r="AJ5" s="36">
        <v>9.5068585264330471E-2</v>
      </c>
      <c r="AK5" s="36">
        <v>0.16968682146123862</v>
      </c>
      <c r="AM5" s="36">
        <v>3</v>
      </c>
      <c r="AN5" s="36">
        <v>107</v>
      </c>
    </row>
    <row r="6" spans="1:40" x14ac:dyDescent="0.15">
      <c r="B6" s="88">
        <v>1</v>
      </c>
      <c r="C6" s="88">
        <f t="shared" ref="C6:C15" si="1">ROUNDUP(7+(B6-1)*2.1,0)</f>
        <v>7</v>
      </c>
      <c r="D6" s="38">
        <f t="shared" ref="D6:D37" si="2">ROUNDUP(VLOOKUP(B6,AC:AK,2,FALSE)*C6*$D$3/$B$2,0)+INT(B6/$B$1)</f>
        <v>1</v>
      </c>
      <c r="E6" s="38">
        <f t="shared" ref="E6:E37" si="3">ROUNDUP(VLOOKUP(B6,AC:AK,2,FALSE)*C6*$E$3/$B$2,0)+INT(B6/$B$1)</f>
        <v>1</v>
      </c>
      <c r="F6" s="38">
        <f t="shared" ref="F6:F37" si="4">ROUNDUP(VLOOKUP(B6,AC:AK,2,FALSE)*C6*$F$3/$B$2,0)+INT(B6/$B$1)</f>
        <v>1</v>
      </c>
      <c r="G6" s="38">
        <f t="shared" ref="G6:G37" si="5">ROUNDUP((VLOOKUP(B6,AC:AK,3,FALSE)*$H$1+VLOOKUP(B6,AC:AK,4,FALSE)*$H$2)*C6*$G$3/$B$2,0)+INT(B6/$B$1)</f>
        <v>1</v>
      </c>
      <c r="H6" s="38">
        <f t="shared" ref="H6:H37" si="6">ROUNDUP((VLOOKUP(B6,AC:AK,3,FALSE)*$H$1+VLOOKUP(B6,AC:AK,4,FALSE)*$H$2)*C6*$H$3/$B$2,0)+INT(B6/$B$1)</f>
        <v>1</v>
      </c>
      <c r="I6" s="38">
        <f t="shared" ref="I6:I37" si="7">ROUNDUP((VLOOKUP(B6,AC:AK,3,FALSE)*$H$1+VLOOKUP(B6,AC:AK,4,FALSE)*$H$2)*C6*$I$3/$B$2,0)+INT(B6/$B$1)</f>
        <v>1</v>
      </c>
      <c r="J6" s="38">
        <f t="shared" ref="J6:J37" si="8">ROUNDUP((VLOOKUP(B6,AC:AK,3,FALSE)*$K$2+VLOOKUP(B6,AC:AK,4,FALSE)*$K$1)*C6*$J$3/4,0)+INT(B6/$B$1)</f>
        <v>1</v>
      </c>
      <c r="K6" s="38">
        <f t="shared" ref="K6:K37" si="9">ROUNDUP((VLOOKUP(B6,AC:AK,3,FALSE)*$K$2+VLOOKUP(B6,AC:AK,4,FALSE)*$K$1)*C6*$K$3/4,0)+INT(B6/$B$1)</f>
        <v>1</v>
      </c>
      <c r="L6" s="38">
        <f t="shared" ref="L6:L37" si="10">ROUNDUP((VLOOKUP(B6,AC:AK,3,FALSE)*$K$2+VLOOKUP(B6,AC:AK,4,FALSE)*$K$1)*C6*$L$3/$B$2,0)+INT(B6/$B$1)</f>
        <v>1</v>
      </c>
      <c r="M6" s="38">
        <f t="shared" ref="M6:M37" si="11">ROUNDUP((VLOOKUP(B6,AC:AK,6,FALSE)*$N$2+VLOOKUP(B6,AC:AK,9,FALSE)*$N$1)*C6*$M$3/$B$2,0)+INT(B6/$B$1)</f>
        <v>1</v>
      </c>
      <c r="N6" s="38">
        <f t="shared" ref="N6:N37" si="12">ROUNDUP((VLOOKUP(B6,AC:AK,6,FALSE)*$N$2+VLOOKUP(B6,AC:AK,9,FALSE)*$N$1)*C6*$N$3/$B$2,0)+INT(B6/$B$1)</f>
        <v>1</v>
      </c>
      <c r="O6" s="38">
        <f t="shared" ref="O6:O37" si="13">ROUNDUP((VLOOKUP(B6,AC:AK,6,FALSE)*$N$2+VLOOKUP(B6,AC:AK,9,FALSE)*$N$1)*C6*$O$3/$B$2,0)+INT(B6/$B$1)</f>
        <v>1</v>
      </c>
      <c r="P6" s="38">
        <f t="shared" ref="P6:P37" si="14">ROUNDUP((VLOOKUP(B6,AC:AOV,3,FALSE)*$Q$2+VLOOKUP(B6,AC:AK,9,FALSE)*$Q$1)*C6*$P$3/$B$2,0)+INT(B6/$B$1)</f>
        <v>1</v>
      </c>
      <c r="Q6" s="38">
        <f t="shared" ref="Q6:Q37" si="15">ROUNDUP((VLOOKUP(B6,AC:AK,3,FALSE)*$Q$2+VLOOKUP(B6,AC:AK,9,FALSE)*$Q$1)*C6*$Q$3/$B$2,0)+INT(B6/$B$1)</f>
        <v>1</v>
      </c>
      <c r="R6" s="38">
        <f t="shared" ref="R6:R37" si="16">ROUNDUP((VLOOKUP(B6,AC:AK,3,FALSE)*$Q$2+VLOOKUP(B6,AC:AK,9,FALSE)*$Q$1)*C6*$R$3/$B$2,0)+INT(B6/$B$1)</f>
        <v>1</v>
      </c>
      <c r="S6" s="38">
        <f t="shared" ref="S6:S37" si="17">ROUNDUP((VLOOKUP(B6,AC:AK,3,FALSE)*$T$2+VLOOKUP(B6,AC:AK,8,FALSE)*$T$1)*C6*$S$3/$B$2,0)+INT(B6/$B$1)</f>
        <v>1</v>
      </c>
      <c r="T6" s="38">
        <f t="shared" ref="T6:T37" si="18">ROUNDUP((VLOOKUP(B6,AC:AK,3,FALSE)*$T$2+VLOOKUP(B6,AC:AK,8,FALSE)*$T$1)*C6*$T$3/$B$2,0)+INT(B6/$B$1)</f>
        <v>1</v>
      </c>
      <c r="U6" s="38">
        <f t="shared" ref="U6:U37" si="19">ROUNDUP((VLOOKUP(B6,AC:AK,3,FALSE)*$T$2+VLOOKUP(B6,AC:AK,8,FALSE)*$T$1)*C6*$U$3/$B$2,0)+INT(B6/$B$1)</f>
        <v>1</v>
      </c>
      <c r="V6" s="38">
        <f t="shared" ref="V6:V37" si="20">ROUNDUP((VLOOKUP(B6,AC:AK,7,FALSE))*C6*$V$3/$B$2,0)+INT(B6/$B$1)</f>
        <v>1</v>
      </c>
      <c r="W6" s="38">
        <f t="shared" ref="W6:W37" si="21">ROUNDUP((VLOOKUP(B6,AC:AK,7,FALSE))*C6*$W$3/$B$2,0)+INT(B6/$B$1)</f>
        <v>1</v>
      </c>
      <c r="X6" s="38">
        <f t="shared" ref="X6:X37" si="22">ROUNDUP((VLOOKUP(B6,AC:AK,7,FALSE))*C6*$X$3/$B$2,0)+INT(B6/$B$1)</f>
        <v>1</v>
      </c>
      <c r="Y6" s="38">
        <f t="shared" ref="Y6:Y37" si="23">ROUNDUP((VLOOKUP(B6,AC:AK,5,FALSE))*C6*$Y$3/$B$2,0)+INT(B6/$B$1)</f>
        <v>1</v>
      </c>
      <c r="Z6" s="38">
        <f t="shared" ref="Z6:Z37" si="24">ROUNDUP((VLOOKUP(B6,AC:AK,5,FALSE))*C6*$Z$3/$B$2,0)+INT(B6/$B$1)</f>
        <v>1</v>
      </c>
      <c r="AA6" s="38">
        <f t="shared" ref="AA6:AA37" si="25">ROUNDUP((VLOOKUP(B6,AC:AK,5,FALSE))*C6*$AA$3/$B$2,0)+INT(B6/$B$1)</f>
        <v>1</v>
      </c>
      <c r="AC6" s="36">
        <v>4</v>
      </c>
      <c r="AD6" s="36">
        <f t="shared" si="0"/>
        <v>0.16083741609479799</v>
      </c>
      <c r="AE6" s="36">
        <v>9.3370608301939703E-2</v>
      </c>
      <c r="AF6" s="36">
        <v>0.3611617999990549</v>
      </c>
      <c r="AG6" s="36">
        <v>0.137376392453608</v>
      </c>
      <c r="AH6" s="36">
        <v>0.137376392453608</v>
      </c>
      <c r="AI6" s="36">
        <v>0.10394500803835438</v>
      </c>
      <c r="AJ6" s="36">
        <v>0.11205081141749332</v>
      </c>
      <c r="AK6" s="36">
        <v>0.18058089999952745</v>
      </c>
      <c r="AM6" s="36">
        <v>4</v>
      </c>
      <c r="AN6" s="36">
        <v>139</v>
      </c>
    </row>
    <row r="7" spans="1:40" x14ac:dyDescent="0.15">
      <c r="B7" s="88">
        <v>2</v>
      </c>
      <c r="C7" s="88">
        <f t="shared" si="1"/>
        <v>10</v>
      </c>
      <c r="D7" s="38">
        <f t="shared" si="2"/>
        <v>1</v>
      </c>
      <c r="E7" s="38">
        <f t="shared" si="3"/>
        <v>1</v>
      </c>
      <c r="F7" s="38">
        <f t="shared" si="4"/>
        <v>1</v>
      </c>
      <c r="G7" s="38">
        <f t="shared" si="5"/>
        <v>1</v>
      </c>
      <c r="H7" s="38">
        <f t="shared" si="6"/>
        <v>1</v>
      </c>
      <c r="I7" s="38">
        <f t="shared" si="7"/>
        <v>1</v>
      </c>
      <c r="J7" s="38">
        <f t="shared" si="8"/>
        <v>1</v>
      </c>
      <c r="K7" s="38">
        <f t="shared" si="9"/>
        <v>1</v>
      </c>
      <c r="L7" s="38">
        <f t="shared" si="10"/>
        <v>1</v>
      </c>
      <c r="M7" s="38">
        <f t="shared" si="11"/>
        <v>1</v>
      </c>
      <c r="N7" s="38">
        <f t="shared" si="12"/>
        <v>1</v>
      </c>
      <c r="O7" s="38">
        <f t="shared" si="13"/>
        <v>1</v>
      </c>
      <c r="P7" s="38">
        <f t="shared" si="14"/>
        <v>1</v>
      </c>
      <c r="Q7" s="38">
        <f t="shared" si="15"/>
        <v>1</v>
      </c>
      <c r="R7" s="38">
        <f t="shared" si="16"/>
        <v>1</v>
      </c>
      <c r="S7" s="38">
        <f t="shared" si="17"/>
        <v>1</v>
      </c>
      <c r="T7" s="38">
        <f t="shared" si="18"/>
        <v>1</v>
      </c>
      <c r="U7" s="38">
        <f t="shared" si="19"/>
        <v>1</v>
      </c>
      <c r="V7" s="38">
        <f t="shared" si="20"/>
        <v>1</v>
      </c>
      <c r="W7" s="38">
        <f t="shared" si="21"/>
        <v>1</v>
      </c>
      <c r="X7" s="38">
        <f t="shared" si="22"/>
        <v>1</v>
      </c>
      <c r="Y7" s="38">
        <f t="shared" si="23"/>
        <v>1</v>
      </c>
      <c r="Z7" s="38">
        <f t="shared" si="24"/>
        <v>1</v>
      </c>
      <c r="AA7" s="38">
        <f t="shared" si="25"/>
        <v>1</v>
      </c>
      <c r="AC7" s="36">
        <v>5</v>
      </c>
      <c r="AD7" s="36">
        <f t="shared" si="0"/>
        <v>0.16725010962532463</v>
      </c>
      <c r="AE7" s="36">
        <v>9.7555266754782766E-2</v>
      </c>
      <c r="AF7" s="36">
        <v>0.3870529210321863</v>
      </c>
      <c r="AG7" s="36">
        <v>0.137547520677545</v>
      </c>
      <c r="AH7" s="36">
        <v>0.137547520677545</v>
      </c>
      <c r="AI7" s="36">
        <v>0.10376278980912117</v>
      </c>
      <c r="AJ7" s="36">
        <v>0.11375828790999895</v>
      </c>
      <c r="AK7" s="36">
        <v>0.19352646051609315</v>
      </c>
      <c r="AM7" s="36">
        <v>5</v>
      </c>
      <c r="AN7" s="36">
        <v>170</v>
      </c>
    </row>
    <row r="8" spans="1:40" x14ac:dyDescent="0.15">
      <c r="B8" s="88">
        <v>3</v>
      </c>
      <c r="C8" s="88">
        <f t="shared" si="1"/>
        <v>12</v>
      </c>
      <c r="D8" s="38">
        <f t="shared" si="2"/>
        <v>1</v>
      </c>
      <c r="E8" s="38">
        <f t="shared" si="3"/>
        <v>1</v>
      </c>
      <c r="F8" s="38">
        <f t="shared" si="4"/>
        <v>1</v>
      </c>
      <c r="G8" s="38">
        <f t="shared" si="5"/>
        <v>1</v>
      </c>
      <c r="H8" s="38">
        <f t="shared" si="6"/>
        <v>1</v>
      </c>
      <c r="I8" s="38">
        <f t="shared" si="7"/>
        <v>1</v>
      </c>
      <c r="J8" s="38">
        <f t="shared" si="8"/>
        <v>1</v>
      </c>
      <c r="K8" s="38">
        <f t="shared" si="9"/>
        <v>1</v>
      </c>
      <c r="L8" s="38">
        <f t="shared" si="10"/>
        <v>1</v>
      </c>
      <c r="M8" s="38">
        <f t="shared" si="11"/>
        <v>1</v>
      </c>
      <c r="N8" s="38">
        <f t="shared" si="12"/>
        <v>1</v>
      </c>
      <c r="O8" s="38">
        <f t="shared" si="13"/>
        <v>1</v>
      </c>
      <c r="P8" s="38">
        <f t="shared" si="14"/>
        <v>1</v>
      </c>
      <c r="Q8" s="38">
        <f t="shared" si="15"/>
        <v>1</v>
      </c>
      <c r="R8" s="38">
        <f t="shared" si="16"/>
        <v>1</v>
      </c>
      <c r="S8" s="38">
        <f t="shared" si="17"/>
        <v>1</v>
      </c>
      <c r="T8" s="38">
        <f t="shared" si="18"/>
        <v>1</v>
      </c>
      <c r="U8" s="38">
        <f t="shared" si="19"/>
        <v>1</v>
      </c>
      <c r="V8" s="38">
        <f t="shared" si="20"/>
        <v>1</v>
      </c>
      <c r="W8" s="38">
        <f t="shared" si="21"/>
        <v>1</v>
      </c>
      <c r="X8" s="38">
        <f t="shared" si="22"/>
        <v>1</v>
      </c>
      <c r="Y8" s="38">
        <f t="shared" si="23"/>
        <v>1</v>
      </c>
      <c r="Z8" s="38">
        <f t="shared" si="24"/>
        <v>1</v>
      </c>
      <c r="AA8" s="38">
        <f t="shared" si="25"/>
        <v>1</v>
      </c>
      <c r="AC8" s="36">
        <v>6</v>
      </c>
      <c r="AD8" s="36">
        <f t="shared" si="0"/>
        <v>0.17584469368749547</v>
      </c>
      <c r="AE8" s="36">
        <v>0.10450571709097566</v>
      </c>
      <c r="AF8" s="36">
        <v>0.41313397337812935</v>
      </c>
      <c r="AG8" s="36">
        <v>0.137718648901483</v>
      </c>
      <c r="AH8" s="36">
        <v>0.137718648901483</v>
      </c>
      <c r="AI8" s="36">
        <v>0.10912687451426503</v>
      </c>
      <c r="AJ8" s="36">
        <v>0.12214200633706741</v>
      </c>
      <c r="AK8" s="36">
        <v>0.20656698668906467</v>
      </c>
      <c r="AM8" s="36">
        <v>6</v>
      </c>
      <c r="AN8" s="36">
        <v>200</v>
      </c>
    </row>
    <row r="9" spans="1:40" x14ac:dyDescent="0.15">
      <c r="B9" s="88">
        <v>4</v>
      </c>
      <c r="C9" s="88">
        <f t="shared" si="1"/>
        <v>14</v>
      </c>
      <c r="D9" s="38">
        <f t="shared" si="2"/>
        <v>1</v>
      </c>
      <c r="E9" s="38">
        <f t="shared" si="3"/>
        <v>1</v>
      </c>
      <c r="F9" s="38">
        <f t="shared" si="4"/>
        <v>1</v>
      </c>
      <c r="G9" s="38">
        <f t="shared" si="5"/>
        <v>1</v>
      </c>
      <c r="H9" s="38">
        <f t="shared" si="6"/>
        <v>1</v>
      </c>
      <c r="I9" s="38">
        <f t="shared" si="7"/>
        <v>1</v>
      </c>
      <c r="J9" s="38">
        <f t="shared" si="8"/>
        <v>1</v>
      </c>
      <c r="K9" s="38">
        <f t="shared" si="9"/>
        <v>1</v>
      </c>
      <c r="L9" s="38">
        <f t="shared" si="10"/>
        <v>1</v>
      </c>
      <c r="M9" s="38">
        <f t="shared" si="11"/>
        <v>1</v>
      </c>
      <c r="N9" s="38">
        <f t="shared" si="12"/>
        <v>1</v>
      </c>
      <c r="O9" s="38">
        <f t="shared" si="13"/>
        <v>1</v>
      </c>
      <c r="P9" s="38">
        <f t="shared" si="14"/>
        <v>1</v>
      </c>
      <c r="Q9" s="38">
        <f t="shared" si="15"/>
        <v>1</v>
      </c>
      <c r="R9" s="38">
        <f t="shared" si="16"/>
        <v>1</v>
      </c>
      <c r="S9" s="38">
        <f t="shared" si="17"/>
        <v>1</v>
      </c>
      <c r="T9" s="38">
        <f t="shared" si="18"/>
        <v>1</v>
      </c>
      <c r="U9" s="38">
        <f t="shared" si="19"/>
        <v>1</v>
      </c>
      <c r="V9" s="38">
        <f t="shared" si="20"/>
        <v>1</v>
      </c>
      <c r="W9" s="38">
        <f t="shared" si="21"/>
        <v>1</v>
      </c>
      <c r="X9" s="38">
        <f t="shared" si="22"/>
        <v>1</v>
      </c>
      <c r="Y9" s="38">
        <f t="shared" si="23"/>
        <v>1</v>
      </c>
      <c r="Z9" s="38">
        <f t="shared" si="24"/>
        <v>1</v>
      </c>
      <c r="AA9" s="38">
        <f t="shared" si="25"/>
        <v>1</v>
      </c>
      <c r="AC9" s="36">
        <v>7</v>
      </c>
      <c r="AD9" s="36">
        <f t="shared" si="0"/>
        <v>0.18472311461356208</v>
      </c>
      <c r="AE9" s="36">
        <v>0.11117958889058485</v>
      </c>
      <c r="AF9" s="36">
        <v>0.43952105301211614</v>
      </c>
      <c r="AG9" s="36">
        <v>0.13788977712542</v>
      </c>
      <c r="AH9" s="36">
        <v>0.13788977712542</v>
      </c>
      <c r="AI9" s="36">
        <v>0.11219632482984622</v>
      </c>
      <c r="AJ9" s="36">
        <v>0.13462475480548944</v>
      </c>
      <c r="AK9" s="36">
        <v>0.21976052650605807</v>
      </c>
      <c r="AM9" s="36">
        <v>7</v>
      </c>
      <c r="AN9" s="36">
        <v>230</v>
      </c>
    </row>
    <row r="10" spans="1:40" x14ac:dyDescent="0.15">
      <c r="B10" s="88">
        <v>5</v>
      </c>
      <c r="C10" s="88">
        <f t="shared" si="1"/>
        <v>16</v>
      </c>
      <c r="D10" s="38">
        <f t="shared" si="2"/>
        <v>1</v>
      </c>
      <c r="E10" s="38">
        <f t="shared" si="3"/>
        <v>1</v>
      </c>
      <c r="F10" s="38">
        <f t="shared" si="4"/>
        <v>1</v>
      </c>
      <c r="G10" s="38">
        <f t="shared" si="5"/>
        <v>1</v>
      </c>
      <c r="H10" s="38">
        <f t="shared" si="6"/>
        <v>1</v>
      </c>
      <c r="I10" s="38">
        <f t="shared" si="7"/>
        <v>1</v>
      </c>
      <c r="J10" s="38">
        <f t="shared" si="8"/>
        <v>1</v>
      </c>
      <c r="K10" s="38">
        <f t="shared" si="9"/>
        <v>1</v>
      </c>
      <c r="L10" s="38">
        <f t="shared" si="10"/>
        <v>1</v>
      </c>
      <c r="M10" s="38">
        <f t="shared" si="11"/>
        <v>1</v>
      </c>
      <c r="N10" s="38">
        <f t="shared" si="12"/>
        <v>1</v>
      </c>
      <c r="O10" s="38">
        <f t="shared" si="13"/>
        <v>1</v>
      </c>
      <c r="P10" s="38">
        <f t="shared" si="14"/>
        <v>1</v>
      </c>
      <c r="Q10" s="38">
        <f t="shared" si="15"/>
        <v>1</v>
      </c>
      <c r="R10" s="38">
        <f t="shared" si="16"/>
        <v>1</v>
      </c>
      <c r="S10" s="38">
        <f t="shared" si="17"/>
        <v>1</v>
      </c>
      <c r="T10" s="38">
        <f t="shared" si="18"/>
        <v>1</v>
      </c>
      <c r="U10" s="38">
        <f t="shared" si="19"/>
        <v>1</v>
      </c>
      <c r="V10" s="38">
        <f t="shared" si="20"/>
        <v>1</v>
      </c>
      <c r="W10" s="38">
        <f t="shared" si="21"/>
        <v>1</v>
      </c>
      <c r="X10" s="38">
        <f t="shared" si="22"/>
        <v>1</v>
      </c>
      <c r="Y10" s="38">
        <f t="shared" si="23"/>
        <v>1</v>
      </c>
      <c r="Z10" s="38">
        <f t="shared" si="24"/>
        <v>1</v>
      </c>
      <c r="AA10" s="38">
        <f t="shared" si="25"/>
        <v>1</v>
      </c>
      <c r="AC10" s="36">
        <v>8</v>
      </c>
      <c r="AD10" s="36">
        <f t="shared" si="0"/>
        <v>0.19159983489951063</v>
      </c>
      <c r="AE10" s="36">
        <v>0.11545440174800721</v>
      </c>
      <c r="AF10" s="36">
        <v>0.46387000806600392</v>
      </c>
      <c r="AG10" s="36">
        <v>0.138060905349357</v>
      </c>
      <c r="AH10" s="36">
        <v>0.138060905349357</v>
      </c>
      <c r="AI10" s="36">
        <v>0.11641942450951101</v>
      </c>
      <c r="AJ10" s="36">
        <v>0.13739819524133623</v>
      </c>
      <c r="AK10" s="36">
        <v>0.23193500403300196</v>
      </c>
      <c r="AM10" s="36">
        <v>8</v>
      </c>
      <c r="AN10" s="36">
        <v>259</v>
      </c>
    </row>
    <row r="11" spans="1:40" x14ac:dyDescent="0.15">
      <c r="B11" s="88">
        <v>6</v>
      </c>
      <c r="C11" s="88">
        <f t="shared" si="1"/>
        <v>18</v>
      </c>
      <c r="D11" s="38">
        <f t="shared" si="2"/>
        <v>1</v>
      </c>
      <c r="E11" s="38">
        <f t="shared" si="3"/>
        <v>1</v>
      </c>
      <c r="F11" s="38">
        <f t="shared" si="4"/>
        <v>1</v>
      </c>
      <c r="G11" s="38">
        <f t="shared" si="5"/>
        <v>1</v>
      </c>
      <c r="H11" s="38">
        <f t="shared" si="6"/>
        <v>1</v>
      </c>
      <c r="I11" s="38">
        <f t="shared" si="7"/>
        <v>1</v>
      </c>
      <c r="J11" s="38">
        <f t="shared" si="8"/>
        <v>1</v>
      </c>
      <c r="K11" s="38">
        <f t="shared" si="9"/>
        <v>1</v>
      </c>
      <c r="L11" s="38">
        <f t="shared" si="10"/>
        <v>1</v>
      </c>
      <c r="M11" s="38">
        <f t="shared" si="11"/>
        <v>1</v>
      </c>
      <c r="N11" s="38">
        <f t="shared" si="12"/>
        <v>1</v>
      </c>
      <c r="O11" s="38">
        <f t="shared" si="13"/>
        <v>1</v>
      </c>
      <c r="P11" s="38">
        <f t="shared" si="14"/>
        <v>1</v>
      </c>
      <c r="Q11" s="38">
        <f t="shared" si="15"/>
        <v>1</v>
      </c>
      <c r="R11" s="38">
        <f t="shared" si="16"/>
        <v>1</v>
      </c>
      <c r="S11" s="38">
        <f t="shared" si="17"/>
        <v>1</v>
      </c>
      <c r="T11" s="38">
        <f t="shared" si="18"/>
        <v>1</v>
      </c>
      <c r="U11" s="38">
        <f t="shared" si="19"/>
        <v>1</v>
      </c>
      <c r="V11" s="38">
        <f t="shared" si="20"/>
        <v>1</v>
      </c>
      <c r="W11" s="38">
        <f t="shared" si="21"/>
        <v>1</v>
      </c>
      <c r="X11" s="38">
        <f t="shared" si="22"/>
        <v>1</v>
      </c>
      <c r="Y11" s="38">
        <f t="shared" si="23"/>
        <v>1</v>
      </c>
      <c r="Z11" s="38">
        <f t="shared" si="24"/>
        <v>1</v>
      </c>
      <c r="AA11" s="38">
        <f t="shared" si="25"/>
        <v>1</v>
      </c>
      <c r="AC11" s="36">
        <v>9</v>
      </c>
      <c r="AD11" s="36">
        <f t="shared" si="0"/>
        <v>0.19953200090810227</v>
      </c>
      <c r="AE11" s="36">
        <v>0.12247195459717378</v>
      </c>
      <c r="AF11" s="36">
        <v>0.4916283536862871</v>
      </c>
      <c r="AG11" s="36">
        <v>0.138232033573294</v>
      </c>
      <c r="AH11" s="36">
        <v>0.138232033573294</v>
      </c>
      <c r="AI11" s="36">
        <v>0.11850356832587994</v>
      </c>
      <c r="AJ11" s="36">
        <v>0.14184188575764328</v>
      </c>
      <c r="AK11" s="36">
        <v>0.24581417684314355</v>
      </c>
      <c r="AM11" s="36">
        <v>9</v>
      </c>
      <c r="AN11" s="36">
        <v>288</v>
      </c>
    </row>
    <row r="12" spans="1:40" x14ac:dyDescent="0.15">
      <c r="B12" s="88">
        <v>7</v>
      </c>
      <c r="C12" s="88">
        <f t="shared" si="1"/>
        <v>20</v>
      </c>
      <c r="D12" s="38">
        <f t="shared" si="2"/>
        <v>1</v>
      </c>
      <c r="E12" s="38">
        <f t="shared" si="3"/>
        <v>1</v>
      </c>
      <c r="F12" s="38">
        <f t="shared" si="4"/>
        <v>1</v>
      </c>
      <c r="G12" s="38">
        <f t="shared" si="5"/>
        <v>1</v>
      </c>
      <c r="H12" s="38">
        <f t="shared" si="6"/>
        <v>1</v>
      </c>
      <c r="I12" s="38">
        <f t="shared" si="7"/>
        <v>1</v>
      </c>
      <c r="J12" s="38">
        <f t="shared" si="8"/>
        <v>1</v>
      </c>
      <c r="K12" s="38">
        <f t="shared" si="9"/>
        <v>1</v>
      </c>
      <c r="L12" s="38">
        <f t="shared" si="10"/>
        <v>1</v>
      </c>
      <c r="M12" s="38">
        <f t="shared" si="11"/>
        <v>1</v>
      </c>
      <c r="N12" s="38">
        <f t="shared" si="12"/>
        <v>1</v>
      </c>
      <c r="O12" s="38">
        <f t="shared" si="13"/>
        <v>1</v>
      </c>
      <c r="P12" s="38">
        <f t="shared" si="14"/>
        <v>1</v>
      </c>
      <c r="Q12" s="38">
        <f t="shared" si="15"/>
        <v>1</v>
      </c>
      <c r="R12" s="38">
        <f t="shared" si="16"/>
        <v>1</v>
      </c>
      <c r="S12" s="38">
        <f t="shared" si="17"/>
        <v>1</v>
      </c>
      <c r="T12" s="38">
        <f t="shared" si="18"/>
        <v>1</v>
      </c>
      <c r="U12" s="38">
        <f t="shared" si="19"/>
        <v>1</v>
      </c>
      <c r="V12" s="38">
        <f t="shared" si="20"/>
        <v>1</v>
      </c>
      <c r="W12" s="38">
        <f t="shared" si="21"/>
        <v>1</v>
      </c>
      <c r="X12" s="38">
        <f t="shared" si="22"/>
        <v>1</v>
      </c>
      <c r="Y12" s="38">
        <f t="shared" si="23"/>
        <v>1</v>
      </c>
      <c r="Z12" s="38">
        <f t="shared" si="24"/>
        <v>1</v>
      </c>
      <c r="AA12" s="38">
        <f t="shared" si="25"/>
        <v>1</v>
      </c>
      <c r="AC12" s="36">
        <v>10</v>
      </c>
      <c r="AD12" s="36">
        <f t="shared" si="0"/>
        <v>0.20676666349084322</v>
      </c>
      <c r="AE12" s="36">
        <v>0.12707245090937791</v>
      </c>
      <c r="AF12" s="36">
        <v>0.51677493966112609</v>
      </c>
      <c r="AG12" s="36">
        <v>0.138403161797232</v>
      </c>
      <c r="AH12" s="36">
        <v>0.138403161797232</v>
      </c>
      <c r="AI12" s="36">
        <v>0.12252515480433883</v>
      </c>
      <c r="AJ12" s="36">
        <v>0.14580030563603263</v>
      </c>
      <c r="AK12" s="36">
        <v>0.25838746983056304</v>
      </c>
      <c r="AM12" s="36">
        <v>10</v>
      </c>
      <c r="AN12" s="36">
        <v>317</v>
      </c>
    </row>
    <row r="13" spans="1:40" x14ac:dyDescent="0.15">
      <c r="B13" s="88">
        <v>8</v>
      </c>
      <c r="C13" s="88">
        <f t="shared" si="1"/>
        <v>22</v>
      </c>
      <c r="D13" s="38">
        <f t="shared" si="2"/>
        <v>1</v>
      </c>
      <c r="E13" s="38">
        <f t="shared" si="3"/>
        <v>1</v>
      </c>
      <c r="F13" s="38">
        <f t="shared" si="4"/>
        <v>1</v>
      </c>
      <c r="G13" s="38">
        <f t="shared" si="5"/>
        <v>1</v>
      </c>
      <c r="H13" s="38">
        <f t="shared" si="6"/>
        <v>1</v>
      </c>
      <c r="I13" s="38">
        <f t="shared" si="7"/>
        <v>1</v>
      </c>
      <c r="J13" s="38">
        <f t="shared" si="8"/>
        <v>1</v>
      </c>
      <c r="K13" s="38">
        <f t="shared" si="9"/>
        <v>2</v>
      </c>
      <c r="L13" s="38">
        <f t="shared" si="10"/>
        <v>1</v>
      </c>
      <c r="M13" s="38">
        <f t="shared" si="11"/>
        <v>1</v>
      </c>
      <c r="N13" s="38">
        <f t="shared" si="12"/>
        <v>1</v>
      </c>
      <c r="O13" s="38">
        <f t="shared" si="13"/>
        <v>1</v>
      </c>
      <c r="P13" s="38">
        <f t="shared" si="14"/>
        <v>1</v>
      </c>
      <c r="Q13" s="38">
        <f t="shared" si="15"/>
        <v>1</v>
      </c>
      <c r="R13" s="38">
        <f t="shared" si="16"/>
        <v>1</v>
      </c>
      <c r="S13" s="38">
        <f t="shared" si="17"/>
        <v>1</v>
      </c>
      <c r="T13" s="38">
        <f t="shared" si="18"/>
        <v>1</v>
      </c>
      <c r="U13" s="38">
        <f t="shared" si="19"/>
        <v>1</v>
      </c>
      <c r="V13" s="38">
        <f t="shared" si="20"/>
        <v>1</v>
      </c>
      <c r="W13" s="38">
        <f t="shared" si="21"/>
        <v>1</v>
      </c>
      <c r="X13" s="38">
        <f t="shared" si="22"/>
        <v>1</v>
      </c>
      <c r="Y13" s="38">
        <f t="shared" si="23"/>
        <v>1</v>
      </c>
      <c r="Z13" s="38">
        <f t="shared" si="24"/>
        <v>1</v>
      </c>
      <c r="AA13" s="38">
        <f t="shared" si="25"/>
        <v>1</v>
      </c>
      <c r="AC13" s="36">
        <v>11</v>
      </c>
      <c r="AD13" s="36">
        <f t="shared" si="0"/>
        <v>0.2159583368512841</v>
      </c>
      <c r="AE13" s="36">
        <v>0.1339409842415856</v>
      </c>
      <c r="AF13" s="36">
        <v>0.54492132514676506</v>
      </c>
      <c r="AG13" s="36">
        <v>0.138574290021169</v>
      </c>
      <c r="AH13" s="36">
        <v>0.138574290021169</v>
      </c>
      <c r="AI13" s="36">
        <v>0.12583662795135242</v>
      </c>
      <c r="AJ13" s="36">
        <v>0.15740017800356515</v>
      </c>
      <c r="AK13" s="36">
        <v>0.27246066257338253</v>
      </c>
      <c r="AM13" s="36">
        <v>11</v>
      </c>
      <c r="AN13" s="36">
        <v>346</v>
      </c>
    </row>
    <row r="14" spans="1:40" x14ac:dyDescent="0.15">
      <c r="B14" s="88">
        <v>9</v>
      </c>
      <c r="C14" s="88">
        <f t="shared" si="1"/>
        <v>24</v>
      </c>
      <c r="D14" s="38">
        <f t="shared" si="2"/>
        <v>2</v>
      </c>
      <c r="E14" s="38">
        <f t="shared" si="3"/>
        <v>2</v>
      </c>
      <c r="F14" s="38">
        <f t="shared" si="4"/>
        <v>2</v>
      </c>
      <c r="G14" s="38">
        <f t="shared" si="5"/>
        <v>2</v>
      </c>
      <c r="H14" s="38">
        <f t="shared" si="6"/>
        <v>2</v>
      </c>
      <c r="I14" s="38">
        <f t="shared" si="7"/>
        <v>2</v>
      </c>
      <c r="J14" s="38">
        <f t="shared" si="8"/>
        <v>2</v>
      </c>
      <c r="K14" s="38">
        <f t="shared" si="9"/>
        <v>3</v>
      </c>
      <c r="L14" s="38">
        <f t="shared" si="10"/>
        <v>2</v>
      </c>
      <c r="M14" s="38">
        <f t="shared" si="11"/>
        <v>2</v>
      </c>
      <c r="N14" s="38">
        <f t="shared" si="12"/>
        <v>2</v>
      </c>
      <c r="O14" s="38">
        <f t="shared" si="13"/>
        <v>2</v>
      </c>
      <c r="P14" s="38">
        <f t="shared" si="14"/>
        <v>2</v>
      </c>
      <c r="Q14" s="38">
        <f t="shared" si="15"/>
        <v>2</v>
      </c>
      <c r="R14" s="38">
        <f t="shared" si="16"/>
        <v>2</v>
      </c>
      <c r="S14" s="38">
        <f t="shared" si="17"/>
        <v>2</v>
      </c>
      <c r="T14" s="38">
        <f t="shared" si="18"/>
        <v>2</v>
      </c>
      <c r="U14" s="38">
        <f t="shared" si="19"/>
        <v>2</v>
      </c>
      <c r="V14" s="38">
        <f t="shared" si="20"/>
        <v>2</v>
      </c>
      <c r="W14" s="38">
        <f t="shared" si="21"/>
        <v>2</v>
      </c>
      <c r="X14" s="38">
        <f t="shared" si="22"/>
        <v>2</v>
      </c>
      <c r="Y14" s="38">
        <f t="shared" si="23"/>
        <v>2</v>
      </c>
      <c r="Z14" s="38">
        <f t="shared" si="24"/>
        <v>2</v>
      </c>
      <c r="AA14" s="38">
        <f t="shared" si="25"/>
        <v>2</v>
      </c>
      <c r="AC14" s="36">
        <v>12</v>
      </c>
      <c r="AD14" s="36">
        <f t="shared" si="0"/>
        <v>0.22361145160970769</v>
      </c>
      <c r="AE14" s="36">
        <v>0.13944178527813736</v>
      </c>
      <c r="AF14" s="36">
        <v>0.57078919927789362</v>
      </c>
      <c r="AG14" s="36">
        <v>0.138745418245106</v>
      </c>
      <c r="AH14" s="36">
        <v>0.138745418245106</v>
      </c>
      <c r="AI14" s="36">
        <v>0.13054124579229859</v>
      </c>
      <c r="AJ14" s="36">
        <v>0.16162249479046531</v>
      </c>
      <c r="AK14" s="36">
        <v>0.28539459963894681</v>
      </c>
      <c r="AM14" s="36">
        <v>12</v>
      </c>
      <c r="AN14" s="36">
        <v>374</v>
      </c>
    </row>
    <row r="15" spans="1:40" x14ac:dyDescent="0.15">
      <c r="B15" s="88">
        <v>10</v>
      </c>
      <c r="C15" s="88">
        <f t="shared" si="1"/>
        <v>26</v>
      </c>
      <c r="D15" s="38">
        <f t="shared" si="2"/>
        <v>2</v>
      </c>
      <c r="E15" s="38">
        <f t="shared" si="3"/>
        <v>2</v>
      </c>
      <c r="F15" s="38">
        <f t="shared" si="4"/>
        <v>2</v>
      </c>
      <c r="G15" s="38">
        <f t="shared" si="5"/>
        <v>2</v>
      </c>
      <c r="H15" s="38">
        <f t="shared" si="6"/>
        <v>2</v>
      </c>
      <c r="I15" s="38">
        <f t="shared" si="7"/>
        <v>2</v>
      </c>
      <c r="J15" s="38">
        <f t="shared" si="8"/>
        <v>2</v>
      </c>
      <c r="K15" s="38">
        <f t="shared" si="9"/>
        <v>3</v>
      </c>
      <c r="L15" s="38">
        <f t="shared" si="10"/>
        <v>3</v>
      </c>
      <c r="M15" s="38">
        <f t="shared" si="11"/>
        <v>2</v>
      </c>
      <c r="N15" s="38">
        <f t="shared" si="12"/>
        <v>2</v>
      </c>
      <c r="O15" s="38">
        <f t="shared" si="13"/>
        <v>2</v>
      </c>
      <c r="P15" s="38">
        <f t="shared" si="14"/>
        <v>2</v>
      </c>
      <c r="Q15" s="38">
        <f t="shared" si="15"/>
        <v>2</v>
      </c>
      <c r="R15" s="38">
        <f t="shared" si="16"/>
        <v>2</v>
      </c>
      <c r="S15" s="38">
        <f t="shared" si="17"/>
        <v>2</v>
      </c>
      <c r="T15" s="38">
        <f t="shared" si="18"/>
        <v>2</v>
      </c>
      <c r="U15" s="38">
        <f t="shared" si="19"/>
        <v>2</v>
      </c>
      <c r="V15" s="38">
        <f t="shared" si="20"/>
        <v>2</v>
      </c>
      <c r="W15" s="38">
        <f t="shared" si="21"/>
        <v>2</v>
      </c>
      <c r="X15" s="38">
        <f t="shared" si="22"/>
        <v>2</v>
      </c>
      <c r="Y15" s="38">
        <f t="shared" si="23"/>
        <v>2</v>
      </c>
      <c r="Z15" s="38">
        <f t="shared" si="24"/>
        <v>2</v>
      </c>
      <c r="AA15" s="38">
        <f t="shared" si="25"/>
        <v>2</v>
      </c>
      <c r="AC15" s="36">
        <v>13</v>
      </c>
      <c r="AD15" s="36">
        <f t="shared" si="0"/>
        <v>0.23186134077994816</v>
      </c>
      <c r="AE15" s="36">
        <v>0.14526905663082912</v>
      </c>
      <c r="AF15" s="36">
        <v>0.598142916672875</v>
      </c>
      <c r="AG15" s="36">
        <v>0.138916546469044</v>
      </c>
      <c r="AH15" s="36">
        <v>0.138916546469044</v>
      </c>
      <c r="AI15" s="36">
        <v>0.13331596701443815</v>
      </c>
      <c r="AJ15" s="36">
        <v>0.16939689386696913</v>
      </c>
      <c r="AK15" s="36">
        <v>0.2990714583364375</v>
      </c>
      <c r="AM15" s="36">
        <v>13</v>
      </c>
      <c r="AN15" s="36">
        <v>402</v>
      </c>
    </row>
    <row r="16" spans="1:40" x14ac:dyDescent="0.15">
      <c r="B16" s="88">
        <v>11</v>
      </c>
      <c r="C16" s="88">
        <v>7</v>
      </c>
      <c r="D16" s="89">
        <f t="shared" si="2"/>
        <v>2</v>
      </c>
      <c r="E16" s="89">
        <f t="shared" si="3"/>
        <v>2</v>
      </c>
      <c r="F16" s="89">
        <f t="shared" si="4"/>
        <v>2</v>
      </c>
      <c r="G16" s="89">
        <f t="shared" si="5"/>
        <v>2</v>
      </c>
      <c r="H16" s="89">
        <f t="shared" si="6"/>
        <v>2</v>
      </c>
      <c r="I16" s="89">
        <f t="shared" si="7"/>
        <v>2</v>
      </c>
      <c r="J16" s="89">
        <f t="shared" si="8"/>
        <v>2</v>
      </c>
      <c r="K16" s="89">
        <f t="shared" si="9"/>
        <v>2</v>
      </c>
      <c r="L16" s="89">
        <f t="shared" si="10"/>
        <v>2</v>
      </c>
      <c r="M16" s="89">
        <f t="shared" si="11"/>
        <v>2</v>
      </c>
      <c r="N16" s="89">
        <f t="shared" si="12"/>
        <v>2</v>
      </c>
      <c r="O16" s="89">
        <f t="shared" si="13"/>
        <v>2</v>
      </c>
      <c r="P16" s="89">
        <f t="shared" si="14"/>
        <v>2</v>
      </c>
      <c r="Q16" s="89">
        <f t="shared" si="15"/>
        <v>2</v>
      </c>
      <c r="R16" s="89">
        <f t="shared" si="16"/>
        <v>2</v>
      </c>
      <c r="S16" s="89">
        <f t="shared" si="17"/>
        <v>2</v>
      </c>
      <c r="T16" s="89">
        <f t="shared" si="18"/>
        <v>2</v>
      </c>
      <c r="U16" s="89">
        <f t="shared" si="19"/>
        <v>2</v>
      </c>
      <c r="V16" s="89">
        <f t="shared" si="20"/>
        <v>2</v>
      </c>
      <c r="W16" s="89">
        <f t="shared" si="21"/>
        <v>2</v>
      </c>
      <c r="X16" s="89">
        <f t="shared" si="22"/>
        <v>2</v>
      </c>
      <c r="Y16" s="89">
        <f t="shared" si="23"/>
        <v>2</v>
      </c>
      <c r="Z16" s="89">
        <f t="shared" si="24"/>
        <v>2</v>
      </c>
      <c r="AA16" s="89">
        <f t="shared" si="25"/>
        <v>2</v>
      </c>
      <c r="AC16" s="36">
        <v>14</v>
      </c>
      <c r="AD16" s="36">
        <f t="shared" si="0"/>
        <v>0.24034048619984955</v>
      </c>
      <c r="AE16" s="36">
        <v>0.15151623028400718</v>
      </c>
      <c r="AF16" s="36">
        <v>0.6247724877446188</v>
      </c>
      <c r="AG16" s="36">
        <v>0.139087674692981</v>
      </c>
      <c r="AH16" s="36">
        <v>0.139087674692981</v>
      </c>
      <c r="AI16" s="36">
        <v>0.13584291591433478</v>
      </c>
      <c r="AJ16" s="36">
        <v>0.1796901761977146</v>
      </c>
      <c r="AK16" s="36">
        <v>0.3123862438723094</v>
      </c>
      <c r="AM16" s="36">
        <v>14</v>
      </c>
      <c r="AN16" s="36">
        <v>430</v>
      </c>
    </row>
    <row r="17" spans="2:40" x14ac:dyDescent="0.15">
      <c r="B17" s="88">
        <v>12</v>
      </c>
      <c r="C17" s="88">
        <v>10</v>
      </c>
      <c r="D17" s="89">
        <f t="shared" si="2"/>
        <v>2</v>
      </c>
      <c r="E17" s="89">
        <f t="shared" si="3"/>
        <v>2</v>
      </c>
      <c r="F17" s="89">
        <f t="shared" si="4"/>
        <v>2</v>
      </c>
      <c r="G17" s="89">
        <f t="shared" si="5"/>
        <v>2</v>
      </c>
      <c r="H17" s="89">
        <f t="shared" si="6"/>
        <v>2</v>
      </c>
      <c r="I17" s="89">
        <f t="shared" si="7"/>
        <v>2</v>
      </c>
      <c r="J17" s="89">
        <f t="shared" si="8"/>
        <v>2</v>
      </c>
      <c r="K17" s="89">
        <f t="shared" si="9"/>
        <v>2</v>
      </c>
      <c r="L17" s="89">
        <f t="shared" si="10"/>
        <v>2</v>
      </c>
      <c r="M17" s="89">
        <f t="shared" si="11"/>
        <v>2</v>
      </c>
      <c r="N17" s="89">
        <f t="shared" si="12"/>
        <v>2</v>
      </c>
      <c r="O17" s="89">
        <f t="shared" si="13"/>
        <v>2</v>
      </c>
      <c r="P17" s="89">
        <f t="shared" si="14"/>
        <v>2</v>
      </c>
      <c r="Q17" s="89">
        <f t="shared" si="15"/>
        <v>2</v>
      </c>
      <c r="R17" s="89">
        <f t="shared" si="16"/>
        <v>2</v>
      </c>
      <c r="S17" s="89">
        <f t="shared" si="17"/>
        <v>2</v>
      </c>
      <c r="T17" s="89">
        <f t="shared" si="18"/>
        <v>2</v>
      </c>
      <c r="U17" s="89">
        <f t="shared" si="19"/>
        <v>2</v>
      </c>
      <c r="V17" s="89">
        <f t="shared" si="20"/>
        <v>2</v>
      </c>
      <c r="W17" s="89">
        <f t="shared" si="21"/>
        <v>2</v>
      </c>
      <c r="X17" s="89">
        <f t="shared" si="22"/>
        <v>2</v>
      </c>
      <c r="Y17" s="89">
        <f t="shared" si="23"/>
        <v>2</v>
      </c>
      <c r="Z17" s="89">
        <f t="shared" si="24"/>
        <v>2</v>
      </c>
      <c r="AA17" s="89">
        <f t="shared" si="25"/>
        <v>2</v>
      </c>
      <c r="AC17" s="36">
        <v>15</v>
      </c>
      <c r="AD17" s="36">
        <f t="shared" si="0"/>
        <v>0.24831223844717204</v>
      </c>
      <c r="AE17" s="36">
        <v>0.15675592204157077</v>
      </c>
      <c r="AF17" s="36">
        <v>0.65268320083497922</v>
      </c>
      <c r="AG17" s="36">
        <v>0.139258802916918</v>
      </c>
      <c r="AH17" s="36">
        <v>0.139258802916918</v>
      </c>
      <c r="AI17" s="36">
        <v>0.13936023649220913</v>
      </c>
      <c r="AJ17" s="36">
        <v>0.1845271035101195</v>
      </c>
      <c r="AK17" s="36">
        <v>0.32634160041748961</v>
      </c>
      <c r="AM17" s="36">
        <v>15</v>
      </c>
      <c r="AN17" s="36">
        <v>457</v>
      </c>
    </row>
    <row r="18" spans="2:40" x14ac:dyDescent="0.15">
      <c r="B18" s="88">
        <v>13</v>
      </c>
      <c r="C18" s="88">
        <v>12</v>
      </c>
      <c r="D18" s="89">
        <f t="shared" si="2"/>
        <v>2</v>
      </c>
      <c r="E18" s="89">
        <f t="shared" si="3"/>
        <v>2</v>
      </c>
      <c r="F18" s="89">
        <f t="shared" si="4"/>
        <v>2</v>
      </c>
      <c r="G18" s="89">
        <f t="shared" si="5"/>
        <v>2</v>
      </c>
      <c r="H18" s="89">
        <f t="shared" si="6"/>
        <v>2</v>
      </c>
      <c r="I18" s="89">
        <f t="shared" si="7"/>
        <v>2</v>
      </c>
      <c r="J18" s="89">
        <f t="shared" si="8"/>
        <v>2</v>
      </c>
      <c r="K18" s="89">
        <f t="shared" si="9"/>
        <v>2</v>
      </c>
      <c r="L18" s="89">
        <f t="shared" si="10"/>
        <v>2</v>
      </c>
      <c r="M18" s="89">
        <f t="shared" si="11"/>
        <v>2</v>
      </c>
      <c r="N18" s="89">
        <f t="shared" si="12"/>
        <v>2</v>
      </c>
      <c r="O18" s="89">
        <f t="shared" si="13"/>
        <v>2</v>
      </c>
      <c r="P18" s="89">
        <f t="shared" si="14"/>
        <v>2</v>
      </c>
      <c r="Q18" s="89">
        <f t="shared" si="15"/>
        <v>2</v>
      </c>
      <c r="R18" s="89">
        <f t="shared" si="16"/>
        <v>2</v>
      </c>
      <c r="S18" s="89">
        <f t="shared" si="17"/>
        <v>2</v>
      </c>
      <c r="T18" s="89">
        <f t="shared" si="18"/>
        <v>2</v>
      </c>
      <c r="U18" s="89">
        <f t="shared" si="19"/>
        <v>2</v>
      </c>
      <c r="V18" s="89">
        <f t="shared" si="20"/>
        <v>2</v>
      </c>
      <c r="W18" s="89">
        <f t="shared" si="21"/>
        <v>2</v>
      </c>
      <c r="X18" s="89">
        <f t="shared" si="22"/>
        <v>2</v>
      </c>
      <c r="Y18" s="89">
        <f t="shared" si="23"/>
        <v>2</v>
      </c>
      <c r="Z18" s="89">
        <f t="shared" si="24"/>
        <v>2</v>
      </c>
      <c r="AA18" s="89">
        <f t="shared" si="25"/>
        <v>2</v>
      </c>
      <c r="AC18" s="36">
        <v>16</v>
      </c>
      <c r="AD18" s="36">
        <f t="shared" si="0"/>
        <v>0.2564336653425684</v>
      </c>
      <c r="AE18" s="36">
        <v>0.16244292157384418</v>
      </c>
      <c r="AF18" s="36">
        <v>0.67999645246377793</v>
      </c>
      <c r="AG18" s="36">
        <v>0.139429931140855</v>
      </c>
      <c r="AH18" s="36">
        <v>0.139429931140855</v>
      </c>
      <c r="AI18" s="36">
        <v>0.14179521767329437</v>
      </c>
      <c r="AJ18" s="36">
        <v>0.19194297717346323</v>
      </c>
      <c r="AK18" s="36">
        <v>0.33999822623188897</v>
      </c>
      <c r="AM18" s="36">
        <v>16</v>
      </c>
      <c r="AN18" s="36">
        <v>485</v>
      </c>
    </row>
    <row r="19" spans="2:40" x14ac:dyDescent="0.15">
      <c r="B19" s="88">
        <v>14</v>
      </c>
      <c r="C19" s="88">
        <v>14</v>
      </c>
      <c r="D19" s="89">
        <f t="shared" si="2"/>
        <v>2</v>
      </c>
      <c r="E19" s="89">
        <f t="shared" si="3"/>
        <v>2</v>
      </c>
      <c r="F19" s="89">
        <f t="shared" si="4"/>
        <v>2</v>
      </c>
      <c r="G19" s="89">
        <f t="shared" si="5"/>
        <v>2</v>
      </c>
      <c r="H19" s="89">
        <f t="shared" si="6"/>
        <v>2</v>
      </c>
      <c r="I19" s="89">
        <f t="shared" si="7"/>
        <v>2</v>
      </c>
      <c r="J19" s="89">
        <f t="shared" si="8"/>
        <v>2</v>
      </c>
      <c r="K19" s="89">
        <f t="shared" si="9"/>
        <v>2</v>
      </c>
      <c r="L19" s="89">
        <f t="shared" si="10"/>
        <v>2</v>
      </c>
      <c r="M19" s="89">
        <f t="shared" si="11"/>
        <v>2</v>
      </c>
      <c r="N19" s="89">
        <f t="shared" si="12"/>
        <v>2</v>
      </c>
      <c r="O19" s="89">
        <f t="shared" si="13"/>
        <v>2</v>
      </c>
      <c r="P19" s="89">
        <f t="shared" si="14"/>
        <v>2</v>
      </c>
      <c r="Q19" s="89">
        <f t="shared" si="15"/>
        <v>2</v>
      </c>
      <c r="R19" s="89">
        <f t="shared" si="16"/>
        <v>2</v>
      </c>
      <c r="S19" s="89">
        <f t="shared" si="17"/>
        <v>2</v>
      </c>
      <c r="T19" s="89">
        <f t="shared" si="18"/>
        <v>2</v>
      </c>
      <c r="U19" s="89">
        <f t="shared" si="19"/>
        <v>2</v>
      </c>
      <c r="V19" s="89">
        <f t="shared" si="20"/>
        <v>2</v>
      </c>
      <c r="W19" s="89">
        <f t="shared" si="21"/>
        <v>2</v>
      </c>
      <c r="X19" s="89">
        <f t="shared" si="22"/>
        <v>2</v>
      </c>
      <c r="Y19" s="89">
        <f t="shared" si="23"/>
        <v>2</v>
      </c>
      <c r="Z19" s="89">
        <f t="shared" si="24"/>
        <v>2</v>
      </c>
      <c r="AA19" s="89">
        <f t="shared" si="25"/>
        <v>2</v>
      </c>
      <c r="AC19" s="36">
        <v>17</v>
      </c>
      <c r="AD19" s="36">
        <f t="shared" si="0"/>
        <v>0.26443161049015579</v>
      </c>
      <c r="AE19" s="36">
        <v>0.16912110541904468</v>
      </c>
      <c r="AF19" s="36">
        <v>0.70903392098887508</v>
      </c>
      <c r="AG19" s="36">
        <v>0.139601059364793</v>
      </c>
      <c r="AH19" s="36">
        <v>0.139601059364793</v>
      </c>
      <c r="AI19" s="36">
        <v>0.1445314976064152</v>
      </c>
      <c r="AJ19" s="36">
        <v>0.19461567019273218</v>
      </c>
      <c r="AK19" s="36">
        <v>0.35451696049443754</v>
      </c>
      <c r="AM19" s="36">
        <v>17</v>
      </c>
      <c r="AN19" s="36">
        <v>512</v>
      </c>
    </row>
    <row r="20" spans="2:40" x14ac:dyDescent="0.15">
      <c r="B20" s="88">
        <v>15</v>
      </c>
      <c r="C20" s="88">
        <v>16</v>
      </c>
      <c r="D20" s="89">
        <f t="shared" si="2"/>
        <v>2</v>
      </c>
      <c r="E20" s="89">
        <f t="shared" si="3"/>
        <v>2</v>
      </c>
      <c r="F20" s="89">
        <f t="shared" si="4"/>
        <v>2</v>
      </c>
      <c r="G20" s="89">
        <f t="shared" si="5"/>
        <v>2</v>
      </c>
      <c r="H20" s="89">
        <f t="shared" si="6"/>
        <v>2</v>
      </c>
      <c r="I20" s="89">
        <f t="shared" si="7"/>
        <v>2</v>
      </c>
      <c r="J20" s="89">
        <f t="shared" si="8"/>
        <v>2</v>
      </c>
      <c r="K20" s="89">
        <f t="shared" si="9"/>
        <v>3</v>
      </c>
      <c r="L20" s="89">
        <f t="shared" si="10"/>
        <v>2</v>
      </c>
      <c r="M20" s="89">
        <f t="shared" si="11"/>
        <v>2</v>
      </c>
      <c r="N20" s="89">
        <f t="shared" si="12"/>
        <v>2</v>
      </c>
      <c r="O20" s="89">
        <f t="shared" si="13"/>
        <v>2</v>
      </c>
      <c r="P20" s="89">
        <f t="shared" si="14"/>
        <v>2</v>
      </c>
      <c r="Q20" s="89">
        <f t="shared" si="15"/>
        <v>2</v>
      </c>
      <c r="R20" s="89">
        <f t="shared" si="16"/>
        <v>2</v>
      </c>
      <c r="S20" s="89">
        <f t="shared" si="17"/>
        <v>2</v>
      </c>
      <c r="T20" s="89">
        <f t="shared" si="18"/>
        <v>2</v>
      </c>
      <c r="U20" s="89">
        <f t="shared" si="19"/>
        <v>2</v>
      </c>
      <c r="V20" s="89">
        <f t="shared" si="20"/>
        <v>2</v>
      </c>
      <c r="W20" s="89">
        <f t="shared" si="21"/>
        <v>2</v>
      </c>
      <c r="X20" s="89">
        <f t="shared" si="22"/>
        <v>2</v>
      </c>
      <c r="Y20" s="89">
        <f t="shared" si="23"/>
        <v>2</v>
      </c>
      <c r="Z20" s="89">
        <f t="shared" si="24"/>
        <v>2</v>
      </c>
      <c r="AA20" s="89">
        <f t="shared" si="25"/>
        <v>2</v>
      </c>
      <c r="AC20" s="36">
        <v>18</v>
      </c>
      <c r="AD20" s="36">
        <f t="shared" si="0"/>
        <v>0.27297040513602344</v>
      </c>
      <c r="AE20" s="36">
        <v>0.1742734115877356</v>
      </c>
      <c r="AF20" s="36">
        <v>0.73694014246263462</v>
      </c>
      <c r="AG20" s="36">
        <v>0.13977218758873</v>
      </c>
      <c r="AH20" s="36">
        <v>0.13977218758873</v>
      </c>
      <c r="AI20" s="36">
        <v>0.14689244683752281</v>
      </c>
      <c r="AJ20" s="36">
        <v>0.2046723886554935</v>
      </c>
      <c r="AK20" s="36">
        <v>0.36847007123131731</v>
      </c>
      <c r="AM20" s="36">
        <v>18</v>
      </c>
      <c r="AN20" s="36">
        <v>539</v>
      </c>
    </row>
    <row r="21" spans="2:40" x14ac:dyDescent="0.15">
      <c r="B21" s="88">
        <v>16</v>
      </c>
      <c r="C21" s="88">
        <v>18</v>
      </c>
      <c r="D21" s="89">
        <f t="shared" si="2"/>
        <v>2</v>
      </c>
      <c r="E21" s="89">
        <f t="shared" si="3"/>
        <v>2</v>
      </c>
      <c r="F21" s="89">
        <f t="shared" si="4"/>
        <v>2</v>
      </c>
      <c r="G21" s="89">
        <f t="shared" si="5"/>
        <v>2</v>
      </c>
      <c r="H21" s="89">
        <f t="shared" si="6"/>
        <v>2</v>
      </c>
      <c r="I21" s="89">
        <f t="shared" si="7"/>
        <v>2</v>
      </c>
      <c r="J21" s="89">
        <f t="shared" si="8"/>
        <v>2</v>
      </c>
      <c r="K21" s="89">
        <f t="shared" si="9"/>
        <v>3</v>
      </c>
      <c r="L21" s="89">
        <f t="shared" si="10"/>
        <v>2</v>
      </c>
      <c r="M21" s="89">
        <f t="shared" si="11"/>
        <v>2</v>
      </c>
      <c r="N21" s="89">
        <f t="shared" si="12"/>
        <v>2</v>
      </c>
      <c r="O21" s="89">
        <f t="shared" si="13"/>
        <v>2</v>
      </c>
      <c r="P21" s="89">
        <f t="shared" si="14"/>
        <v>2</v>
      </c>
      <c r="Q21" s="89">
        <f t="shared" si="15"/>
        <v>2</v>
      </c>
      <c r="R21" s="89">
        <f t="shared" si="16"/>
        <v>2</v>
      </c>
      <c r="S21" s="89">
        <f t="shared" si="17"/>
        <v>2</v>
      </c>
      <c r="T21" s="89">
        <f t="shared" si="18"/>
        <v>2</v>
      </c>
      <c r="U21" s="89">
        <f t="shared" si="19"/>
        <v>2</v>
      </c>
      <c r="V21" s="89">
        <f t="shared" si="20"/>
        <v>2</v>
      </c>
      <c r="W21" s="89">
        <f t="shared" si="21"/>
        <v>2</v>
      </c>
      <c r="X21" s="89">
        <f t="shared" si="22"/>
        <v>2</v>
      </c>
      <c r="Y21" s="89">
        <f t="shared" si="23"/>
        <v>2</v>
      </c>
      <c r="Z21" s="89">
        <f t="shared" si="24"/>
        <v>2</v>
      </c>
      <c r="AA21" s="89">
        <f t="shared" si="25"/>
        <v>2</v>
      </c>
      <c r="AC21" s="36">
        <v>19</v>
      </c>
      <c r="AD21" s="36">
        <f t="shared" si="0"/>
        <v>0.28154195485873934</v>
      </c>
      <c r="AE21" s="36">
        <v>0.18130286091511405</v>
      </c>
      <c r="AF21" s="36">
        <v>0.76607388287515821</v>
      </c>
      <c r="AG21" s="36">
        <v>0.139943315812667</v>
      </c>
      <c r="AH21" s="36">
        <v>0.139943315812667</v>
      </c>
      <c r="AI21" s="36">
        <v>0.15063355946908547</v>
      </c>
      <c r="AJ21" s="36">
        <v>0.20985980768890439</v>
      </c>
      <c r="AK21" s="36">
        <v>0.3830369414375791</v>
      </c>
      <c r="AM21" s="36">
        <v>19</v>
      </c>
      <c r="AN21" s="36">
        <v>566</v>
      </c>
    </row>
    <row r="22" spans="2:40" x14ac:dyDescent="0.15">
      <c r="B22" s="88">
        <v>17</v>
      </c>
      <c r="C22" s="88">
        <v>20</v>
      </c>
      <c r="D22" s="89">
        <f t="shared" si="2"/>
        <v>2</v>
      </c>
      <c r="E22" s="89">
        <f t="shared" si="3"/>
        <v>2</v>
      </c>
      <c r="F22" s="89">
        <f t="shared" si="4"/>
        <v>2</v>
      </c>
      <c r="G22" s="89">
        <f t="shared" si="5"/>
        <v>2</v>
      </c>
      <c r="H22" s="89">
        <f t="shared" si="6"/>
        <v>2</v>
      </c>
      <c r="I22" s="89">
        <f t="shared" si="7"/>
        <v>2</v>
      </c>
      <c r="J22" s="89">
        <f t="shared" si="8"/>
        <v>2</v>
      </c>
      <c r="K22" s="89">
        <f t="shared" si="9"/>
        <v>3</v>
      </c>
      <c r="L22" s="89">
        <f t="shared" si="10"/>
        <v>3</v>
      </c>
      <c r="M22" s="89">
        <f t="shared" si="11"/>
        <v>2</v>
      </c>
      <c r="N22" s="89">
        <f t="shared" si="12"/>
        <v>2</v>
      </c>
      <c r="O22" s="89">
        <f t="shared" si="13"/>
        <v>2</v>
      </c>
      <c r="P22" s="89">
        <f t="shared" si="14"/>
        <v>2</v>
      </c>
      <c r="Q22" s="89">
        <f t="shared" si="15"/>
        <v>2</v>
      </c>
      <c r="R22" s="89">
        <f t="shared" si="16"/>
        <v>2</v>
      </c>
      <c r="S22" s="89">
        <f t="shared" si="17"/>
        <v>2</v>
      </c>
      <c r="T22" s="89">
        <f t="shared" si="18"/>
        <v>2</v>
      </c>
      <c r="U22" s="89">
        <f t="shared" si="19"/>
        <v>2</v>
      </c>
      <c r="V22" s="89">
        <f t="shared" si="20"/>
        <v>2</v>
      </c>
      <c r="W22" s="89">
        <f t="shared" si="21"/>
        <v>2</v>
      </c>
      <c r="X22" s="89">
        <f t="shared" si="22"/>
        <v>2</v>
      </c>
      <c r="Y22" s="89">
        <f t="shared" si="23"/>
        <v>2</v>
      </c>
      <c r="Z22" s="89">
        <f t="shared" si="24"/>
        <v>2</v>
      </c>
      <c r="AA22" s="89">
        <f t="shared" si="25"/>
        <v>2</v>
      </c>
      <c r="AC22" s="36">
        <v>20</v>
      </c>
      <c r="AD22" s="36">
        <f t="shared" si="0"/>
        <v>0.2898353318320866</v>
      </c>
      <c r="AE22" s="36">
        <v>0.18651769432328252</v>
      </c>
      <c r="AF22" s="36">
        <v>0.79458694055641166</v>
      </c>
      <c r="AG22" s="36">
        <v>0.140114444036605</v>
      </c>
      <c r="AH22" s="36">
        <v>0.140114444036605</v>
      </c>
      <c r="AI22" s="36">
        <v>0.1528561209306481</v>
      </c>
      <c r="AJ22" s="36">
        <v>0.21736420866284825</v>
      </c>
      <c r="AK22" s="36">
        <v>0.39729347027820583</v>
      </c>
      <c r="AM22" s="36">
        <v>20</v>
      </c>
      <c r="AN22" s="36">
        <v>592</v>
      </c>
    </row>
    <row r="23" spans="2:40" x14ac:dyDescent="0.15">
      <c r="B23" s="88">
        <v>18</v>
      </c>
      <c r="C23" s="88">
        <v>22</v>
      </c>
      <c r="D23" s="89">
        <f t="shared" si="2"/>
        <v>3</v>
      </c>
      <c r="E23" s="89">
        <f t="shared" si="3"/>
        <v>4</v>
      </c>
      <c r="F23" s="89">
        <f t="shared" si="4"/>
        <v>3</v>
      </c>
      <c r="G23" s="89">
        <f t="shared" si="5"/>
        <v>3</v>
      </c>
      <c r="H23" s="89">
        <f t="shared" si="6"/>
        <v>3</v>
      </c>
      <c r="I23" s="89">
        <f t="shared" si="7"/>
        <v>3</v>
      </c>
      <c r="J23" s="89">
        <f t="shared" si="8"/>
        <v>3</v>
      </c>
      <c r="K23" s="89">
        <f t="shared" si="9"/>
        <v>4</v>
      </c>
      <c r="L23" s="89">
        <f t="shared" si="10"/>
        <v>4</v>
      </c>
      <c r="M23" s="89">
        <f t="shared" si="11"/>
        <v>3</v>
      </c>
      <c r="N23" s="89">
        <f t="shared" si="12"/>
        <v>3</v>
      </c>
      <c r="O23" s="89">
        <f t="shared" si="13"/>
        <v>3</v>
      </c>
      <c r="P23" s="89">
        <f t="shared" si="14"/>
        <v>3</v>
      </c>
      <c r="Q23" s="89">
        <f t="shared" si="15"/>
        <v>4</v>
      </c>
      <c r="R23" s="89">
        <f t="shared" si="16"/>
        <v>3</v>
      </c>
      <c r="S23" s="89">
        <f t="shared" si="17"/>
        <v>3</v>
      </c>
      <c r="T23" s="89">
        <f t="shared" si="18"/>
        <v>3</v>
      </c>
      <c r="U23" s="89">
        <f t="shared" si="19"/>
        <v>3</v>
      </c>
      <c r="V23" s="89">
        <f t="shared" si="20"/>
        <v>3</v>
      </c>
      <c r="W23" s="89">
        <f t="shared" si="21"/>
        <v>3</v>
      </c>
      <c r="X23" s="89">
        <f t="shared" si="22"/>
        <v>3</v>
      </c>
      <c r="Y23" s="89">
        <f t="shared" si="23"/>
        <v>3</v>
      </c>
      <c r="Z23" s="89">
        <f t="shared" si="24"/>
        <v>3</v>
      </c>
      <c r="AA23" s="89">
        <f t="shared" si="25"/>
        <v>3</v>
      </c>
      <c r="AC23" s="36">
        <v>21</v>
      </c>
      <c r="AD23" s="36">
        <f t="shared" si="0"/>
        <v>0.29877152608774621</v>
      </c>
      <c r="AE23" s="36">
        <v>0.19245722804404491</v>
      </c>
      <c r="AF23" s="36">
        <v>0.823864253189179</v>
      </c>
      <c r="AG23" s="36">
        <v>0.140285572260542</v>
      </c>
      <c r="AH23" s="36">
        <v>0.140285572260542</v>
      </c>
      <c r="AI23" s="36">
        <v>0.15516797077148384</v>
      </c>
      <c r="AJ23" s="36">
        <v>0.22740795949384179</v>
      </c>
      <c r="AK23" s="36">
        <v>0.4119321265945895</v>
      </c>
      <c r="AM23" s="36">
        <v>21</v>
      </c>
      <c r="AN23" s="36">
        <v>619</v>
      </c>
    </row>
    <row r="24" spans="2:40" x14ac:dyDescent="0.15">
      <c r="B24" s="88">
        <v>19</v>
      </c>
      <c r="C24" s="88">
        <v>24</v>
      </c>
      <c r="D24" s="89">
        <f t="shared" si="2"/>
        <v>3</v>
      </c>
      <c r="E24" s="89">
        <f t="shared" si="3"/>
        <v>4</v>
      </c>
      <c r="F24" s="89">
        <f t="shared" si="4"/>
        <v>3</v>
      </c>
      <c r="G24" s="89">
        <f t="shared" si="5"/>
        <v>3</v>
      </c>
      <c r="H24" s="89">
        <f t="shared" si="6"/>
        <v>3</v>
      </c>
      <c r="I24" s="89">
        <f t="shared" si="7"/>
        <v>3</v>
      </c>
      <c r="J24" s="89">
        <f t="shared" si="8"/>
        <v>3</v>
      </c>
      <c r="K24" s="89">
        <f t="shared" si="9"/>
        <v>4</v>
      </c>
      <c r="L24" s="89">
        <f t="shared" si="10"/>
        <v>4</v>
      </c>
      <c r="M24" s="89">
        <f t="shared" si="11"/>
        <v>3</v>
      </c>
      <c r="N24" s="89">
        <f t="shared" si="12"/>
        <v>4</v>
      </c>
      <c r="O24" s="89">
        <f t="shared" si="13"/>
        <v>3</v>
      </c>
      <c r="P24" s="89">
        <f t="shared" si="14"/>
        <v>3</v>
      </c>
      <c r="Q24" s="89">
        <f t="shared" si="15"/>
        <v>4</v>
      </c>
      <c r="R24" s="89">
        <f t="shared" si="16"/>
        <v>3</v>
      </c>
      <c r="S24" s="89">
        <f t="shared" si="17"/>
        <v>3</v>
      </c>
      <c r="T24" s="89">
        <f t="shared" si="18"/>
        <v>3</v>
      </c>
      <c r="U24" s="89">
        <f t="shared" si="19"/>
        <v>3</v>
      </c>
      <c r="V24" s="89">
        <f t="shared" si="20"/>
        <v>3</v>
      </c>
      <c r="W24" s="89">
        <f t="shared" si="21"/>
        <v>3</v>
      </c>
      <c r="X24" s="89">
        <f t="shared" si="22"/>
        <v>3</v>
      </c>
      <c r="Y24" s="89">
        <f t="shared" si="23"/>
        <v>3</v>
      </c>
      <c r="Z24" s="89">
        <f t="shared" si="24"/>
        <v>3</v>
      </c>
      <c r="AA24" s="89">
        <f t="shared" si="25"/>
        <v>3</v>
      </c>
      <c r="AC24" s="36">
        <v>22</v>
      </c>
      <c r="AD24" s="36">
        <f t="shared" si="0"/>
        <v>0.30738025888790999</v>
      </c>
      <c r="AE24" s="36">
        <v>0.19906533143937788</v>
      </c>
      <c r="AF24" s="36">
        <v>0.85418536951753643</v>
      </c>
      <c r="AG24" s="36">
        <v>0.140456700484479</v>
      </c>
      <c r="AH24" s="36">
        <v>0.140456700484479</v>
      </c>
      <c r="AI24" s="36">
        <v>0.1575431221907222</v>
      </c>
      <c r="AJ24" s="36">
        <v>0.23286190334000689</v>
      </c>
      <c r="AK24" s="36">
        <v>0.42709268475876822</v>
      </c>
      <c r="AM24" s="36">
        <v>22</v>
      </c>
      <c r="AN24" s="36">
        <v>646</v>
      </c>
    </row>
    <row r="25" spans="2:40" x14ac:dyDescent="0.15">
      <c r="B25" s="88">
        <v>20</v>
      </c>
      <c r="C25" s="88">
        <v>26</v>
      </c>
      <c r="D25" s="89">
        <f t="shared" si="2"/>
        <v>3</v>
      </c>
      <c r="E25" s="89">
        <f t="shared" si="3"/>
        <v>4</v>
      </c>
      <c r="F25" s="89">
        <f t="shared" si="4"/>
        <v>3</v>
      </c>
      <c r="G25" s="89">
        <f t="shared" si="5"/>
        <v>3</v>
      </c>
      <c r="H25" s="89">
        <f t="shared" si="6"/>
        <v>3</v>
      </c>
      <c r="I25" s="89">
        <f t="shared" si="7"/>
        <v>3</v>
      </c>
      <c r="J25" s="89">
        <f t="shared" si="8"/>
        <v>3</v>
      </c>
      <c r="K25" s="89">
        <f t="shared" si="9"/>
        <v>5</v>
      </c>
      <c r="L25" s="89">
        <f t="shared" si="10"/>
        <v>4</v>
      </c>
      <c r="M25" s="89">
        <f t="shared" si="11"/>
        <v>3</v>
      </c>
      <c r="N25" s="89">
        <f t="shared" si="12"/>
        <v>4</v>
      </c>
      <c r="O25" s="89">
        <f t="shared" si="13"/>
        <v>3</v>
      </c>
      <c r="P25" s="89">
        <f t="shared" si="14"/>
        <v>3</v>
      </c>
      <c r="Q25" s="89">
        <f t="shared" si="15"/>
        <v>4</v>
      </c>
      <c r="R25" s="89">
        <f t="shared" si="16"/>
        <v>3</v>
      </c>
      <c r="S25" s="89">
        <f t="shared" si="17"/>
        <v>3</v>
      </c>
      <c r="T25" s="89">
        <f t="shared" si="18"/>
        <v>4</v>
      </c>
      <c r="U25" s="89">
        <f t="shared" si="19"/>
        <v>3</v>
      </c>
      <c r="V25" s="89">
        <f t="shared" si="20"/>
        <v>3</v>
      </c>
      <c r="W25" s="89">
        <f t="shared" si="21"/>
        <v>3</v>
      </c>
      <c r="X25" s="89">
        <f t="shared" si="22"/>
        <v>3</v>
      </c>
      <c r="Y25" s="89">
        <f t="shared" si="23"/>
        <v>3</v>
      </c>
      <c r="Z25" s="89">
        <f t="shared" si="24"/>
        <v>3</v>
      </c>
      <c r="AA25" s="89">
        <f t="shared" si="25"/>
        <v>3</v>
      </c>
      <c r="AC25" s="36">
        <v>23</v>
      </c>
      <c r="AD25" s="36">
        <f t="shared" si="0"/>
        <v>0.31609865634447576</v>
      </c>
      <c r="AE25" s="36">
        <v>0.20449186123961785</v>
      </c>
      <c r="AF25" s="36">
        <v>0.88411588478467873</v>
      </c>
      <c r="AG25" s="36">
        <v>0.140627828708416</v>
      </c>
      <c r="AH25" s="36">
        <v>0.140627828708416</v>
      </c>
      <c r="AI25" s="36">
        <v>0.16027376708807733</v>
      </c>
      <c r="AJ25" s="36">
        <v>0.24049548148978483</v>
      </c>
      <c r="AK25" s="36">
        <v>0.44205794239233936</v>
      </c>
      <c r="AM25" s="36">
        <v>23</v>
      </c>
      <c r="AN25" s="36">
        <v>672</v>
      </c>
    </row>
    <row r="26" spans="2:40" x14ac:dyDescent="0.15">
      <c r="B26" s="88">
        <v>21</v>
      </c>
      <c r="C26" s="88">
        <v>7</v>
      </c>
      <c r="D26" s="90">
        <f t="shared" si="2"/>
        <v>3</v>
      </c>
      <c r="E26" s="90">
        <f t="shared" si="3"/>
        <v>3</v>
      </c>
      <c r="F26" s="90">
        <f t="shared" si="4"/>
        <v>3</v>
      </c>
      <c r="G26" s="90">
        <f t="shared" si="5"/>
        <v>3</v>
      </c>
      <c r="H26" s="90">
        <f t="shared" si="6"/>
        <v>3</v>
      </c>
      <c r="I26" s="90">
        <f t="shared" si="7"/>
        <v>3</v>
      </c>
      <c r="J26" s="90">
        <f t="shared" si="8"/>
        <v>3</v>
      </c>
      <c r="K26" s="90">
        <f t="shared" si="9"/>
        <v>3</v>
      </c>
      <c r="L26" s="90">
        <f t="shared" si="10"/>
        <v>3</v>
      </c>
      <c r="M26" s="90">
        <f t="shared" si="11"/>
        <v>3</v>
      </c>
      <c r="N26" s="90">
        <f t="shared" si="12"/>
        <v>3</v>
      </c>
      <c r="O26" s="90">
        <f t="shared" si="13"/>
        <v>3</v>
      </c>
      <c r="P26" s="90">
        <f t="shared" si="14"/>
        <v>3</v>
      </c>
      <c r="Q26" s="90">
        <f t="shared" si="15"/>
        <v>3</v>
      </c>
      <c r="R26" s="90">
        <f t="shared" si="16"/>
        <v>3</v>
      </c>
      <c r="S26" s="90">
        <f t="shared" si="17"/>
        <v>3</v>
      </c>
      <c r="T26" s="90">
        <f t="shared" si="18"/>
        <v>3</v>
      </c>
      <c r="U26" s="90">
        <f t="shared" si="19"/>
        <v>3</v>
      </c>
      <c r="V26" s="90">
        <f t="shared" si="20"/>
        <v>3</v>
      </c>
      <c r="W26" s="90">
        <f t="shared" si="21"/>
        <v>3</v>
      </c>
      <c r="X26" s="90">
        <f t="shared" si="22"/>
        <v>3</v>
      </c>
      <c r="Y26" s="90">
        <f t="shared" si="23"/>
        <v>3</v>
      </c>
      <c r="Z26" s="90">
        <f t="shared" si="24"/>
        <v>3</v>
      </c>
      <c r="AA26" s="90">
        <f t="shared" si="25"/>
        <v>3</v>
      </c>
      <c r="AC26" s="36">
        <v>24</v>
      </c>
      <c r="AD26" s="36">
        <f t="shared" si="0"/>
        <v>0.32443405168127015</v>
      </c>
      <c r="AE26" s="36">
        <v>0.21081881613346234</v>
      </c>
      <c r="AF26" s="36">
        <v>0.9137335692040951</v>
      </c>
      <c r="AG26" s="36">
        <v>0.140798956932354</v>
      </c>
      <c r="AH26" s="36">
        <v>0.140798956932354</v>
      </c>
      <c r="AI26" s="36">
        <v>0.162310939171977</v>
      </c>
      <c r="AJ26" s="36">
        <v>0.24571033879260126</v>
      </c>
      <c r="AK26" s="36">
        <v>0.45686678460204755</v>
      </c>
      <c r="AM26" s="36">
        <v>24</v>
      </c>
      <c r="AN26" s="36">
        <v>698</v>
      </c>
    </row>
    <row r="27" spans="2:40" x14ac:dyDescent="0.15">
      <c r="B27" s="88">
        <v>22</v>
      </c>
      <c r="C27" s="88">
        <v>10</v>
      </c>
      <c r="D27" s="90">
        <f t="shared" si="2"/>
        <v>3</v>
      </c>
      <c r="E27" s="90">
        <f t="shared" si="3"/>
        <v>3</v>
      </c>
      <c r="F27" s="90">
        <f t="shared" si="4"/>
        <v>3</v>
      </c>
      <c r="G27" s="90">
        <f t="shared" si="5"/>
        <v>3</v>
      </c>
      <c r="H27" s="90">
        <f t="shared" si="6"/>
        <v>3</v>
      </c>
      <c r="I27" s="90">
        <f t="shared" si="7"/>
        <v>3</v>
      </c>
      <c r="J27" s="90">
        <f t="shared" si="8"/>
        <v>3</v>
      </c>
      <c r="K27" s="90">
        <f t="shared" si="9"/>
        <v>3</v>
      </c>
      <c r="L27" s="90">
        <f t="shared" si="10"/>
        <v>3</v>
      </c>
      <c r="M27" s="90">
        <f t="shared" si="11"/>
        <v>3</v>
      </c>
      <c r="N27" s="90">
        <f t="shared" si="12"/>
        <v>3</v>
      </c>
      <c r="O27" s="90">
        <f t="shared" si="13"/>
        <v>3</v>
      </c>
      <c r="P27" s="90">
        <f t="shared" si="14"/>
        <v>3</v>
      </c>
      <c r="Q27" s="90">
        <f t="shared" si="15"/>
        <v>3</v>
      </c>
      <c r="R27" s="90">
        <f t="shared" si="16"/>
        <v>3</v>
      </c>
      <c r="S27" s="90">
        <f t="shared" si="17"/>
        <v>3</v>
      </c>
      <c r="T27" s="90">
        <f t="shared" si="18"/>
        <v>3</v>
      </c>
      <c r="U27" s="90">
        <f t="shared" si="19"/>
        <v>3</v>
      </c>
      <c r="V27" s="90">
        <f t="shared" si="20"/>
        <v>3</v>
      </c>
      <c r="W27" s="90">
        <f t="shared" si="21"/>
        <v>3</v>
      </c>
      <c r="X27" s="90">
        <f t="shared" si="22"/>
        <v>3</v>
      </c>
      <c r="Y27" s="90">
        <f t="shared" si="23"/>
        <v>3</v>
      </c>
      <c r="Z27" s="90">
        <f t="shared" si="24"/>
        <v>3</v>
      </c>
      <c r="AA27" s="90">
        <f t="shared" si="25"/>
        <v>3</v>
      </c>
      <c r="AC27" s="36">
        <v>25</v>
      </c>
      <c r="AD27" s="36">
        <f t="shared" si="0"/>
        <v>0.33356866569155846</v>
      </c>
      <c r="AE27" s="36">
        <v>0.21677656932788653</v>
      </c>
      <c r="AF27" s="36">
        <v>0.94418252671679326</v>
      </c>
      <c r="AG27" s="36">
        <v>0.140970085156291</v>
      </c>
      <c r="AH27" s="36">
        <v>0.140970085156291</v>
      </c>
      <c r="AI27" s="36">
        <v>0.16440809269979556</v>
      </c>
      <c r="AJ27" s="36">
        <v>0.25558203742545565</v>
      </c>
      <c r="AK27" s="36">
        <v>0.47209126335839663</v>
      </c>
      <c r="AM27" s="36">
        <v>25</v>
      </c>
      <c r="AN27" s="36">
        <v>724</v>
      </c>
    </row>
    <row r="28" spans="2:40" x14ac:dyDescent="0.15">
      <c r="B28" s="88">
        <v>23</v>
      </c>
      <c r="C28" s="88">
        <v>12</v>
      </c>
      <c r="D28" s="90">
        <f t="shared" si="2"/>
        <v>3</v>
      </c>
      <c r="E28" s="90">
        <f t="shared" si="3"/>
        <v>3</v>
      </c>
      <c r="F28" s="90">
        <f t="shared" si="4"/>
        <v>3</v>
      </c>
      <c r="G28" s="90">
        <f t="shared" si="5"/>
        <v>3</v>
      </c>
      <c r="H28" s="90">
        <f t="shared" si="6"/>
        <v>3</v>
      </c>
      <c r="I28" s="90">
        <f t="shared" si="7"/>
        <v>3</v>
      </c>
      <c r="J28" s="90">
        <f t="shared" si="8"/>
        <v>3</v>
      </c>
      <c r="K28" s="90">
        <f t="shared" si="9"/>
        <v>4</v>
      </c>
      <c r="L28" s="90">
        <f t="shared" si="10"/>
        <v>3</v>
      </c>
      <c r="M28" s="90">
        <f t="shared" si="11"/>
        <v>3</v>
      </c>
      <c r="N28" s="90">
        <f t="shared" si="12"/>
        <v>3</v>
      </c>
      <c r="O28" s="90">
        <f t="shared" si="13"/>
        <v>3</v>
      </c>
      <c r="P28" s="90">
        <f t="shared" si="14"/>
        <v>3</v>
      </c>
      <c r="Q28" s="90">
        <f t="shared" si="15"/>
        <v>3</v>
      </c>
      <c r="R28" s="90">
        <f t="shared" si="16"/>
        <v>3</v>
      </c>
      <c r="S28" s="90">
        <f t="shared" si="17"/>
        <v>3</v>
      </c>
      <c r="T28" s="90">
        <f t="shared" si="18"/>
        <v>3</v>
      </c>
      <c r="U28" s="90">
        <f t="shared" si="19"/>
        <v>3</v>
      </c>
      <c r="V28" s="90">
        <f t="shared" si="20"/>
        <v>3</v>
      </c>
      <c r="W28" s="90">
        <f t="shared" si="21"/>
        <v>3</v>
      </c>
      <c r="X28" s="90">
        <f t="shared" si="22"/>
        <v>3</v>
      </c>
      <c r="Y28" s="90">
        <f t="shared" si="23"/>
        <v>3</v>
      </c>
      <c r="Z28" s="90">
        <f t="shared" si="24"/>
        <v>3</v>
      </c>
      <c r="AA28" s="90">
        <f t="shared" si="25"/>
        <v>3</v>
      </c>
      <c r="AC28" s="36">
        <v>26</v>
      </c>
      <c r="AD28" s="36">
        <f t="shared" si="0"/>
        <v>0.34177184891459894</v>
      </c>
      <c r="AE28" s="36">
        <v>0.22262200790198272</v>
      </c>
      <c r="AF28" s="36">
        <v>0.97436014783508329</v>
      </c>
      <c r="AG28" s="36">
        <v>0.141141213380228</v>
      </c>
      <c r="AH28" s="36">
        <v>0.141141213380228</v>
      </c>
      <c r="AI28" s="36">
        <v>0.16729172345392715</v>
      </c>
      <c r="AJ28" s="36">
        <v>0.2586665625332018</v>
      </c>
      <c r="AK28" s="36">
        <v>0.48718007391754165</v>
      </c>
      <c r="AM28" s="36">
        <v>26</v>
      </c>
      <c r="AN28" s="36">
        <v>750</v>
      </c>
    </row>
    <row r="29" spans="2:40" x14ac:dyDescent="0.15">
      <c r="B29" s="88">
        <v>24</v>
      </c>
      <c r="C29" s="88">
        <v>14</v>
      </c>
      <c r="D29" s="90">
        <f t="shared" si="2"/>
        <v>3</v>
      </c>
      <c r="E29" s="90">
        <f t="shared" si="3"/>
        <v>3</v>
      </c>
      <c r="F29" s="90">
        <f t="shared" si="4"/>
        <v>3</v>
      </c>
      <c r="G29" s="90">
        <f t="shared" si="5"/>
        <v>3</v>
      </c>
      <c r="H29" s="90">
        <f t="shared" si="6"/>
        <v>3</v>
      </c>
      <c r="I29" s="90">
        <f t="shared" si="7"/>
        <v>3</v>
      </c>
      <c r="J29" s="90">
        <f t="shared" si="8"/>
        <v>3</v>
      </c>
      <c r="K29" s="90">
        <f t="shared" si="9"/>
        <v>4</v>
      </c>
      <c r="L29" s="90">
        <f t="shared" si="10"/>
        <v>3</v>
      </c>
      <c r="M29" s="90">
        <f t="shared" si="11"/>
        <v>3</v>
      </c>
      <c r="N29" s="90">
        <f t="shared" si="12"/>
        <v>3</v>
      </c>
      <c r="O29" s="90">
        <f t="shared" si="13"/>
        <v>3</v>
      </c>
      <c r="P29" s="90">
        <f t="shared" si="14"/>
        <v>3</v>
      </c>
      <c r="Q29" s="90">
        <f t="shared" si="15"/>
        <v>3</v>
      </c>
      <c r="R29" s="90">
        <f t="shared" si="16"/>
        <v>3</v>
      </c>
      <c r="S29" s="90">
        <f t="shared" si="17"/>
        <v>3</v>
      </c>
      <c r="T29" s="90">
        <f t="shared" si="18"/>
        <v>3</v>
      </c>
      <c r="U29" s="90">
        <f t="shared" si="19"/>
        <v>3</v>
      </c>
      <c r="V29" s="90">
        <f t="shared" si="20"/>
        <v>3</v>
      </c>
      <c r="W29" s="90">
        <f t="shared" si="21"/>
        <v>3</v>
      </c>
      <c r="X29" s="90">
        <f t="shared" si="22"/>
        <v>3</v>
      </c>
      <c r="Y29" s="90">
        <f t="shared" si="23"/>
        <v>3</v>
      </c>
      <c r="Z29" s="90">
        <f t="shared" si="24"/>
        <v>3</v>
      </c>
      <c r="AA29" s="90">
        <f t="shared" si="25"/>
        <v>3</v>
      </c>
      <c r="AC29" s="36">
        <v>27</v>
      </c>
      <c r="AD29" s="36">
        <f t="shared" si="0"/>
        <v>0.3506853096647658</v>
      </c>
      <c r="AE29" s="36">
        <v>0.22859616974758135</v>
      </c>
      <c r="AF29" s="36">
        <v>1.0053206352587207</v>
      </c>
      <c r="AG29" s="36">
        <v>0.141312341604165</v>
      </c>
      <c r="AH29" s="36">
        <v>0.141312341604165</v>
      </c>
      <c r="AI29" s="36">
        <v>0.16926878587244601</v>
      </c>
      <c r="AJ29" s="36">
        <v>0.26632657593692205</v>
      </c>
      <c r="AK29" s="36">
        <v>0.50266031762936036</v>
      </c>
      <c r="AM29" s="36">
        <v>27</v>
      </c>
      <c r="AN29" s="36">
        <v>776</v>
      </c>
    </row>
    <row r="30" spans="2:40" x14ac:dyDescent="0.15">
      <c r="B30" s="88">
        <v>25</v>
      </c>
      <c r="C30" s="88">
        <v>16</v>
      </c>
      <c r="D30" s="90">
        <f t="shared" si="2"/>
        <v>3</v>
      </c>
      <c r="E30" s="90">
        <f t="shared" si="3"/>
        <v>3</v>
      </c>
      <c r="F30" s="90">
        <f t="shared" si="4"/>
        <v>3</v>
      </c>
      <c r="G30" s="90">
        <f t="shared" si="5"/>
        <v>3</v>
      </c>
      <c r="H30" s="90">
        <f t="shared" si="6"/>
        <v>3</v>
      </c>
      <c r="I30" s="90">
        <f t="shared" si="7"/>
        <v>3</v>
      </c>
      <c r="J30" s="90">
        <f t="shared" si="8"/>
        <v>3</v>
      </c>
      <c r="K30" s="90">
        <f t="shared" si="9"/>
        <v>4</v>
      </c>
      <c r="L30" s="90">
        <f t="shared" si="10"/>
        <v>4</v>
      </c>
      <c r="M30" s="90">
        <f t="shared" si="11"/>
        <v>3</v>
      </c>
      <c r="N30" s="90">
        <f t="shared" si="12"/>
        <v>3</v>
      </c>
      <c r="O30" s="90">
        <f t="shared" si="13"/>
        <v>3</v>
      </c>
      <c r="P30" s="90">
        <f t="shared" si="14"/>
        <v>3</v>
      </c>
      <c r="Q30" s="90">
        <f t="shared" si="15"/>
        <v>4</v>
      </c>
      <c r="R30" s="90">
        <f t="shared" si="16"/>
        <v>3</v>
      </c>
      <c r="S30" s="90">
        <f t="shared" si="17"/>
        <v>3</v>
      </c>
      <c r="T30" s="90">
        <f t="shared" si="18"/>
        <v>3</v>
      </c>
      <c r="U30" s="90">
        <f t="shared" si="19"/>
        <v>3</v>
      </c>
      <c r="V30" s="90">
        <f t="shared" si="20"/>
        <v>3</v>
      </c>
      <c r="W30" s="90">
        <f t="shared" si="21"/>
        <v>3</v>
      </c>
      <c r="X30" s="90">
        <f t="shared" si="22"/>
        <v>3</v>
      </c>
      <c r="Y30" s="90">
        <f t="shared" si="23"/>
        <v>3</v>
      </c>
      <c r="Z30" s="90">
        <f t="shared" si="24"/>
        <v>3</v>
      </c>
      <c r="AA30" s="90">
        <f t="shared" si="25"/>
        <v>3</v>
      </c>
      <c r="AC30" s="36">
        <v>28</v>
      </c>
      <c r="AD30" s="36">
        <f t="shared" si="0"/>
        <v>0.36001095584369136</v>
      </c>
      <c r="AE30" s="36">
        <v>0.23457530304658708</v>
      </c>
      <c r="AF30" s="36">
        <v>1.0365263626283086</v>
      </c>
      <c r="AG30" s="36">
        <v>0.14148346982810273</v>
      </c>
      <c r="AH30" s="36">
        <v>0.14148346982810273</v>
      </c>
      <c r="AI30" s="36">
        <v>0.17162857586251068</v>
      </c>
      <c r="AJ30" s="36">
        <v>0.27611632839807354</v>
      </c>
      <c r="AK30" s="36">
        <v>0.51826318131415428</v>
      </c>
      <c r="AM30" s="36">
        <v>28</v>
      </c>
      <c r="AN30" s="36">
        <v>802</v>
      </c>
    </row>
    <row r="31" spans="2:40" x14ac:dyDescent="0.15">
      <c r="B31" s="88">
        <v>26</v>
      </c>
      <c r="C31" s="88">
        <v>18</v>
      </c>
      <c r="D31" s="90">
        <f t="shared" si="2"/>
        <v>3</v>
      </c>
      <c r="E31" s="90">
        <f t="shared" si="3"/>
        <v>4</v>
      </c>
      <c r="F31" s="90">
        <f t="shared" si="4"/>
        <v>3</v>
      </c>
      <c r="G31" s="90">
        <f t="shared" si="5"/>
        <v>3</v>
      </c>
      <c r="H31" s="90">
        <f t="shared" si="6"/>
        <v>3</v>
      </c>
      <c r="I31" s="90">
        <f t="shared" si="7"/>
        <v>3</v>
      </c>
      <c r="J31" s="90">
        <f t="shared" si="8"/>
        <v>3</v>
      </c>
      <c r="K31" s="90">
        <f t="shared" si="9"/>
        <v>4</v>
      </c>
      <c r="L31" s="90">
        <f t="shared" si="10"/>
        <v>4</v>
      </c>
      <c r="M31" s="90">
        <f t="shared" si="11"/>
        <v>3</v>
      </c>
      <c r="N31" s="90">
        <f t="shared" si="12"/>
        <v>3</v>
      </c>
      <c r="O31" s="90">
        <f t="shared" si="13"/>
        <v>3</v>
      </c>
      <c r="P31" s="90">
        <f t="shared" si="14"/>
        <v>3</v>
      </c>
      <c r="Q31" s="90">
        <f t="shared" si="15"/>
        <v>4</v>
      </c>
      <c r="R31" s="90">
        <f t="shared" si="16"/>
        <v>3</v>
      </c>
      <c r="S31" s="90">
        <f t="shared" si="17"/>
        <v>3</v>
      </c>
      <c r="T31" s="90">
        <f t="shared" si="18"/>
        <v>3</v>
      </c>
      <c r="U31" s="90">
        <f t="shared" si="19"/>
        <v>3</v>
      </c>
      <c r="V31" s="90">
        <f t="shared" si="20"/>
        <v>3</v>
      </c>
      <c r="W31" s="90">
        <f t="shared" si="21"/>
        <v>3</v>
      </c>
      <c r="X31" s="90">
        <f t="shared" si="22"/>
        <v>3</v>
      </c>
      <c r="Y31" s="90">
        <f t="shared" si="23"/>
        <v>3</v>
      </c>
      <c r="Z31" s="90">
        <f t="shared" si="24"/>
        <v>3</v>
      </c>
      <c r="AA31" s="90">
        <f t="shared" si="25"/>
        <v>3</v>
      </c>
      <c r="AC31" s="36">
        <v>29</v>
      </c>
      <c r="AD31" s="36">
        <f t="shared" si="0"/>
        <v>0.36868197216322579</v>
      </c>
      <c r="AE31" s="36">
        <v>0.24103174545732478</v>
      </c>
      <c r="AF31" s="36">
        <v>1.0678122253038744</v>
      </c>
      <c r="AG31" s="36">
        <v>0.14165459805204</v>
      </c>
      <c r="AH31" s="36">
        <v>0.14165459805204</v>
      </c>
      <c r="AI31" s="36">
        <v>0.17309854467927122</v>
      </c>
      <c r="AJ31" s="36">
        <v>0.28161598094609258</v>
      </c>
      <c r="AK31" s="36">
        <v>0.53390611265193721</v>
      </c>
      <c r="AM31" s="36">
        <v>29</v>
      </c>
      <c r="AN31" s="36">
        <v>828</v>
      </c>
    </row>
    <row r="32" spans="2:40" x14ac:dyDescent="0.15">
      <c r="B32" s="88">
        <v>27</v>
      </c>
      <c r="C32" s="88">
        <v>20</v>
      </c>
      <c r="D32" s="90">
        <f t="shared" si="2"/>
        <v>4</v>
      </c>
      <c r="E32" s="90">
        <f t="shared" si="3"/>
        <v>5</v>
      </c>
      <c r="F32" s="90">
        <f t="shared" si="4"/>
        <v>4</v>
      </c>
      <c r="G32" s="90">
        <f t="shared" si="5"/>
        <v>4</v>
      </c>
      <c r="H32" s="90">
        <f t="shared" si="6"/>
        <v>4</v>
      </c>
      <c r="I32" s="90">
        <f t="shared" si="7"/>
        <v>4</v>
      </c>
      <c r="J32" s="90">
        <f t="shared" si="8"/>
        <v>4</v>
      </c>
      <c r="K32" s="90">
        <f t="shared" si="9"/>
        <v>5</v>
      </c>
      <c r="L32" s="90">
        <f t="shared" si="10"/>
        <v>5</v>
      </c>
      <c r="M32" s="90">
        <f t="shared" si="11"/>
        <v>4</v>
      </c>
      <c r="N32" s="90">
        <f t="shared" si="12"/>
        <v>4</v>
      </c>
      <c r="O32" s="90">
        <f t="shared" si="13"/>
        <v>4</v>
      </c>
      <c r="P32" s="90">
        <f t="shared" si="14"/>
        <v>4</v>
      </c>
      <c r="Q32" s="90">
        <f t="shared" si="15"/>
        <v>5</v>
      </c>
      <c r="R32" s="90">
        <f t="shared" si="16"/>
        <v>4</v>
      </c>
      <c r="S32" s="90">
        <f t="shared" si="17"/>
        <v>4</v>
      </c>
      <c r="T32" s="90">
        <f t="shared" si="18"/>
        <v>5</v>
      </c>
      <c r="U32" s="90">
        <f t="shared" si="19"/>
        <v>4</v>
      </c>
      <c r="V32" s="90">
        <f t="shared" si="20"/>
        <v>4</v>
      </c>
      <c r="W32" s="90">
        <f t="shared" si="21"/>
        <v>4</v>
      </c>
      <c r="X32" s="90">
        <f t="shared" si="22"/>
        <v>4</v>
      </c>
      <c r="Y32" s="90">
        <f t="shared" si="23"/>
        <v>4</v>
      </c>
      <c r="Z32" s="90">
        <f t="shared" si="24"/>
        <v>4</v>
      </c>
      <c r="AA32" s="90">
        <f t="shared" si="25"/>
        <v>4</v>
      </c>
      <c r="AC32" s="36">
        <v>30</v>
      </c>
      <c r="AD32" s="36">
        <f t="shared" si="0"/>
        <v>0.37771553264062446</v>
      </c>
      <c r="AE32" s="36">
        <v>0.24691392325652894</v>
      </c>
      <c r="AF32" s="36">
        <v>1.0990590921725811</v>
      </c>
      <c r="AG32" s="36">
        <v>0.14205043247122756</v>
      </c>
      <c r="AH32" s="36">
        <v>0.14205043247122756</v>
      </c>
      <c r="AI32" s="36">
        <v>0.17527585237734325</v>
      </c>
      <c r="AJ32" s="36">
        <v>0.28912944964917248</v>
      </c>
      <c r="AK32" s="36">
        <v>0.54952954608629057</v>
      </c>
      <c r="AM32" s="36">
        <v>30</v>
      </c>
      <c r="AN32" s="36">
        <v>854</v>
      </c>
    </row>
    <row r="33" spans="2:40" x14ac:dyDescent="0.15">
      <c r="B33" s="88">
        <v>28</v>
      </c>
      <c r="C33" s="88">
        <v>22</v>
      </c>
      <c r="D33" s="90">
        <f t="shared" si="2"/>
        <v>4</v>
      </c>
      <c r="E33" s="90">
        <f t="shared" si="3"/>
        <v>5</v>
      </c>
      <c r="F33" s="90">
        <f t="shared" si="4"/>
        <v>4</v>
      </c>
      <c r="G33" s="90">
        <f t="shared" si="5"/>
        <v>4</v>
      </c>
      <c r="H33" s="90">
        <f t="shared" si="6"/>
        <v>5</v>
      </c>
      <c r="I33" s="90">
        <f t="shared" si="7"/>
        <v>4</v>
      </c>
      <c r="J33" s="90">
        <f t="shared" si="8"/>
        <v>4</v>
      </c>
      <c r="K33" s="90">
        <f t="shared" si="9"/>
        <v>6</v>
      </c>
      <c r="L33" s="90">
        <f t="shared" si="10"/>
        <v>5</v>
      </c>
      <c r="M33" s="90">
        <f t="shared" si="11"/>
        <v>4</v>
      </c>
      <c r="N33" s="90">
        <f t="shared" si="12"/>
        <v>5</v>
      </c>
      <c r="O33" s="90">
        <f t="shared" si="13"/>
        <v>4</v>
      </c>
      <c r="P33" s="90">
        <f t="shared" si="14"/>
        <v>4</v>
      </c>
      <c r="Q33" s="90">
        <f t="shared" si="15"/>
        <v>5</v>
      </c>
      <c r="R33" s="90">
        <f t="shared" si="16"/>
        <v>4</v>
      </c>
      <c r="S33" s="90">
        <f t="shared" si="17"/>
        <v>4</v>
      </c>
      <c r="T33" s="90">
        <f t="shared" si="18"/>
        <v>5</v>
      </c>
      <c r="U33" s="90">
        <f t="shared" si="19"/>
        <v>4</v>
      </c>
      <c r="V33" s="90">
        <f t="shared" si="20"/>
        <v>4</v>
      </c>
      <c r="W33" s="90">
        <f t="shared" si="21"/>
        <v>4</v>
      </c>
      <c r="X33" s="90">
        <f t="shared" si="22"/>
        <v>4</v>
      </c>
      <c r="Y33" s="90">
        <f t="shared" si="23"/>
        <v>4</v>
      </c>
      <c r="Z33" s="90">
        <f t="shared" si="24"/>
        <v>4</v>
      </c>
      <c r="AA33" s="90">
        <f t="shared" si="25"/>
        <v>4</v>
      </c>
      <c r="AC33" s="36">
        <v>31</v>
      </c>
      <c r="AD33" s="36">
        <f t="shared" si="0"/>
        <v>0.38653400747542765</v>
      </c>
      <c r="AE33" s="36">
        <v>0.25290546467036545</v>
      </c>
      <c r="AF33" s="36">
        <v>1.1311773608833879</v>
      </c>
      <c r="AG33" s="36">
        <v>0.1421511674900483</v>
      </c>
      <c r="AH33" s="36">
        <v>0.1421511674900483</v>
      </c>
      <c r="AI33" s="36">
        <v>0.17708092756861782</v>
      </c>
      <c r="AJ33" s="36">
        <v>0.2946832837838318</v>
      </c>
      <c r="AK33" s="36">
        <v>0.56558868044169397</v>
      </c>
      <c r="AM33" s="36">
        <v>31</v>
      </c>
      <c r="AN33" s="36">
        <v>879</v>
      </c>
    </row>
    <row r="34" spans="2:40" x14ac:dyDescent="0.15">
      <c r="B34" s="88">
        <v>29</v>
      </c>
      <c r="C34" s="88">
        <v>24</v>
      </c>
      <c r="D34" s="90">
        <f t="shared" si="2"/>
        <v>4</v>
      </c>
      <c r="E34" s="90">
        <f t="shared" si="3"/>
        <v>5</v>
      </c>
      <c r="F34" s="90">
        <f t="shared" si="4"/>
        <v>4</v>
      </c>
      <c r="G34" s="90">
        <f t="shared" si="5"/>
        <v>4</v>
      </c>
      <c r="H34" s="90">
        <f t="shared" si="6"/>
        <v>5</v>
      </c>
      <c r="I34" s="90">
        <f t="shared" si="7"/>
        <v>4</v>
      </c>
      <c r="J34" s="90">
        <f t="shared" si="8"/>
        <v>4</v>
      </c>
      <c r="K34" s="90">
        <f t="shared" si="9"/>
        <v>6</v>
      </c>
      <c r="L34" s="90">
        <f t="shared" si="10"/>
        <v>5</v>
      </c>
      <c r="M34" s="90">
        <f t="shared" si="11"/>
        <v>4</v>
      </c>
      <c r="N34" s="90">
        <f t="shared" si="12"/>
        <v>5</v>
      </c>
      <c r="O34" s="90">
        <f t="shared" si="13"/>
        <v>4</v>
      </c>
      <c r="P34" s="90">
        <f t="shared" si="14"/>
        <v>4</v>
      </c>
      <c r="Q34" s="90">
        <f t="shared" si="15"/>
        <v>5</v>
      </c>
      <c r="R34" s="90">
        <f t="shared" si="16"/>
        <v>5</v>
      </c>
      <c r="S34" s="90">
        <f t="shared" si="17"/>
        <v>4</v>
      </c>
      <c r="T34" s="90">
        <f t="shared" si="18"/>
        <v>5</v>
      </c>
      <c r="U34" s="90">
        <f t="shared" si="19"/>
        <v>4</v>
      </c>
      <c r="V34" s="90">
        <f t="shared" si="20"/>
        <v>4</v>
      </c>
      <c r="W34" s="90">
        <f t="shared" si="21"/>
        <v>4</v>
      </c>
      <c r="X34" s="90">
        <f t="shared" si="22"/>
        <v>4</v>
      </c>
      <c r="Y34" s="90">
        <f t="shared" si="23"/>
        <v>4</v>
      </c>
      <c r="Z34" s="90">
        <f t="shared" si="24"/>
        <v>4</v>
      </c>
      <c r="AA34" s="90">
        <f t="shared" si="25"/>
        <v>4</v>
      </c>
      <c r="AC34" s="36">
        <v>32</v>
      </c>
      <c r="AD34" s="36">
        <f t="shared" si="0"/>
        <v>0.39600153222962275</v>
      </c>
      <c r="AE34" s="36">
        <v>0.25880679982030524</v>
      </c>
      <c r="AF34" s="36">
        <v>1.162952798456254</v>
      </c>
      <c r="AG34" s="36">
        <v>0.14267679546963088</v>
      </c>
      <c r="AH34" s="36">
        <v>0.14267679546963088</v>
      </c>
      <c r="AI34" s="36">
        <v>0.17915061508706154</v>
      </c>
      <c r="AJ34" s="36">
        <v>0.30427052207634997</v>
      </c>
      <c r="AK34" s="36">
        <v>0.58147639922812699</v>
      </c>
      <c r="AM34" s="36">
        <v>32</v>
      </c>
      <c r="AN34" s="36">
        <v>905</v>
      </c>
    </row>
    <row r="35" spans="2:40" x14ac:dyDescent="0.15">
      <c r="B35" s="88">
        <v>30</v>
      </c>
      <c r="C35" s="88">
        <v>26</v>
      </c>
      <c r="D35" s="90">
        <f t="shared" si="2"/>
        <v>4</v>
      </c>
      <c r="E35" s="90">
        <f t="shared" si="3"/>
        <v>5</v>
      </c>
      <c r="F35" s="90">
        <f t="shared" si="4"/>
        <v>4</v>
      </c>
      <c r="G35" s="90">
        <f t="shared" si="5"/>
        <v>4</v>
      </c>
      <c r="H35" s="90">
        <f t="shared" si="6"/>
        <v>5</v>
      </c>
      <c r="I35" s="90">
        <f t="shared" si="7"/>
        <v>4</v>
      </c>
      <c r="J35" s="90">
        <f t="shared" si="8"/>
        <v>5</v>
      </c>
      <c r="K35" s="90">
        <f t="shared" si="9"/>
        <v>6</v>
      </c>
      <c r="L35" s="90">
        <f t="shared" si="10"/>
        <v>6</v>
      </c>
      <c r="M35" s="90">
        <f t="shared" si="11"/>
        <v>4</v>
      </c>
      <c r="N35" s="90">
        <f t="shared" si="12"/>
        <v>5</v>
      </c>
      <c r="O35" s="90">
        <f t="shared" si="13"/>
        <v>4</v>
      </c>
      <c r="P35" s="90">
        <f t="shared" si="14"/>
        <v>4</v>
      </c>
      <c r="Q35" s="90">
        <f t="shared" si="15"/>
        <v>5</v>
      </c>
      <c r="R35" s="90">
        <f t="shared" si="16"/>
        <v>5</v>
      </c>
      <c r="S35" s="90">
        <f t="shared" si="17"/>
        <v>4</v>
      </c>
      <c r="T35" s="90">
        <f t="shared" si="18"/>
        <v>5</v>
      </c>
      <c r="U35" s="90">
        <f t="shared" si="19"/>
        <v>4</v>
      </c>
      <c r="V35" s="90">
        <f t="shared" si="20"/>
        <v>4</v>
      </c>
      <c r="W35" s="90">
        <f t="shared" si="21"/>
        <v>4</v>
      </c>
      <c r="X35" s="90">
        <f t="shared" si="22"/>
        <v>4</v>
      </c>
      <c r="Y35" s="90">
        <f t="shared" si="23"/>
        <v>4</v>
      </c>
      <c r="Z35" s="90">
        <f t="shared" si="24"/>
        <v>4</v>
      </c>
      <c r="AA35" s="90">
        <f t="shared" si="25"/>
        <v>4</v>
      </c>
      <c r="AC35" s="36">
        <v>33</v>
      </c>
      <c r="AD35" s="36">
        <f t="shared" si="0"/>
        <v>0.40511408674040944</v>
      </c>
      <c r="AE35" s="36">
        <v>0.26499192197043864</v>
      </c>
      <c r="AF35" s="36">
        <v>1.1960730182108199</v>
      </c>
      <c r="AG35" s="36">
        <v>0.14299490197583981</v>
      </c>
      <c r="AH35" s="36">
        <v>0.14299490197583981</v>
      </c>
      <c r="AI35" s="36">
        <v>0.18064087041307925</v>
      </c>
      <c r="AJ35" s="36">
        <v>0.31006648353143884</v>
      </c>
      <c r="AK35" s="36">
        <v>0.59803650910540995</v>
      </c>
      <c r="AM35" s="36">
        <v>33</v>
      </c>
      <c r="AN35" s="36">
        <v>930</v>
      </c>
    </row>
    <row r="36" spans="2:40" x14ac:dyDescent="0.15">
      <c r="B36" s="88">
        <v>31</v>
      </c>
      <c r="C36" s="88">
        <v>7</v>
      </c>
      <c r="D36" s="91">
        <f t="shared" si="2"/>
        <v>4</v>
      </c>
      <c r="E36" s="91">
        <f t="shared" si="3"/>
        <v>4</v>
      </c>
      <c r="F36" s="91">
        <f t="shared" si="4"/>
        <v>4</v>
      </c>
      <c r="G36" s="91">
        <f t="shared" si="5"/>
        <v>4</v>
      </c>
      <c r="H36" s="91">
        <f t="shared" si="6"/>
        <v>4</v>
      </c>
      <c r="I36" s="91">
        <f t="shared" si="7"/>
        <v>4</v>
      </c>
      <c r="J36" s="91">
        <f t="shared" si="8"/>
        <v>4</v>
      </c>
      <c r="K36" s="91">
        <f t="shared" si="9"/>
        <v>4</v>
      </c>
      <c r="L36" s="91">
        <f t="shared" si="10"/>
        <v>4</v>
      </c>
      <c r="M36" s="91">
        <f t="shared" si="11"/>
        <v>4</v>
      </c>
      <c r="N36" s="91">
        <f t="shared" si="12"/>
        <v>4</v>
      </c>
      <c r="O36" s="91">
        <f t="shared" si="13"/>
        <v>4</v>
      </c>
      <c r="P36" s="91">
        <f t="shared" si="14"/>
        <v>4</v>
      </c>
      <c r="Q36" s="91">
        <f t="shared" si="15"/>
        <v>4</v>
      </c>
      <c r="R36" s="91">
        <f t="shared" si="16"/>
        <v>4</v>
      </c>
      <c r="S36" s="91">
        <f t="shared" si="17"/>
        <v>4</v>
      </c>
      <c r="T36" s="91">
        <f t="shared" si="18"/>
        <v>4</v>
      </c>
      <c r="U36" s="91">
        <f t="shared" si="19"/>
        <v>4</v>
      </c>
      <c r="V36" s="91">
        <f t="shared" si="20"/>
        <v>4</v>
      </c>
      <c r="W36" s="91">
        <f t="shared" si="21"/>
        <v>4</v>
      </c>
      <c r="X36" s="91">
        <f t="shared" si="22"/>
        <v>4</v>
      </c>
      <c r="Y36" s="91">
        <f t="shared" si="23"/>
        <v>4</v>
      </c>
      <c r="Z36" s="91">
        <f t="shared" si="24"/>
        <v>4</v>
      </c>
      <c r="AA36" s="91">
        <f t="shared" si="25"/>
        <v>4</v>
      </c>
      <c r="AC36" s="36">
        <v>34</v>
      </c>
      <c r="AD36" s="36">
        <f t="shared" si="0"/>
        <v>0.41423533122388889</v>
      </c>
      <c r="AE36" s="36">
        <v>0.27135506688636363</v>
      </c>
      <c r="AF36" s="36">
        <v>1.2283484897432244</v>
      </c>
      <c r="AG36" s="36">
        <v>0.14362150942536372</v>
      </c>
      <c r="AH36" s="36">
        <v>0.14362150942536372</v>
      </c>
      <c r="AI36" s="36">
        <v>0.18296090338541107</v>
      </c>
      <c r="AJ36" s="36">
        <v>0.31556559482988378</v>
      </c>
      <c r="AK36" s="36">
        <v>0.61417424487161221</v>
      </c>
      <c r="AM36" s="36">
        <v>34</v>
      </c>
      <c r="AN36" s="36">
        <v>955</v>
      </c>
    </row>
    <row r="37" spans="2:40" x14ac:dyDescent="0.15">
      <c r="B37" s="88">
        <v>32</v>
      </c>
      <c r="C37" s="88">
        <v>10</v>
      </c>
      <c r="D37" s="91">
        <f t="shared" si="2"/>
        <v>4</v>
      </c>
      <c r="E37" s="91">
        <f t="shared" si="3"/>
        <v>4</v>
      </c>
      <c r="F37" s="91">
        <f t="shared" si="4"/>
        <v>4</v>
      </c>
      <c r="G37" s="91">
        <f t="shared" si="5"/>
        <v>4</v>
      </c>
      <c r="H37" s="91">
        <f t="shared" si="6"/>
        <v>4</v>
      </c>
      <c r="I37" s="91">
        <f t="shared" si="7"/>
        <v>4</v>
      </c>
      <c r="J37" s="91">
        <f t="shared" si="8"/>
        <v>4</v>
      </c>
      <c r="K37" s="91">
        <f t="shared" si="9"/>
        <v>5</v>
      </c>
      <c r="L37" s="91">
        <f t="shared" si="10"/>
        <v>4</v>
      </c>
      <c r="M37" s="91">
        <f t="shared" si="11"/>
        <v>4</v>
      </c>
      <c r="N37" s="91">
        <f t="shared" si="12"/>
        <v>4</v>
      </c>
      <c r="O37" s="91">
        <f t="shared" si="13"/>
        <v>4</v>
      </c>
      <c r="P37" s="91">
        <f t="shared" si="14"/>
        <v>4</v>
      </c>
      <c r="Q37" s="91">
        <f t="shared" si="15"/>
        <v>4</v>
      </c>
      <c r="R37" s="91">
        <f t="shared" si="16"/>
        <v>4</v>
      </c>
      <c r="S37" s="91">
        <f t="shared" si="17"/>
        <v>4</v>
      </c>
      <c r="T37" s="91">
        <f t="shared" si="18"/>
        <v>4</v>
      </c>
      <c r="U37" s="91">
        <f t="shared" si="19"/>
        <v>4</v>
      </c>
      <c r="V37" s="91">
        <f t="shared" si="20"/>
        <v>4</v>
      </c>
      <c r="W37" s="91">
        <f t="shared" si="21"/>
        <v>4</v>
      </c>
      <c r="X37" s="91">
        <f t="shared" si="22"/>
        <v>4</v>
      </c>
      <c r="Y37" s="91">
        <f t="shared" si="23"/>
        <v>4</v>
      </c>
      <c r="Z37" s="91">
        <f t="shared" si="24"/>
        <v>4</v>
      </c>
      <c r="AA37" s="91">
        <f t="shared" si="25"/>
        <v>4</v>
      </c>
      <c r="AC37" s="36">
        <v>35</v>
      </c>
      <c r="AD37" s="36">
        <f t="shared" si="0"/>
        <v>0.42384499353660443</v>
      </c>
      <c r="AE37" s="36">
        <v>0.2769100921585339</v>
      </c>
      <c r="AF37" s="36">
        <v>1.2612803532702686</v>
      </c>
      <c r="AG37" s="36">
        <v>0.14413665975037812</v>
      </c>
      <c r="AH37" s="36">
        <v>0.14413665975037812</v>
      </c>
      <c r="AI37" s="36">
        <v>0.1845987533949987</v>
      </c>
      <c r="AJ37" s="36">
        <v>0.32521225979653923</v>
      </c>
      <c r="AK37" s="36">
        <v>0.63064017663513428</v>
      </c>
      <c r="AM37" s="36">
        <v>35</v>
      </c>
      <c r="AN37" s="36">
        <v>981</v>
      </c>
    </row>
    <row r="38" spans="2:40" x14ac:dyDescent="0.15">
      <c r="B38" s="88">
        <v>33</v>
      </c>
      <c r="C38" s="88">
        <v>12</v>
      </c>
      <c r="D38" s="91">
        <f t="shared" ref="D38:D55" si="26">ROUNDUP(VLOOKUP(B38,AC:AK,2,FALSE)*C38*$D$3/$B$2,0)+INT(B38/$B$1)</f>
        <v>4</v>
      </c>
      <c r="E38" s="91">
        <f t="shared" ref="E38:E55" si="27">ROUNDUP(VLOOKUP(B38,AC:AK,2,FALSE)*C38*$E$3/$B$2,0)+INT(B38/$B$1)</f>
        <v>4</v>
      </c>
      <c r="F38" s="91">
        <f t="shared" ref="F38:F55" si="28">ROUNDUP(VLOOKUP(B38,AC:AK,2,FALSE)*C38*$F$3/$B$2,0)+INT(B38/$B$1)</f>
        <v>4</v>
      </c>
      <c r="G38" s="91">
        <f t="shared" ref="G38:G55" si="29">ROUNDUP((VLOOKUP(B38,AC:AK,3,FALSE)*$H$1+VLOOKUP(B38,AC:AK,4,FALSE)*$H$2)*C38*$G$3/$B$2,0)+INT(B38/$B$1)</f>
        <v>4</v>
      </c>
      <c r="H38" s="91">
        <f t="shared" ref="H38:H55" si="30">ROUNDUP((VLOOKUP(B38,AC:AK,3,FALSE)*$H$1+VLOOKUP(B38,AC:AK,4,FALSE)*$H$2)*C38*$H$3/$B$2,0)+INT(B38/$B$1)</f>
        <v>4</v>
      </c>
      <c r="I38" s="91">
        <f t="shared" ref="I38:I55" si="31">ROUNDUP((VLOOKUP(B38,AC:AK,3,FALSE)*$H$1+VLOOKUP(B38,AC:AK,4,FALSE)*$H$2)*C38*$I$3/$B$2,0)+INT(B38/$B$1)</f>
        <v>4</v>
      </c>
      <c r="J38" s="91">
        <f t="shared" ref="J38:J55" si="32">ROUNDUP((VLOOKUP(B38,AC:AK,3,FALSE)*$K$2+VLOOKUP(B38,AC:AK,4,FALSE)*$K$1)*C38*$J$3/4,0)+INT(B38/$B$1)</f>
        <v>4</v>
      </c>
      <c r="K38" s="91">
        <f t="shared" ref="K38:K55" si="33">ROUNDUP((VLOOKUP(B38,AC:AK,3,FALSE)*$K$2+VLOOKUP(B38,AC:AK,4,FALSE)*$K$1)*C38*$K$3/4,0)+INT(B38/$B$1)</f>
        <v>5</v>
      </c>
      <c r="L38" s="91">
        <f t="shared" ref="L38:L55" si="34">ROUNDUP((VLOOKUP(B38,AC:AK,3,FALSE)*$K$2+VLOOKUP(B38,AC:AK,4,FALSE)*$K$1)*C38*$L$3/$B$2,0)+INT(B38/$B$1)</f>
        <v>5</v>
      </c>
      <c r="M38" s="91">
        <f t="shared" ref="M38:M55" si="35">ROUNDUP((VLOOKUP(B38,AC:AK,6,FALSE)*$N$2+VLOOKUP(B38,AC:AK,9,FALSE)*$N$1)*C38*$M$3/$B$2,0)+INT(B38/$B$1)</f>
        <v>4</v>
      </c>
      <c r="N38" s="91">
        <f t="shared" ref="N38:N55" si="36">ROUNDUP((VLOOKUP(B38,AC:AK,6,FALSE)*$N$2+VLOOKUP(B38,AC:AK,9,FALSE)*$N$1)*C38*$N$3/$B$2,0)+INT(B38/$B$1)</f>
        <v>4</v>
      </c>
      <c r="O38" s="91">
        <f t="shared" ref="O38:O55" si="37">ROUNDUP((VLOOKUP(B38,AC:AK,6,FALSE)*$N$2+VLOOKUP(B38,AC:AK,9,FALSE)*$N$1)*C38*$O$3/$B$2,0)+INT(B38/$B$1)</f>
        <v>4</v>
      </c>
      <c r="P38" s="91">
        <f t="shared" ref="P38:P55" si="38">ROUNDUP((VLOOKUP(B38,AC:AOV,3,FALSE)*$Q$2+VLOOKUP(B38,AC:AK,9,FALSE)*$Q$1)*C38*$P$3/$B$2,0)+INT(B38/$B$1)</f>
        <v>4</v>
      </c>
      <c r="Q38" s="91">
        <f t="shared" ref="Q38:Q55" si="39">ROUNDUP((VLOOKUP(B38,AC:AK,3,FALSE)*$Q$2+VLOOKUP(B38,AC:AK,9,FALSE)*$Q$1)*C38*$Q$3/$B$2,0)+INT(B38/$B$1)</f>
        <v>4</v>
      </c>
      <c r="R38" s="91">
        <f t="shared" ref="R38:R55" si="40">ROUNDUP((VLOOKUP(B38,AC:AK,3,FALSE)*$Q$2+VLOOKUP(B38,AC:AK,9,FALSE)*$Q$1)*C38*$R$3/$B$2,0)+INT(B38/$B$1)</f>
        <v>4</v>
      </c>
      <c r="S38" s="91">
        <f t="shared" ref="S38:S55" si="41">ROUNDUP((VLOOKUP(B38,AC:AK,3,FALSE)*$T$2+VLOOKUP(B38,AC:AK,8,FALSE)*$T$1)*C38*$S$3/$B$2,0)+INT(B38/$B$1)</f>
        <v>4</v>
      </c>
      <c r="T38" s="91">
        <f t="shared" ref="T38:T55" si="42">ROUNDUP((VLOOKUP(B38,AC:AK,3,FALSE)*$T$2+VLOOKUP(B38,AC:AK,8,FALSE)*$T$1)*C38*$T$3/$B$2,0)+INT(B38/$B$1)</f>
        <v>4</v>
      </c>
      <c r="U38" s="91">
        <f t="shared" ref="U38:U55" si="43">ROUNDUP((VLOOKUP(B38,AC:AK,3,FALSE)*$T$2+VLOOKUP(B38,AC:AK,8,FALSE)*$T$1)*C38*$U$3/$B$2,0)+INT(B38/$B$1)</f>
        <v>4</v>
      </c>
      <c r="V38" s="91">
        <f t="shared" ref="V38:V55" si="44">ROUNDUP((VLOOKUP(B38,AC:AK,7,FALSE))*C38*$V$3/$B$2,0)+INT(B38/$B$1)</f>
        <v>4</v>
      </c>
      <c r="W38" s="91">
        <f t="shared" ref="W38:W55" si="45">ROUNDUP((VLOOKUP(B38,AC:AK,7,FALSE))*C38*$W$3/$B$2,0)+INT(B38/$B$1)</f>
        <v>4</v>
      </c>
      <c r="X38" s="91">
        <f t="shared" ref="X38:X55" si="46">ROUNDUP((VLOOKUP(B38,AC:AK,7,FALSE))*C38*$X$3/$B$2,0)+INT(B38/$B$1)</f>
        <v>4</v>
      </c>
      <c r="Y38" s="91">
        <f t="shared" ref="Y38:Y55" si="47">ROUNDUP((VLOOKUP(B38,AC:AK,5,FALSE))*C38*$Y$3/$B$2,0)+INT(B38/$B$1)</f>
        <v>4</v>
      </c>
      <c r="Z38" s="91">
        <f t="shared" ref="Z38:Z55" si="48">ROUNDUP((VLOOKUP(B38,AC:AK,5,FALSE))*C38*$Z$3/$B$2,0)+INT(B38/$B$1)</f>
        <v>4</v>
      </c>
      <c r="AA38" s="91">
        <f t="shared" ref="AA38:AA55" si="49">ROUNDUP((VLOOKUP(B38,AC:AK,5,FALSE))*C38*$AA$3/$B$2,0)+INT(B38/$B$1)</f>
        <v>4</v>
      </c>
      <c r="AC38" s="36">
        <v>36</v>
      </c>
      <c r="AD38" s="36">
        <f t="shared" si="0"/>
        <v>0.4330200010358301</v>
      </c>
      <c r="AE38" s="36">
        <v>0.28328156580576774</v>
      </c>
      <c r="AF38" s="36">
        <v>1.2942311294985922</v>
      </c>
      <c r="AG38" s="36">
        <v>0.14464983066470957</v>
      </c>
      <c r="AH38" s="36">
        <v>0.14464983066470957</v>
      </c>
      <c r="AI38" s="36">
        <v>0.18647068956373447</v>
      </c>
      <c r="AJ38" s="36">
        <v>0.33074139630400123</v>
      </c>
      <c r="AK38" s="36">
        <v>0.6471155647492961</v>
      </c>
      <c r="AM38" s="36">
        <v>36</v>
      </c>
      <c r="AN38" s="36">
        <v>1006</v>
      </c>
    </row>
    <row r="39" spans="2:40" x14ac:dyDescent="0.15">
      <c r="B39" s="88">
        <v>34</v>
      </c>
      <c r="C39" s="88">
        <v>14</v>
      </c>
      <c r="D39" s="91">
        <f t="shared" si="26"/>
        <v>4</v>
      </c>
      <c r="E39" s="91">
        <f t="shared" si="27"/>
        <v>4</v>
      </c>
      <c r="F39" s="91">
        <f t="shared" si="28"/>
        <v>4</v>
      </c>
      <c r="G39" s="91">
        <f t="shared" si="29"/>
        <v>4</v>
      </c>
      <c r="H39" s="91">
        <f t="shared" si="30"/>
        <v>4</v>
      </c>
      <c r="I39" s="91">
        <f t="shared" si="31"/>
        <v>4</v>
      </c>
      <c r="J39" s="91">
        <f t="shared" si="32"/>
        <v>4</v>
      </c>
      <c r="K39" s="91">
        <f t="shared" si="33"/>
        <v>5</v>
      </c>
      <c r="L39" s="91">
        <f t="shared" si="34"/>
        <v>5</v>
      </c>
      <c r="M39" s="91">
        <f t="shared" si="35"/>
        <v>4</v>
      </c>
      <c r="N39" s="91">
        <f t="shared" si="36"/>
        <v>4</v>
      </c>
      <c r="O39" s="91">
        <f t="shared" si="37"/>
        <v>4</v>
      </c>
      <c r="P39" s="91">
        <f t="shared" si="38"/>
        <v>4</v>
      </c>
      <c r="Q39" s="91">
        <f t="shared" si="39"/>
        <v>5</v>
      </c>
      <c r="R39" s="91">
        <f t="shared" si="40"/>
        <v>4</v>
      </c>
      <c r="S39" s="91">
        <f t="shared" si="41"/>
        <v>4</v>
      </c>
      <c r="T39" s="91">
        <f t="shared" si="42"/>
        <v>4</v>
      </c>
      <c r="U39" s="91">
        <f t="shared" si="43"/>
        <v>4</v>
      </c>
      <c r="V39" s="91">
        <f t="shared" si="44"/>
        <v>4</v>
      </c>
      <c r="W39" s="91">
        <f t="shared" si="45"/>
        <v>4</v>
      </c>
      <c r="X39" s="91">
        <f t="shared" si="46"/>
        <v>4</v>
      </c>
      <c r="Y39" s="91">
        <f t="shared" si="47"/>
        <v>4</v>
      </c>
      <c r="Z39" s="91">
        <f t="shared" si="48"/>
        <v>4</v>
      </c>
      <c r="AA39" s="91">
        <f t="shared" si="49"/>
        <v>4</v>
      </c>
      <c r="AC39" s="36">
        <v>37</v>
      </c>
      <c r="AD39" s="36">
        <f t="shared" si="0"/>
        <v>0.44238469205236469</v>
      </c>
      <c r="AE39" s="36">
        <v>0.28885220580240223</v>
      </c>
      <c r="AF39" s="36">
        <v>1.3275039471531613</v>
      </c>
      <c r="AG39" s="36">
        <v>0.14524421735210644</v>
      </c>
      <c r="AH39" s="36">
        <v>0.14524421735210644</v>
      </c>
      <c r="AI39" s="36">
        <v>0.18772333442399358</v>
      </c>
      <c r="AJ39" s="36">
        <v>0.33837294870620233</v>
      </c>
      <c r="AK39" s="36">
        <v>0.66375197357658067</v>
      </c>
      <c r="AM39" s="36">
        <v>37</v>
      </c>
      <c r="AN39" s="36">
        <v>1031</v>
      </c>
    </row>
    <row r="40" spans="2:40" x14ac:dyDescent="0.15">
      <c r="B40" s="88">
        <v>35</v>
      </c>
      <c r="C40" s="88">
        <v>16</v>
      </c>
      <c r="D40" s="91">
        <f t="shared" si="26"/>
        <v>4</v>
      </c>
      <c r="E40" s="91">
        <f t="shared" si="27"/>
        <v>5</v>
      </c>
      <c r="F40" s="91">
        <f t="shared" si="28"/>
        <v>4</v>
      </c>
      <c r="G40" s="91">
        <f t="shared" si="29"/>
        <v>4</v>
      </c>
      <c r="H40" s="91">
        <f t="shared" si="30"/>
        <v>4</v>
      </c>
      <c r="I40" s="91">
        <f t="shared" si="31"/>
        <v>4</v>
      </c>
      <c r="J40" s="91">
        <f t="shared" si="32"/>
        <v>4</v>
      </c>
      <c r="K40" s="91">
        <f t="shared" si="33"/>
        <v>5</v>
      </c>
      <c r="L40" s="91">
        <f t="shared" si="34"/>
        <v>5</v>
      </c>
      <c r="M40" s="91">
        <f t="shared" si="35"/>
        <v>4</v>
      </c>
      <c r="N40" s="91">
        <f t="shared" si="36"/>
        <v>4</v>
      </c>
      <c r="O40" s="91">
        <f t="shared" si="37"/>
        <v>4</v>
      </c>
      <c r="P40" s="91">
        <f t="shared" si="38"/>
        <v>4</v>
      </c>
      <c r="Q40" s="91">
        <f t="shared" si="39"/>
        <v>5</v>
      </c>
      <c r="R40" s="91">
        <f t="shared" si="40"/>
        <v>4</v>
      </c>
      <c r="S40" s="91">
        <f t="shared" si="41"/>
        <v>4</v>
      </c>
      <c r="T40" s="91">
        <f t="shared" si="42"/>
        <v>4</v>
      </c>
      <c r="U40" s="91">
        <f t="shared" si="43"/>
        <v>4</v>
      </c>
      <c r="V40" s="91">
        <f t="shared" si="44"/>
        <v>4</v>
      </c>
      <c r="W40" s="91">
        <f t="shared" si="45"/>
        <v>4</v>
      </c>
      <c r="X40" s="91">
        <f t="shared" si="46"/>
        <v>4</v>
      </c>
      <c r="Y40" s="91">
        <f t="shared" si="47"/>
        <v>4</v>
      </c>
      <c r="Z40" s="91">
        <f t="shared" si="48"/>
        <v>4</v>
      </c>
      <c r="AA40" s="91">
        <f t="shared" si="49"/>
        <v>4</v>
      </c>
      <c r="AC40" s="36">
        <v>38</v>
      </c>
      <c r="AD40" s="36">
        <f t="shared" si="0"/>
        <v>0.45167823750444508</v>
      </c>
      <c r="AE40" s="36">
        <v>0.29523088980936246</v>
      </c>
      <c r="AF40" s="36">
        <v>1.3606606650514235</v>
      </c>
      <c r="AG40" s="36">
        <v>0.14603182664157013</v>
      </c>
      <c r="AH40" s="36">
        <v>0.14603182664157013</v>
      </c>
      <c r="AI40" s="36">
        <v>0.18951920859680027</v>
      </c>
      <c r="AJ40" s="36">
        <v>0.34394291326467741</v>
      </c>
      <c r="AK40" s="36">
        <v>0.68033033252571173</v>
      </c>
      <c r="AM40" s="36">
        <v>38</v>
      </c>
      <c r="AN40" s="36">
        <v>1056</v>
      </c>
    </row>
    <row r="41" spans="2:40" x14ac:dyDescent="0.15">
      <c r="B41" s="88">
        <v>36</v>
      </c>
      <c r="C41" s="88">
        <v>18</v>
      </c>
      <c r="D41" s="91">
        <f t="shared" si="26"/>
        <v>5</v>
      </c>
      <c r="E41" s="91">
        <f t="shared" si="27"/>
        <v>6</v>
      </c>
      <c r="F41" s="91">
        <f t="shared" si="28"/>
        <v>5</v>
      </c>
      <c r="G41" s="91">
        <f t="shared" si="29"/>
        <v>5</v>
      </c>
      <c r="H41" s="91">
        <f t="shared" si="30"/>
        <v>6</v>
      </c>
      <c r="I41" s="91">
        <f t="shared" si="31"/>
        <v>5</v>
      </c>
      <c r="J41" s="91">
        <f t="shared" si="32"/>
        <v>5</v>
      </c>
      <c r="K41" s="91">
        <f t="shared" si="33"/>
        <v>7</v>
      </c>
      <c r="L41" s="91">
        <f t="shared" si="34"/>
        <v>6</v>
      </c>
      <c r="M41" s="91">
        <f t="shared" si="35"/>
        <v>5</v>
      </c>
      <c r="N41" s="91">
        <f t="shared" si="36"/>
        <v>6</v>
      </c>
      <c r="O41" s="91">
        <f t="shared" si="37"/>
        <v>5</v>
      </c>
      <c r="P41" s="91">
        <f t="shared" si="38"/>
        <v>5</v>
      </c>
      <c r="Q41" s="91">
        <f t="shared" si="39"/>
        <v>6</v>
      </c>
      <c r="R41" s="91">
        <f t="shared" si="40"/>
        <v>5</v>
      </c>
      <c r="S41" s="91">
        <f t="shared" si="41"/>
        <v>5</v>
      </c>
      <c r="T41" s="91">
        <f t="shared" si="42"/>
        <v>6</v>
      </c>
      <c r="U41" s="91">
        <f t="shared" si="43"/>
        <v>5</v>
      </c>
      <c r="V41" s="91">
        <f t="shared" si="44"/>
        <v>5</v>
      </c>
      <c r="W41" s="91">
        <f t="shared" si="45"/>
        <v>5</v>
      </c>
      <c r="X41" s="91">
        <f t="shared" si="46"/>
        <v>5</v>
      </c>
      <c r="Y41" s="91">
        <f t="shared" si="47"/>
        <v>5</v>
      </c>
      <c r="Z41" s="91">
        <f t="shared" si="48"/>
        <v>5</v>
      </c>
      <c r="AA41" s="91">
        <f t="shared" si="49"/>
        <v>5</v>
      </c>
      <c r="AC41" s="36">
        <v>39</v>
      </c>
      <c r="AD41" s="36">
        <f t="shared" si="0"/>
        <v>0.4616837860710386</v>
      </c>
      <c r="AE41" s="36">
        <v>0.30132738673454734</v>
      </c>
      <c r="AF41" s="36">
        <v>1.3949360559428436</v>
      </c>
      <c r="AG41" s="36">
        <v>0.1465325923473135</v>
      </c>
      <c r="AH41" s="36">
        <v>0.1465325923473135</v>
      </c>
      <c r="AI41" s="36">
        <v>0.19136667287903894</v>
      </c>
      <c r="AJ41" s="36">
        <v>0.35362317427479134</v>
      </c>
      <c r="AK41" s="36">
        <v>0.69746802797142182</v>
      </c>
      <c r="AM41" s="36">
        <v>39</v>
      </c>
      <c r="AN41" s="36">
        <v>1081</v>
      </c>
    </row>
    <row r="42" spans="2:40" x14ac:dyDescent="0.15">
      <c r="B42" s="88">
        <v>37</v>
      </c>
      <c r="C42" s="88">
        <v>20</v>
      </c>
      <c r="D42" s="91">
        <f t="shared" si="26"/>
        <v>5</v>
      </c>
      <c r="E42" s="91">
        <f t="shared" si="27"/>
        <v>6</v>
      </c>
      <c r="F42" s="91">
        <f t="shared" si="28"/>
        <v>5</v>
      </c>
      <c r="G42" s="91">
        <f t="shared" si="29"/>
        <v>5</v>
      </c>
      <c r="H42" s="91">
        <f t="shared" si="30"/>
        <v>6</v>
      </c>
      <c r="I42" s="91">
        <f t="shared" si="31"/>
        <v>5</v>
      </c>
      <c r="J42" s="91">
        <f t="shared" si="32"/>
        <v>6</v>
      </c>
      <c r="K42" s="91">
        <f t="shared" si="33"/>
        <v>7</v>
      </c>
      <c r="L42" s="91">
        <f t="shared" si="34"/>
        <v>7</v>
      </c>
      <c r="M42" s="91">
        <f t="shared" si="35"/>
        <v>5</v>
      </c>
      <c r="N42" s="91">
        <f t="shared" si="36"/>
        <v>6</v>
      </c>
      <c r="O42" s="91">
        <f t="shared" si="37"/>
        <v>5</v>
      </c>
      <c r="P42" s="91">
        <f t="shared" si="38"/>
        <v>5</v>
      </c>
      <c r="Q42" s="91">
        <f t="shared" si="39"/>
        <v>6</v>
      </c>
      <c r="R42" s="91">
        <f t="shared" si="40"/>
        <v>6</v>
      </c>
      <c r="S42" s="91">
        <f t="shared" si="41"/>
        <v>5</v>
      </c>
      <c r="T42" s="91">
        <f t="shared" si="42"/>
        <v>6</v>
      </c>
      <c r="U42" s="91">
        <f t="shared" si="43"/>
        <v>5</v>
      </c>
      <c r="V42" s="91">
        <f t="shared" si="44"/>
        <v>5</v>
      </c>
      <c r="W42" s="91">
        <f t="shared" si="45"/>
        <v>5</v>
      </c>
      <c r="X42" s="91">
        <f t="shared" si="46"/>
        <v>5</v>
      </c>
      <c r="Y42" s="91">
        <f t="shared" si="47"/>
        <v>5</v>
      </c>
      <c r="Z42" s="91">
        <f t="shared" si="48"/>
        <v>5</v>
      </c>
      <c r="AA42" s="91">
        <f t="shared" si="49"/>
        <v>5</v>
      </c>
      <c r="AC42" s="36">
        <v>40</v>
      </c>
      <c r="AD42" s="36">
        <f t="shared" si="0"/>
        <v>0.47102280080069481</v>
      </c>
      <c r="AE42" s="36">
        <v>0.30727419525290162</v>
      </c>
      <c r="AF42" s="36">
        <v>1.4287483606945017</v>
      </c>
      <c r="AG42" s="36">
        <v>0.14738171443202377</v>
      </c>
      <c r="AH42" s="36">
        <v>0.14738171443202377</v>
      </c>
      <c r="AI42" s="36">
        <v>0.1927855113988127</v>
      </c>
      <c r="AJ42" s="36">
        <v>0.35921392904734911</v>
      </c>
      <c r="AK42" s="36">
        <v>0.71437418034725086</v>
      </c>
      <c r="AM42" s="36">
        <v>40</v>
      </c>
      <c r="AN42" s="36">
        <v>1106</v>
      </c>
    </row>
    <row r="43" spans="2:40" x14ac:dyDescent="0.15">
      <c r="B43" s="88">
        <v>38</v>
      </c>
      <c r="C43" s="88">
        <v>22</v>
      </c>
      <c r="D43" s="91">
        <f t="shared" si="26"/>
        <v>5</v>
      </c>
      <c r="E43" s="91">
        <f t="shared" si="27"/>
        <v>6</v>
      </c>
      <c r="F43" s="91">
        <f t="shared" si="28"/>
        <v>5</v>
      </c>
      <c r="G43" s="91">
        <f t="shared" si="29"/>
        <v>5</v>
      </c>
      <c r="H43" s="91">
        <f t="shared" si="30"/>
        <v>6</v>
      </c>
      <c r="I43" s="91">
        <f t="shared" si="31"/>
        <v>5</v>
      </c>
      <c r="J43" s="91">
        <f t="shared" si="32"/>
        <v>6</v>
      </c>
      <c r="K43" s="91">
        <f t="shared" si="33"/>
        <v>7</v>
      </c>
      <c r="L43" s="91">
        <f t="shared" si="34"/>
        <v>7</v>
      </c>
      <c r="M43" s="91">
        <f t="shared" si="35"/>
        <v>5</v>
      </c>
      <c r="N43" s="91">
        <f t="shared" si="36"/>
        <v>6</v>
      </c>
      <c r="O43" s="91">
        <f t="shared" si="37"/>
        <v>5</v>
      </c>
      <c r="P43" s="91">
        <f t="shared" si="38"/>
        <v>5</v>
      </c>
      <c r="Q43" s="91">
        <f t="shared" si="39"/>
        <v>7</v>
      </c>
      <c r="R43" s="91">
        <f t="shared" si="40"/>
        <v>6</v>
      </c>
      <c r="S43" s="91">
        <f t="shared" si="41"/>
        <v>5</v>
      </c>
      <c r="T43" s="91">
        <f t="shared" si="42"/>
        <v>6</v>
      </c>
      <c r="U43" s="91">
        <f t="shared" si="43"/>
        <v>5</v>
      </c>
      <c r="V43" s="91">
        <f t="shared" si="44"/>
        <v>5</v>
      </c>
      <c r="W43" s="91">
        <f t="shared" si="45"/>
        <v>5</v>
      </c>
      <c r="X43" s="91">
        <f t="shared" si="46"/>
        <v>5</v>
      </c>
      <c r="Y43" s="91">
        <f t="shared" si="47"/>
        <v>5</v>
      </c>
      <c r="Z43" s="91">
        <f t="shared" si="48"/>
        <v>5</v>
      </c>
      <c r="AA43" s="91">
        <f t="shared" si="49"/>
        <v>5</v>
      </c>
      <c r="AC43" s="36">
        <v>41</v>
      </c>
      <c r="AD43" s="36">
        <f t="shared" si="0"/>
        <v>0.48076977572501256</v>
      </c>
      <c r="AE43" s="36">
        <v>0.31373061108758638</v>
      </c>
      <c r="AF43" s="36">
        <v>1.4630045506007379</v>
      </c>
      <c r="AG43" s="36">
        <v>0.14790324299662266</v>
      </c>
      <c r="AH43" s="36">
        <v>0.14790324299662266</v>
      </c>
      <c r="AI43" s="36">
        <v>0.19450111327075417</v>
      </c>
      <c r="AJ43" s="36">
        <v>0.36684339382239484</v>
      </c>
      <c r="AK43" s="36">
        <v>0.73150227530036893</v>
      </c>
      <c r="AM43" s="36">
        <v>41</v>
      </c>
      <c r="AN43" s="36">
        <v>1131</v>
      </c>
    </row>
    <row r="44" spans="2:40" x14ac:dyDescent="0.15">
      <c r="B44" s="88">
        <v>39</v>
      </c>
      <c r="C44" s="88">
        <v>24</v>
      </c>
      <c r="D44" s="91">
        <f t="shared" si="26"/>
        <v>5</v>
      </c>
      <c r="E44" s="91">
        <f t="shared" si="27"/>
        <v>6</v>
      </c>
      <c r="F44" s="91">
        <f t="shared" si="28"/>
        <v>6</v>
      </c>
      <c r="G44" s="91">
        <f t="shared" si="29"/>
        <v>5</v>
      </c>
      <c r="H44" s="91">
        <f t="shared" si="30"/>
        <v>6</v>
      </c>
      <c r="I44" s="91">
        <f t="shared" si="31"/>
        <v>5</v>
      </c>
      <c r="J44" s="91">
        <f t="shared" si="32"/>
        <v>6</v>
      </c>
      <c r="K44" s="91">
        <f t="shared" si="33"/>
        <v>8</v>
      </c>
      <c r="L44" s="91">
        <f t="shared" si="34"/>
        <v>7</v>
      </c>
      <c r="M44" s="91">
        <f t="shared" si="35"/>
        <v>5</v>
      </c>
      <c r="N44" s="91">
        <f t="shared" si="36"/>
        <v>6</v>
      </c>
      <c r="O44" s="91">
        <f t="shared" si="37"/>
        <v>5</v>
      </c>
      <c r="P44" s="91">
        <f t="shared" si="38"/>
        <v>5</v>
      </c>
      <c r="Q44" s="91">
        <f t="shared" si="39"/>
        <v>7</v>
      </c>
      <c r="R44" s="91">
        <f t="shared" si="40"/>
        <v>6</v>
      </c>
      <c r="S44" s="91">
        <f t="shared" si="41"/>
        <v>5</v>
      </c>
      <c r="T44" s="91">
        <f t="shared" si="42"/>
        <v>6</v>
      </c>
      <c r="U44" s="91">
        <f t="shared" si="43"/>
        <v>5</v>
      </c>
      <c r="V44" s="91">
        <f t="shared" si="44"/>
        <v>5</v>
      </c>
      <c r="W44" s="91">
        <f t="shared" si="45"/>
        <v>5</v>
      </c>
      <c r="X44" s="91">
        <f t="shared" si="46"/>
        <v>5</v>
      </c>
      <c r="Y44" s="91">
        <f t="shared" si="47"/>
        <v>5</v>
      </c>
      <c r="Z44" s="91">
        <f t="shared" si="48"/>
        <v>5</v>
      </c>
      <c r="AA44" s="91">
        <f t="shared" si="49"/>
        <v>5</v>
      </c>
      <c r="AC44" s="36">
        <v>42</v>
      </c>
      <c r="AD44" s="36">
        <f t="shared" si="0"/>
        <v>0.49044329042193574</v>
      </c>
      <c r="AE44" s="36">
        <v>0.31925733342915802</v>
      </c>
      <c r="AF44" s="36">
        <v>1.4973247199248101</v>
      </c>
      <c r="AG44" s="36">
        <v>0.14880525025703992</v>
      </c>
      <c r="AH44" s="36">
        <v>0.14880525025703992</v>
      </c>
      <c r="AI44" s="36">
        <v>0.19586107949704715</v>
      </c>
      <c r="AJ44" s="36">
        <v>0.37438703962604986</v>
      </c>
      <c r="AK44" s="36">
        <v>0.74866235996240504</v>
      </c>
      <c r="AM44" s="36">
        <v>42</v>
      </c>
      <c r="AN44" s="36">
        <v>1156</v>
      </c>
    </row>
    <row r="45" spans="2:40" x14ac:dyDescent="0.15">
      <c r="B45" s="88">
        <v>40</v>
      </c>
      <c r="C45" s="88">
        <v>26</v>
      </c>
      <c r="D45" s="91">
        <f t="shared" si="26"/>
        <v>5</v>
      </c>
      <c r="E45" s="91">
        <f t="shared" si="27"/>
        <v>7</v>
      </c>
      <c r="F45" s="91">
        <f t="shared" si="28"/>
        <v>6</v>
      </c>
      <c r="G45" s="91">
        <f t="shared" si="29"/>
        <v>5</v>
      </c>
      <c r="H45" s="91">
        <f t="shared" si="30"/>
        <v>6</v>
      </c>
      <c r="I45" s="91">
        <f t="shared" si="31"/>
        <v>5</v>
      </c>
      <c r="J45" s="91">
        <f t="shared" si="32"/>
        <v>6</v>
      </c>
      <c r="K45" s="91">
        <f t="shared" si="33"/>
        <v>8</v>
      </c>
      <c r="L45" s="91">
        <f t="shared" si="34"/>
        <v>7</v>
      </c>
      <c r="M45" s="91">
        <f t="shared" si="35"/>
        <v>5</v>
      </c>
      <c r="N45" s="91">
        <f t="shared" si="36"/>
        <v>6</v>
      </c>
      <c r="O45" s="91">
        <f t="shared" si="37"/>
        <v>5</v>
      </c>
      <c r="P45" s="91">
        <f t="shared" si="38"/>
        <v>6</v>
      </c>
      <c r="Q45" s="91">
        <f t="shared" si="39"/>
        <v>7</v>
      </c>
      <c r="R45" s="91">
        <f t="shared" si="40"/>
        <v>6</v>
      </c>
      <c r="S45" s="91">
        <f t="shared" si="41"/>
        <v>5</v>
      </c>
      <c r="T45" s="91">
        <f t="shared" si="42"/>
        <v>6</v>
      </c>
      <c r="U45" s="91">
        <f t="shared" si="43"/>
        <v>6</v>
      </c>
      <c r="V45" s="91">
        <f t="shared" si="44"/>
        <v>5</v>
      </c>
      <c r="W45" s="91">
        <f t="shared" si="45"/>
        <v>5</v>
      </c>
      <c r="X45" s="91">
        <f t="shared" si="46"/>
        <v>5</v>
      </c>
      <c r="Y45" s="91">
        <f t="shared" si="47"/>
        <v>5</v>
      </c>
      <c r="Z45" s="91">
        <f t="shared" si="48"/>
        <v>5</v>
      </c>
      <c r="AA45" s="91">
        <f t="shared" si="49"/>
        <v>5</v>
      </c>
      <c r="AC45" s="36">
        <v>43</v>
      </c>
      <c r="AD45" s="36">
        <f t="shared" si="0"/>
        <v>0.50008404668361317</v>
      </c>
      <c r="AE45" s="36">
        <v>0.3252892273952262</v>
      </c>
      <c r="AF45" s="36">
        <v>1.5323714670001047</v>
      </c>
      <c r="AG45" s="36">
        <v>0.14956983622763015</v>
      </c>
      <c r="AH45" s="36">
        <v>0.14956983622763015</v>
      </c>
      <c r="AI45" s="36">
        <v>0.19750053253346611</v>
      </c>
      <c r="AJ45" s="36">
        <v>0.38010169390118242</v>
      </c>
      <c r="AK45" s="36">
        <v>0.76618573350005237</v>
      </c>
      <c r="AM45" s="36">
        <v>43</v>
      </c>
      <c r="AN45" s="36">
        <v>1180</v>
      </c>
    </row>
    <row r="46" spans="2:40" x14ac:dyDescent="0.15">
      <c r="B46" s="88">
        <v>41</v>
      </c>
      <c r="C46" s="88">
        <v>7</v>
      </c>
      <c r="D46" s="92">
        <f t="shared" si="26"/>
        <v>5</v>
      </c>
      <c r="E46" s="92">
        <f t="shared" si="27"/>
        <v>5</v>
      </c>
      <c r="F46" s="92">
        <f t="shared" si="28"/>
        <v>5</v>
      </c>
      <c r="G46" s="92">
        <f t="shared" si="29"/>
        <v>5</v>
      </c>
      <c r="H46" s="92">
        <f t="shared" si="30"/>
        <v>5</v>
      </c>
      <c r="I46" s="92">
        <f t="shared" si="31"/>
        <v>5</v>
      </c>
      <c r="J46" s="92">
        <f t="shared" si="32"/>
        <v>5</v>
      </c>
      <c r="K46" s="92">
        <f t="shared" si="33"/>
        <v>5</v>
      </c>
      <c r="L46" s="92">
        <f t="shared" si="34"/>
        <v>5</v>
      </c>
      <c r="M46" s="92">
        <f t="shared" si="35"/>
        <v>5</v>
      </c>
      <c r="N46" s="92">
        <f t="shared" si="36"/>
        <v>5</v>
      </c>
      <c r="O46" s="92">
        <f t="shared" si="37"/>
        <v>5</v>
      </c>
      <c r="P46" s="92">
        <f t="shared" si="38"/>
        <v>5</v>
      </c>
      <c r="Q46" s="92">
        <f t="shared" si="39"/>
        <v>5</v>
      </c>
      <c r="R46" s="92">
        <f t="shared" si="40"/>
        <v>5</v>
      </c>
      <c r="S46" s="92">
        <f t="shared" si="41"/>
        <v>5</v>
      </c>
      <c r="T46" s="92">
        <f t="shared" si="42"/>
        <v>5</v>
      </c>
      <c r="U46" s="92">
        <f t="shared" si="43"/>
        <v>5</v>
      </c>
      <c r="V46" s="92">
        <f t="shared" si="44"/>
        <v>5</v>
      </c>
      <c r="W46" s="92">
        <f t="shared" si="45"/>
        <v>5</v>
      </c>
      <c r="X46" s="92">
        <f t="shared" si="46"/>
        <v>5</v>
      </c>
      <c r="Y46" s="92">
        <f t="shared" si="47"/>
        <v>5</v>
      </c>
      <c r="Z46" s="92">
        <f t="shared" si="48"/>
        <v>5</v>
      </c>
      <c r="AA46" s="92">
        <f t="shared" si="49"/>
        <v>5</v>
      </c>
      <c r="AC46" s="36">
        <v>44</v>
      </c>
      <c r="AD46" s="36">
        <f t="shared" si="0"/>
        <v>0.51004311487694198</v>
      </c>
      <c r="AE46" s="36">
        <v>0.33174745790725746</v>
      </c>
      <c r="AF46" s="36">
        <v>1.5675097501484356</v>
      </c>
      <c r="AG46" s="36">
        <v>0.15035594984680628</v>
      </c>
      <c r="AH46" s="36">
        <v>0.15035594984680628</v>
      </c>
      <c r="AI46" s="36">
        <v>0.19884496579349117</v>
      </c>
      <c r="AJ46" s="36">
        <v>0.38773285552157871</v>
      </c>
      <c r="AK46" s="36">
        <v>0.78375487507421782</v>
      </c>
      <c r="AM46" s="36">
        <v>44</v>
      </c>
      <c r="AN46" s="36">
        <v>1205</v>
      </c>
    </row>
    <row r="47" spans="2:40" x14ac:dyDescent="0.15">
      <c r="B47" s="88">
        <v>42</v>
      </c>
      <c r="C47" s="88">
        <v>10</v>
      </c>
      <c r="D47" s="92">
        <f t="shared" si="26"/>
        <v>5</v>
      </c>
      <c r="E47" s="92">
        <f t="shared" si="27"/>
        <v>5</v>
      </c>
      <c r="F47" s="92">
        <f t="shared" si="28"/>
        <v>5</v>
      </c>
      <c r="G47" s="92">
        <f t="shared" si="29"/>
        <v>5</v>
      </c>
      <c r="H47" s="92">
        <f t="shared" si="30"/>
        <v>5</v>
      </c>
      <c r="I47" s="92">
        <f t="shared" si="31"/>
        <v>5</v>
      </c>
      <c r="J47" s="92">
        <f t="shared" si="32"/>
        <v>5</v>
      </c>
      <c r="K47" s="92">
        <f t="shared" si="33"/>
        <v>6</v>
      </c>
      <c r="L47" s="92">
        <f t="shared" si="34"/>
        <v>6</v>
      </c>
      <c r="M47" s="92">
        <f t="shared" si="35"/>
        <v>5</v>
      </c>
      <c r="N47" s="92">
        <f t="shared" si="36"/>
        <v>5</v>
      </c>
      <c r="O47" s="92">
        <f t="shared" si="37"/>
        <v>5</v>
      </c>
      <c r="P47" s="92">
        <f t="shared" si="38"/>
        <v>5</v>
      </c>
      <c r="Q47" s="92">
        <f t="shared" si="39"/>
        <v>6</v>
      </c>
      <c r="R47" s="92">
        <f t="shared" si="40"/>
        <v>5</v>
      </c>
      <c r="S47" s="92">
        <f t="shared" si="41"/>
        <v>5</v>
      </c>
      <c r="T47" s="92">
        <f t="shared" si="42"/>
        <v>5</v>
      </c>
      <c r="U47" s="92">
        <f t="shared" si="43"/>
        <v>5</v>
      </c>
      <c r="V47" s="92">
        <f t="shared" si="44"/>
        <v>5</v>
      </c>
      <c r="W47" s="92">
        <f t="shared" si="45"/>
        <v>5</v>
      </c>
      <c r="X47" s="92">
        <f t="shared" si="46"/>
        <v>5</v>
      </c>
      <c r="Y47" s="92">
        <f t="shared" si="47"/>
        <v>5</v>
      </c>
      <c r="Z47" s="92">
        <f t="shared" si="48"/>
        <v>5</v>
      </c>
      <c r="AA47" s="92">
        <f t="shared" si="49"/>
        <v>5</v>
      </c>
      <c r="AC47" s="36">
        <v>45</v>
      </c>
      <c r="AD47" s="36">
        <f t="shared" si="0"/>
        <v>0.51969293103158432</v>
      </c>
      <c r="AE47" s="36">
        <v>0.33778147579978718</v>
      </c>
      <c r="AF47" s="36">
        <v>1.6027416783444983</v>
      </c>
      <c r="AG47" s="36">
        <v>0.15116166857234398</v>
      </c>
      <c r="AH47" s="36">
        <v>0.15116166857234398</v>
      </c>
      <c r="AI47" s="36">
        <v>0.20016396856682644</v>
      </c>
      <c r="AJ47" s="36">
        <v>0.39346921819304087</v>
      </c>
      <c r="AK47" s="36">
        <v>0.80137083917224916</v>
      </c>
      <c r="AM47" s="36">
        <v>45</v>
      </c>
      <c r="AN47" s="36">
        <v>1230</v>
      </c>
    </row>
    <row r="48" spans="2:40" x14ac:dyDescent="0.15">
      <c r="B48" s="88">
        <v>43</v>
      </c>
      <c r="C48" s="88">
        <v>12</v>
      </c>
      <c r="D48" s="92">
        <f t="shared" si="26"/>
        <v>5</v>
      </c>
      <c r="E48" s="92">
        <f t="shared" si="27"/>
        <v>6</v>
      </c>
      <c r="F48" s="92">
        <f t="shared" si="28"/>
        <v>5</v>
      </c>
      <c r="G48" s="92">
        <f t="shared" si="29"/>
        <v>5</v>
      </c>
      <c r="H48" s="92">
        <f t="shared" si="30"/>
        <v>5</v>
      </c>
      <c r="I48" s="92">
        <f t="shared" si="31"/>
        <v>5</v>
      </c>
      <c r="J48" s="92">
        <f t="shared" si="32"/>
        <v>5</v>
      </c>
      <c r="K48" s="92">
        <f t="shared" si="33"/>
        <v>6</v>
      </c>
      <c r="L48" s="92">
        <f t="shared" si="34"/>
        <v>6</v>
      </c>
      <c r="M48" s="92">
        <f t="shared" si="35"/>
        <v>5</v>
      </c>
      <c r="N48" s="92">
        <f t="shared" si="36"/>
        <v>5</v>
      </c>
      <c r="O48" s="92">
        <f t="shared" si="37"/>
        <v>5</v>
      </c>
      <c r="P48" s="92">
        <f t="shared" si="38"/>
        <v>5</v>
      </c>
      <c r="Q48" s="92">
        <f t="shared" si="39"/>
        <v>6</v>
      </c>
      <c r="R48" s="92">
        <f t="shared" si="40"/>
        <v>5</v>
      </c>
      <c r="S48" s="92">
        <f t="shared" si="41"/>
        <v>5</v>
      </c>
      <c r="T48" s="92">
        <f t="shared" si="42"/>
        <v>5</v>
      </c>
      <c r="U48" s="92">
        <f t="shared" si="43"/>
        <v>5</v>
      </c>
      <c r="V48" s="92">
        <f t="shared" si="44"/>
        <v>5</v>
      </c>
      <c r="W48" s="92">
        <f t="shared" si="45"/>
        <v>5</v>
      </c>
      <c r="X48" s="92">
        <f t="shared" si="46"/>
        <v>5</v>
      </c>
      <c r="Y48" s="92">
        <f t="shared" si="47"/>
        <v>5</v>
      </c>
      <c r="Z48" s="92">
        <f t="shared" si="48"/>
        <v>5</v>
      </c>
      <c r="AA48" s="92">
        <f t="shared" si="49"/>
        <v>5</v>
      </c>
      <c r="AC48" s="36">
        <v>46</v>
      </c>
      <c r="AD48" s="36">
        <f t="shared" si="0"/>
        <v>0.53002843686368017</v>
      </c>
      <c r="AE48" s="36">
        <v>0.34423783575387573</v>
      </c>
      <c r="AF48" s="36">
        <v>1.6383628513454402</v>
      </c>
      <c r="AG48" s="36">
        <v>0.15198633851910406</v>
      </c>
      <c r="AH48" s="36">
        <v>0.15198633851910406</v>
      </c>
      <c r="AI48" s="36">
        <v>0.20145817444161865</v>
      </c>
      <c r="AJ48" s="36">
        <v>0.40298609379389772</v>
      </c>
      <c r="AK48" s="36">
        <v>0.81918142567272012</v>
      </c>
      <c r="AM48" s="36">
        <v>46</v>
      </c>
      <c r="AN48" s="36">
        <v>1254</v>
      </c>
    </row>
    <row r="49" spans="2:40" x14ac:dyDescent="0.15">
      <c r="B49" s="88">
        <v>44</v>
      </c>
      <c r="C49" s="88">
        <v>14</v>
      </c>
      <c r="D49" s="92">
        <f t="shared" si="26"/>
        <v>5</v>
      </c>
      <c r="E49" s="92">
        <f t="shared" si="27"/>
        <v>6</v>
      </c>
      <c r="F49" s="92">
        <f t="shared" si="28"/>
        <v>5</v>
      </c>
      <c r="G49" s="92">
        <f t="shared" si="29"/>
        <v>5</v>
      </c>
      <c r="H49" s="92">
        <f t="shared" si="30"/>
        <v>5</v>
      </c>
      <c r="I49" s="92">
        <f t="shared" si="31"/>
        <v>5</v>
      </c>
      <c r="J49" s="92">
        <f t="shared" si="32"/>
        <v>5</v>
      </c>
      <c r="K49" s="92">
        <f t="shared" si="33"/>
        <v>7</v>
      </c>
      <c r="L49" s="92">
        <f t="shared" si="34"/>
        <v>6</v>
      </c>
      <c r="M49" s="92">
        <f t="shared" si="35"/>
        <v>5</v>
      </c>
      <c r="N49" s="92">
        <f t="shared" si="36"/>
        <v>5</v>
      </c>
      <c r="O49" s="92">
        <f t="shared" si="37"/>
        <v>5</v>
      </c>
      <c r="P49" s="92">
        <f t="shared" si="38"/>
        <v>5</v>
      </c>
      <c r="Q49" s="92">
        <f t="shared" si="39"/>
        <v>6</v>
      </c>
      <c r="R49" s="92">
        <f t="shared" si="40"/>
        <v>5</v>
      </c>
      <c r="S49" s="92">
        <f t="shared" si="41"/>
        <v>5</v>
      </c>
      <c r="T49" s="92">
        <f t="shared" si="42"/>
        <v>6</v>
      </c>
      <c r="U49" s="92">
        <f t="shared" si="43"/>
        <v>5</v>
      </c>
      <c r="V49" s="92">
        <f t="shared" si="44"/>
        <v>5</v>
      </c>
      <c r="W49" s="92">
        <f t="shared" si="45"/>
        <v>5</v>
      </c>
      <c r="X49" s="92">
        <f t="shared" si="46"/>
        <v>5</v>
      </c>
      <c r="Y49" s="92">
        <f t="shared" si="47"/>
        <v>5</v>
      </c>
      <c r="Z49" s="92">
        <f t="shared" si="48"/>
        <v>5</v>
      </c>
      <c r="AA49" s="92">
        <f t="shared" si="49"/>
        <v>5</v>
      </c>
      <c r="AC49" s="36">
        <v>47</v>
      </c>
      <c r="AD49" s="36">
        <f t="shared" si="0"/>
        <v>0.53979233987516595</v>
      </c>
      <c r="AE49" s="36">
        <v>0.34985550886348532</v>
      </c>
      <c r="AF49" s="36">
        <v>1.6742249594174012</v>
      </c>
      <c r="AG49" s="36">
        <v>0.15282787803228109</v>
      </c>
      <c r="AH49" s="36">
        <v>0.15282787803228109</v>
      </c>
      <c r="AI49" s="36">
        <v>0.2029639074780227</v>
      </c>
      <c r="AJ49" s="36">
        <v>0.40873376759398999</v>
      </c>
      <c r="AK49" s="36">
        <v>0.83711247970870062</v>
      </c>
      <c r="AM49" s="36">
        <v>47</v>
      </c>
      <c r="AN49" s="36">
        <v>1279</v>
      </c>
    </row>
    <row r="50" spans="2:40" x14ac:dyDescent="0.15">
      <c r="B50" s="88">
        <v>45</v>
      </c>
      <c r="C50" s="88">
        <v>16</v>
      </c>
      <c r="D50" s="92">
        <f t="shared" si="26"/>
        <v>6</v>
      </c>
      <c r="E50" s="92">
        <f t="shared" si="27"/>
        <v>7</v>
      </c>
      <c r="F50" s="92">
        <f t="shared" si="28"/>
        <v>6</v>
      </c>
      <c r="G50" s="92">
        <f t="shared" si="29"/>
        <v>6</v>
      </c>
      <c r="H50" s="92">
        <f t="shared" si="30"/>
        <v>7</v>
      </c>
      <c r="I50" s="92">
        <f t="shared" si="31"/>
        <v>6</v>
      </c>
      <c r="J50" s="92">
        <f t="shared" si="32"/>
        <v>6</v>
      </c>
      <c r="K50" s="92">
        <f t="shared" si="33"/>
        <v>8</v>
      </c>
      <c r="L50" s="92">
        <f t="shared" si="34"/>
        <v>7</v>
      </c>
      <c r="M50" s="92">
        <f t="shared" si="35"/>
        <v>6</v>
      </c>
      <c r="N50" s="92">
        <f t="shared" si="36"/>
        <v>7</v>
      </c>
      <c r="O50" s="92">
        <f t="shared" si="37"/>
        <v>6</v>
      </c>
      <c r="P50" s="92">
        <f t="shared" si="38"/>
        <v>6</v>
      </c>
      <c r="Q50" s="92">
        <f t="shared" si="39"/>
        <v>7</v>
      </c>
      <c r="R50" s="92">
        <f t="shared" si="40"/>
        <v>7</v>
      </c>
      <c r="S50" s="92">
        <f t="shared" si="41"/>
        <v>6</v>
      </c>
      <c r="T50" s="92">
        <f t="shared" si="42"/>
        <v>7</v>
      </c>
      <c r="U50" s="92">
        <f t="shared" si="43"/>
        <v>6</v>
      </c>
      <c r="V50" s="92">
        <f t="shared" si="44"/>
        <v>6</v>
      </c>
      <c r="W50" s="92">
        <f t="shared" si="45"/>
        <v>6</v>
      </c>
      <c r="X50" s="92">
        <f t="shared" si="46"/>
        <v>6</v>
      </c>
      <c r="Y50" s="92">
        <f t="shared" si="47"/>
        <v>6</v>
      </c>
      <c r="Z50" s="92">
        <f t="shared" si="48"/>
        <v>6</v>
      </c>
      <c r="AA50" s="92">
        <f t="shared" si="49"/>
        <v>6</v>
      </c>
      <c r="AC50" s="36">
        <v>48</v>
      </c>
      <c r="AD50" s="36">
        <f t="shared" si="0"/>
        <v>0.54986327566843896</v>
      </c>
      <c r="AE50" s="36">
        <v>0.35583455841587569</v>
      </c>
      <c r="AF50" s="36">
        <v>1.7100357127776613</v>
      </c>
      <c r="AG50" s="36">
        <v>0.15384718904099623</v>
      </c>
      <c r="AH50" s="36">
        <v>0.15384718904099623</v>
      </c>
      <c r="AI50" s="36">
        <v>0.20416973040618</v>
      </c>
      <c r="AJ50" s="36">
        <v>0.41629069360853349</v>
      </c>
      <c r="AK50" s="36">
        <v>0.85501785638883065</v>
      </c>
      <c r="AM50" s="36">
        <v>48</v>
      </c>
      <c r="AN50" s="36">
        <v>1303</v>
      </c>
    </row>
    <row r="51" spans="2:40" x14ac:dyDescent="0.15">
      <c r="B51" s="88">
        <v>46</v>
      </c>
      <c r="C51" s="88">
        <v>18</v>
      </c>
      <c r="D51" s="92">
        <f t="shared" si="26"/>
        <v>6</v>
      </c>
      <c r="E51" s="92">
        <f t="shared" si="27"/>
        <v>7</v>
      </c>
      <c r="F51" s="92">
        <f t="shared" si="28"/>
        <v>6</v>
      </c>
      <c r="G51" s="92">
        <f t="shared" si="29"/>
        <v>6</v>
      </c>
      <c r="H51" s="92">
        <f t="shared" si="30"/>
        <v>7</v>
      </c>
      <c r="I51" s="92">
        <f t="shared" si="31"/>
        <v>6</v>
      </c>
      <c r="J51" s="92">
        <f t="shared" si="32"/>
        <v>7</v>
      </c>
      <c r="K51" s="92">
        <f t="shared" si="33"/>
        <v>8</v>
      </c>
      <c r="L51" s="92">
        <f t="shared" si="34"/>
        <v>8</v>
      </c>
      <c r="M51" s="92">
        <f t="shared" si="35"/>
        <v>6</v>
      </c>
      <c r="N51" s="92">
        <f t="shared" si="36"/>
        <v>7</v>
      </c>
      <c r="O51" s="92">
        <f t="shared" si="37"/>
        <v>6</v>
      </c>
      <c r="P51" s="92">
        <f t="shared" si="38"/>
        <v>6</v>
      </c>
      <c r="Q51" s="92">
        <f t="shared" si="39"/>
        <v>8</v>
      </c>
      <c r="R51" s="92">
        <f t="shared" si="40"/>
        <v>7</v>
      </c>
      <c r="S51" s="92">
        <f t="shared" si="41"/>
        <v>6</v>
      </c>
      <c r="T51" s="92">
        <f t="shared" si="42"/>
        <v>7</v>
      </c>
      <c r="U51" s="92">
        <f t="shared" si="43"/>
        <v>6</v>
      </c>
      <c r="V51" s="92">
        <f t="shared" si="44"/>
        <v>6</v>
      </c>
      <c r="W51" s="92">
        <f t="shared" si="45"/>
        <v>6</v>
      </c>
      <c r="X51" s="92">
        <f t="shared" si="46"/>
        <v>6</v>
      </c>
      <c r="Y51" s="92">
        <f t="shared" si="47"/>
        <v>6</v>
      </c>
      <c r="Z51" s="92">
        <f t="shared" si="48"/>
        <v>6</v>
      </c>
      <c r="AA51" s="92">
        <f t="shared" si="49"/>
        <v>6</v>
      </c>
      <c r="AC51" s="36">
        <v>49</v>
      </c>
      <c r="AD51" s="36">
        <f t="shared" si="0"/>
        <v>0.56033225833569855</v>
      </c>
      <c r="AE51" s="36">
        <v>0.3622925199644802</v>
      </c>
      <c r="AF51" s="36">
        <v>1.7463845729204004</v>
      </c>
      <c r="AG51" s="36">
        <v>0.15453336502056056</v>
      </c>
      <c r="AH51" s="36">
        <v>0.15453336502056056</v>
      </c>
      <c r="AI51" s="36">
        <v>0.20561270476094068</v>
      </c>
      <c r="AJ51" s="36">
        <v>0.42577699420274728</v>
      </c>
      <c r="AK51" s="36">
        <v>0.8731922864602002</v>
      </c>
      <c r="AM51" s="36">
        <v>49</v>
      </c>
      <c r="AN51" s="36">
        <v>1328</v>
      </c>
    </row>
    <row r="52" spans="2:40" x14ac:dyDescent="0.15">
      <c r="B52" s="88">
        <v>47</v>
      </c>
      <c r="C52" s="88">
        <v>20</v>
      </c>
      <c r="D52" s="92">
        <f t="shared" si="26"/>
        <v>6</v>
      </c>
      <c r="E52" s="92">
        <f t="shared" si="27"/>
        <v>7</v>
      </c>
      <c r="F52" s="92">
        <f t="shared" si="28"/>
        <v>7</v>
      </c>
      <c r="G52" s="92">
        <f t="shared" si="29"/>
        <v>6</v>
      </c>
      <c r="H52" s="92">
        <f t="shared" si="30"/>
        <v>7</v>
      </c>
      <c r="I52" s="92">
        <f t="shared" si="31"/>
        <v>6</v>
      </c>
      <c r="J52" s="92">
        <f t="shared" si="32"/>
        <v>7</v>
      </c>
      <c r="K52" s="92">
        <f t="shared" si="33"/>
        <v>9</v>
      </c>
      <c r="L52" s="92">
        <f t="shared" si="34"/>
        <v>8</v>
      </c>
      <c r="M52" s="92">
        <f t="shared" si="35"/>
        <v>6</v>
      </c>
      <c r="N52" s="92">
        <f t="shared" si="36"/>
        <v>7</v>
      </c>
      <c r="O52" s="92">
        <f t="shared" si="37"/>
        <v>6</v>
      </c>
      <c r="P52" s="92">
        <f t="shared" si="38"/>
        <v>6</v>
      </c>
      <c r="Q52" s="92">
        <f t="shared" si="39"/>
        <v>8</v>
      </c>
      <c r="R52" s="92">
        <f t="shared" si="40"/>
        <v>7</v>
      </c>
      <c r="S52" s="92">
        <f t="shared" si="41"/>
        <v>6</v>
      </c>
      <c r="T52" s="92">
        <f t="shared" si="42"/>
        <v>7</v>
      </c>
      <c r="U52" s="92">
        <f t="shared" si="43"/>
        <v>6</v>
      </c>
      <c r="V52" s="92">
        <f t="shared" si="44"/>
        <v>6</v>
      </c>
      <c r="W52" s="92">
        <f t="shared" si="45"/>
        <v>6</v>
      </c>
      <c r="X52" s="92">
        <f t="shared" si="46"/>
        <v>6</v>
      </c>
      <c r="Y52" s="92">
        <f t="shared" si="47"/>
        <v>6</v>
      </c>
      <c r="Z52" s="92">
        <f t="shared" si="48"/>
        <v>6</v>
      </c>
      <c r="AA52" s="92">
        <f t="shared" si="49"/>
        <v>6</v>
      </c>
      <c r="AC52" s="36">
        <v>50</v>
      </c>
      <c r="AD52" s="36">
        <f t="shared" si="0"/>
        <v>0.5703090081873764</v>
      </c>
      <c r="AE52" s="36">
        <v>0.36792214809456181</v>
      </c>
      <c r="AF52" s="36">
        <v>1.7829738676738289</v>
      </c>
      <c r="AG52" s="36">
        <v>0.15560769624385815</v>
      </c>
      <c r="AH52" s="36">
        <v>0.15560769624385815</v>
      </c>
      <c r="AI52" s="36">
        <v>0.20702235537471306</v>
      </c>
      <c r="AJ52" s="36">
        <v>0.43154235984390055</v>
      </c>
      <c r="AK52" s="36">
        <v>0.89148693383691446</v>
      </c>
      <c r="AM52" s="36">
        <v>50</v>
      </c>
      <c r="AN52" s="36">
        <v>1352</v>
      </c>
    </row>
    <row r="53" spans="2:40" x14ac:dyDescent="0.15">
      <c r="B53" s="88">
        <v>48</v>
      </c>
      <c r="C53" s="88">
        <v>22</v>
      </c>
      <c r="D53" s="92">
        <f t="shared" si="26"/>
        <v>6</v>
      </c>
      <c r="E53" s="92">
        <f t="shared" si="27"/>
        <v>8</v>
      </c>
      <c r="F53" s="92">
        <f t="shared" si="28"/>
        <v>7</v>
      </c>
      <c r="G53" s="92">
        <f t="shared" si="29"/>
        <v>6</v>
      </c>
      <c r="H53" s="92">
        <f t="shared" si="30"/>
        <v>7</v>
      </c>
      <c r="I53" s="92">
        <f t="shared" si="31"/>
        <v>6</v>
      </c>
      <c r="J53" s="92">
        <f t="shared" si="32"/>
        <v>7</v>
      </c>
      <c r="K53" s="92">
        <f t="shared" si="33"/>
        <v>9</v>
      </c>
      <c r="L53" s="92">
        <f t="shared" si="34"/>
        <v>8</v>
      </c>
      <c r="M53" s="92">
        <f t="shared" si="35"/>
        <v>6</v>
      </c>
      <c r="N53" s="92">
        <f t="shared" si="36"/>
        <v>7</v>
      </c>
      <c r="O53" s="92">
        <f t="shared" si="37"/>
        <v>6</v>
      </c>
      <c r="P53" s="92">
        <f t="shared" si="38"/>
        <v>7</v>
      </c>
      <c r="Q53" s="92">
        <f t="shared" si="39"/>
        <v>8</v>
      </c>
      <c r="R53" s="92">
        <f t="shared" si="40"/>
        <v>7</v>
      </c>
      <c r="S53" s="92">
        <f t="shared" si="41"/>
        <v>6</v>
      </c>
      <c r="T53" s="92">
        <f t="shared" si="42"/>
        <v>7</v>
      </c>
      <c r="U53" s="92">
        <f t="shared" si="43"/>
        <v>7</v>
      </c>
      <c r="V53" s="92">
        <f t="shared" si="44"/>
        <v>6</v>
      </c>
      <c r="W53" s="92">
        <f t="shared" si="45"/>
        <v>6</v>
      </c>
      <c r="X53" s="92">
        <f t="shared" si="46"/>
        <v>6</v>
      </c>
      <c r="Y53" s="92">
        <f t="shared" si="47"/>
        <v>6</v>
      </c>
      <c r="Z53" s="92">
        <f t="shared" si="48"/>
        <v>6</v>
      </c>
      <c r="AA53" s="92">
        <f t="shared" si="49"/>
        <v>6</v>
      </c>
    </row>
    <row r="54" spans="2:40" x14ac:dyDescent="0.15">
      <c r="B54" s="88">
        <v>49</v>
      </c>
      <c r="C54" s="88">
        <v>24</v>
      </c>
      <c r="D54" s="92">
        <f t="shared" si="26"/>
        <v>6</v>
      </c>
      <c r="E54" s="92">
        <f t="shared" si="27"/>
        <v>8</v>
      </c>
      <c r="F54" s="92">
        <f t="shared" si="28"/>
        <v>7</v>
      </c>
      <c r="G54" s="92">
        <f t="shared" si="29"/>
        <v>6</v>
      </c>
      <c r="H54" s="92">
        <f t="shared" si="30"/>
        <v>7</v>
      </c>
      <c r="I54" s="92">
        <f t="shared" si="31"/>
        <v>7</v>
      </c>
      <c r="J54" s="92">
        <f t="shared" si="32"/>
        <v>7</v>
      </c>
      <c r="K54" s="92">
        <f t="shared" si="33"/>
        <v>10</v>
      </c>
      <c r="L54" s="92">
        <f t="shared" si="34"/>
        <v>9</v>
      </c>
      <c r="M54" s="92">
        <f t="shared" si="35"/>
        <v>6</v>
      </c>
      <c r="N54" s="92">
        <f t="shared" si="36"/>
        <v>7</v>
      </c>
      <c r="O54" s="92">
        <f t="shared" si="37"/>
        <v>6</v>
      </c>
      <c r="P54" s="92">
        <f t="shared" si="38"/>
        <v>7</v>
      </c>
      <c r="Q54" s="92">
        <f t="shared" si="39"/>
        <v>8</v>
      </c>
      <c r="R54" s="92">
        <f t="shared" si="40"/>
        <v>7</v>
      </c>
      <c r="S54" s="92">
        <f t="shared" si="41"/>
        <v>6</v>
      </c>
      <c r="T54" s="92">
        <f t="shared" si="42"/>
        <v>7</v>
      </c>
      <c r="U54" s="92">
        <f t="shared" si="43"/>
        <v>7</v>
      </c>
      <c r="V54" s="92">
        <f t="shared" si="44"/>
        <v>6</v>
      </c>
      <c r="W54" s="92">
        <f t="shared" si="45"/>
        <v>6</v>
      </c>
      <c r="X54" s="92">
        <f t="shared" si="46"/>
        <v>6</v>
      </c>
      <c r="Y54" s="92">
        <f t="shared" si="47"/>
        <v>6</v>
      </c>
      <c r="Z54" s="92">
        <f t="shared" si="48"/>
        <v>6</v>
      </c>
      <c r="AA54" s="92">
        <f t="shared" si="49"/>
        <v>6</v>
      </c>
    </row>
    <row r="55" spans="2:40" x14ac:dyDescent="0.15">
      <c r="B55" s="88">
        <v>50</v>
      </c>
      <c r="C55" s="88">
        <v>26</v>
      </c>
      <c r="D55" s="92">
        <f t="shared" si="26"/>
        <v>6</v>
      </c>
      <c r="E55" s="92">
        <f t="shared" si="27"/>
        <v>8</v>
      </c>
      <c r="F55" s="92">
        <f t="shared" si="28"/>
        <v>7</v>
      </c>
      <c r="G55" s="92">
        <f t="shared" si="29"/>
        <v>6</v>
      </c>
      <c r="H55" s="92">
        <f t="shared" si="30"/>
        <v>8</v>
      </c>
      <c r="I55" s="92">
        <f t="shared" si="31"/>
        <v>7</v>
      </c>
      <c r="J55" s="92">
        <f t="shared" si="32"/>
        <v>7</v>
      </c>
      <c r="K55" s="92">
        <f t="shared" si="33"/>
        <v>10</v>
      </c>
      <c r="L55" s="92">
        <f t="shared" si="34"/>
        <v>9</v>
      </c>
      <c r="M55" s="92">
        <f t="shared" si="35"/>
        <v>6</v>
      </c>
      <c r="N55" s="92">
        <f t="shared" si="36"/>
        <v>7</v>
      </c>
      <c r="O55" s="92">
        <f t="shared" si="37"/>
        <v>7</v>
      </c>
      <c r="P55" s="92">
        <f t="shared" si="38"/>
        <v>7</v>
      </c>
      <c r="Q55" s="92">
        <f t="shared" si="39"/>
        <v>9</v>
      </c>
      <c r="R55" s="92">
        <f t="shared" si="40"/>
        <v>7</v>
      </c>
      <c r="S55" s="92">
        <f t="shared" si="41"/>
        <v>6</v>
      </c>
      <c r="T55" s="92">
        <f t="shared" si="42"/>
        <v>8</v>
      </c>
      <c r="U55" s="92">
        <f t="shared" si="43"/>
        <v>7</v>
      </c>
      <c r="V55" s="92">
        <f t="shared" si="44"/>
        <v>6</v>
      </c>
      <c r="W55" s="92">
        <f t="shared" si="45"/>
        <v>6</v>
      </c>
      <c r="X55" s="92">
        <f t="shared" si="46"/>
        <v>6</v>
      </c>
      <c r="Y55" s="92">
        <f t="shared" si="47"/>
        <v>6</v>
      </c>
      <c r="Z55" s="92">
        <f t="shared" si="48"/>
        <v>6</v>
      </c>
      <c r="AA55" s="92">
        <f t="shared" si="49"/>
        <v>6</v>
      </c>
    </row>
    <row r="57" spans="2:40" x14ac:dyDescent="0.15"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40" x14ac:dyDescent="0.15">
      <c r="D58" s="180" t="s">
        <v>306</v>
      </c>
      <c r="E58" s="180"/>
      <c r="F58" s="180"/>
      <c r="G58" s="184" t="s">
        <v>307</v>
      </c>
      <c r="H58" s="184"/>
      <c r="I58" s="184"/>
      <c r="J58" s="185" t="s">
        <v>308</v>
      </c>
      <c r="K58" s="185"/>
      <c r="L58" s="185"/>
      <c r="M58" s="186" t="s">
        <v>309</v>
      </c>
      <c r="N58" s="186"/>
      <c r="O58" s="186"/>
      <c r="P58" s="179" t="s">
        <v>310</v>
      </c>
      <c r="Q58" s="179"/>
      <c r="R58" s="179"/>
      <c r="S58" s="181" t="s">
        <v>311</v>
      </c>
      <c r="T58" s="181"/>
      <c r="U58" s="181"/>
      <c r="V58" s="182" t="s">
        <v>431</v>
      </c>
      <c r="W58" s="182"/>
      <c r="X58" s="182"/>
      <c r="Y58" s="183" t="s">
        <v>434</v>
      </c>
      <c r="Z58" s="183"/>
      <c r="AA58" s="183"/>
    </row>
    <row r="59" spans="2:40" x14ac:dyDescent="0.15">
      <c r="B59" s="36" t="s">
        <v>480</v>
      </c>
      <c r="C59" s="36" t="s">
        <v>479</v>
      </c>
      <c r="D59" s="66" t="s">
        <v>435</v>
      </c>
      <c r="E59" s="66" t="s">
        <v>436</v>
      </c>
      <c r="F59" s="66" t="s">
        <v>437</v>
      </c>
      <c r="G59" s="28" t="s">
        <v>435</v>
      </c>
      <c r="H59" s="28" t="s">
        <v>438</v>
      </c>
      <c r="I59" s="28" t="s">
        <v>439</v>
      </c>
      <c r="J59" s="61" t="s">
        <v>435</v>
      </c>
      <c r="K59" s="61" t="s">
        <v>440</v>
      </c>
      <c r="L59" s="61" t="s">
        <v>441</v>
      </c>
      <c r="M59" s="62" t="s">
        <v>435</v>
      </c>
      <c r="N59" s="62" t="s">
        <v>442</v>
      </c>
      <c r="O59" s="62" t="s">
        <v>443</v>
      </c>
      <c r="P59" s="63" t="s">
        <v>435</v>
      </c>
      <c r="Q59" s="63" t="s">
        <v>444</v>
      </c>
      <c r="R59" s="63" t="s">
        <v>445</v>
      </c>
      <c r="S59" s="64" t="s">
        <v>435</v>
      </c>
      <c r="T59" s="64" t="s">
        <v>446</v>
      </c>
      <c r="U59" s="64" t="s">
        <v>447</v>
      </c>
      <c r="V59" s="65" t="s">
        <v>435</v>
      </c>
      <c r="W59" s="65" t="s">
        <v>448</v>
      </c>
      <c r="X59" s="65" t="s">
        <v>449</v>
      </c>
      <c r="Y59" s="67" t="s">
        <v>435</v>
      </c>
      <c r="Z59" s="67" t="s">
        <v>450</v>
      </c>
      <c r="AA59" s="67" t="s">
        <v>451</v>
      </c>
    </row>
    <row r="60" spans="2:40" x14ac:dyDescent="0.15">
      <c r="B60" s="36">
        <v>5</v>
      </c>
      <c r="C60" s="36">
        <v>124</v>
      </c>
      <c r="D60" s="36">
        <f>D10</f>
        <v>1</v>
      </c>
      <c r="E60" s="36">
        <f t="shared" ref="E60:AA60" si="50">E10</f>
        <v>1</v>
      </c>
      <c r="F60" s="36">
        <f t="shared" si="50"/>
        <v>1</v>
      </c>
      <c r="G60" s="36">
        <f t="shared" si="50"/>
        <v>1</v>
      </c>
      <c r="H60" s="36">
        <f t="shared" si="50"/>
        <v>1</v>
      </c>
      <c r="I60" s="36">
        <f t="shared" si="50"/>
        <v>1</v>
      </c>
      <c r="J60" s="36">
        <f t="shared" si="50"/>
        <v>1</v>
      </c>
      <c r="K60" s="36">
        <f t="shared" si="50"/>
        <v>1</v>
      </c>
      <c r="L60" s="36">
        <f t="shared" si="50"/>
        <v>1</v>
      </c>
      <c r="M60" s="36">
        <f t="shared" si="50"/>
        <v>1</v>
      </c>
      <c r="N60" s="36">
        <f t="shared" si="50"/>
        <v>1</v>
      </c>
      <c r="O60" s="36">
        <f t="shared" si="50"/>
        <v>1</v>
      </c>
      <c r="P60" s="36">
        <f t="shared" si="50"/>
        <v>1</v>
      </c>
      <c r="Q60" s="36">
        <f t="shared" si="50"/>
        <v>1</v>
      </c>
      <c r="R60" s="36">
        <f t="shared" si="50"/>
        <v>1</v>
      </c>
      <c r="S60" s="36">
        <f t="shared" si="50"/>
        <v>1</v>
      </c>
      <c r="T60" s="36">
        <f t="shared" si="50"/>
        <v>1</v>
      </c>
      <c r="U60" s="36">
        <f t="shared" si="50"/>
        <v>1</v>
      </c>
      <c r="V60" s="36">
        <f t="shared" si="50"/>
        <v>1</v>
      </c>
      <c r="W60" s="36">
        <f t="shared" si="50"/>
        <v>1</v>
      </c>
      <c r="X60" s="36">
        <f t="shared" si="50"/>
        <v>1</v>
      </c>
      <c r="Y60" s="36">
        <f t="shared" si="50"/>
        <v>1</v>
      </c>
      <c r="Z60" s="36">
        <f t="shared" si="50"/>
        <v>1</v>
      </c>
      <c r="AA60" s="36">
        <f t="shared" si="50"/>
        <v>1</v>
      </c>
    </row>
    <row r="61" spans="2:40" x14ac:dyDescent="0.15">
      <c r="B61" s="36">
        <v>15</v>
      </c>
      <c r="C61" s="36">
        <v>324</v>
      </c>
      <c r="D61" s="36">
        <f>D20</f>
        <v>2</v>
      </c>
      <c r="E61" s="36">
        <f t="shared" ref="E61:AA61" si="51">E20</f>
        <v>2</v>
      </c>
      <c r="F61" s="36">
        <f t="shared" si="51"/>
        <v>2</v>
      </c>
      <c r="G61" s="36">
        <f t="shared" si="51"/>
        <v>2</v>
      </c>
      <c r="H61" s="36">
        <f t="shared" si="51"/>
        <v>2</v>
      </c>
      <c r="I61" s="36">
        <f t="shared" si="51"/>
        <v>2</v>
      </c>
      <c r="J61" s="36">
        <f t="shared" si="51"/>
        <v>2</v>
      </c>
      <c r="K61" s="36">
        <f t="shared" si="51"/>
        <v>3</v>
      </c>
      <c r="L61" s="36">
        <f t="shared" si="51"/>
        <v>2</v>
      </c>
      <c r="M61" s="36">
        <f t="shared" si="51"/>
        <v>2</v>
      </c>
      <c r="N61" s="36">
        <f t="shared" si="51"/>
        <v>2</v>
      </c>
      <c r="O61" s="36">
        <f t="shared" si="51"/>
        <v>2</v>
      </c>
      <c r="P61" s="36">
        <f t="shared" si="51"/>
        <v>2</v>
      </c>
      <c r="Q61" s="36">
        <f t="shared" si="51"/>
        <v>2</v>
      </c>
      <c r="R61" s="36">
        <f t="shared" si="51"/>
        <v>2</v>
      </c>
      <c r="S61" s="36">
        <f t="shared" si="51"/>
        <v>2</v>
      </c>
      <c r="T61" s="36">
        <f t="shared" si="51"/>
        <v>2</v>
      </c>
      <c r="U61" s="36">
        <f t="shared" si="51"/>
        <v>2</v>
      </c>
      <c r="V61" s="36">
        <f t="shared" si="51"/>
        <v>2</v>
      </c>
      <c r="W61" s="36">
        <f t="shared" si="51"/>
        <v>2</v>
      </c>
      <c r="X61" s="36">
        <f t="shared" si="51"/>
        <v>2</v>
      </c>
      <c r="Y61" s="36">
        <f t="shared" si="51"/>
        <v>2</v>
      </c>
      <c r="Z61" s="36">
        <f t="shared" si="51"/>
        <v>2</v>
      </c>
      <c r="AA61" s="36">
        <f t="shared" si="51"/>
        <v>2</v>
      </c>
    </row>
    <row r="62" spans="2:40" x14ac:dyDescent="0.15">
      <c r="B62" s="36">
        <v>25</v>
      </c>
      <c r="C62" s="36">
        <v>724</v>
      </c>
      <c r="D62" s="36">
        <f>D30</f>
        <v>3</v>
      </c>
      <c r="E62" s="36">
        <f t="shared" ref="E62:AA62" si="52">E30</f>
        <v>3</v>
      </c>
      <c r="F62" s="36">
        <f t="shared" si="52"/>
        <v>3</v>
      </c>
      <c r="G62" s="36">
        <f t="shared" si="52"/>
        <v>3</v>
      </c>
      <c r="H62" s="36">
        <f t="shared" si="52"/>
        <v>3</v>
      </c>
      <c r="I62" s="36">
        <f t="shared" si="52"/>
        <v>3</v>
      </c>
      <c r="J62" s="36">
        <f t="shared" si="52"/>
        <v>3</v>
      </c>
      <c r="K62" s="36">
        <f t="shared" si="52"/>
        <v>4</v>
      </c>
      <c r="L62" s="36">
        <f t="shared" si="52"/>
        <v>4</v>
      </c>
      <c r="M62" s="36">
        <f t="shared" si="52"/>
        <v>3</v>
      </c>
      <c r="N62" s="36">
        <f t="shared" si="52"/>
        <v>3</v>
      </c>
      <c r="O62" s="36">
        <f t="shared" si="52"/>
        <v>3</v>
      </c>
      <c r="P62" s="36">
        <f t="shared" si="52"/>
        <v>3</v>
      </c>
      <c r="Q62" s="36">
        <f t="shared" si="52"/>
        <v>4</v>
      </c>
      <c r="R62" s="36">
        <f t="shared" si="52"/>
        <v>3</v>
      </c>
      <c r="S62" s="36">
        <f t="shared" si="52"/>
        <v>3</v>
      </c>
      <c r="T62" s="36">
        <f t="shared" si="52"/>
        <v>3</v>
      </c>
      <c r="U62" s="36">
        <f t="shared" si="52"/>
        <v>3</v>
      </c>
      <c r="V62" s="36">
        <f t="shared" si="52"/>
        <v>3</v>
      </c>
      <c r="W62" s="36">
        <f t="shared" si="52"/>
        <v>3</v>
      </c>
      <c r="X62" s="36">
        <f t="shared" si="52"/>
        <v>3</v>
      </c>
      <c r="Y62" s="36">
        <f t="shared" si="52"/>
        <v>3</v>
      </c>
      <c r="Z62" s="36">
        <f t="shared" si="52"/>
        <v>3</v>
      </c>
      <c r="AA62" s="36">
        <f t="shared" si="52"/>
        <v>3</v>
      </c>
    </row>
    <row r="63" spans="2:40" x14ac:dyDescent="0.15">
      <c r="B63" s="36">
        <v>35</v>
      </c>
      <c r="C63" s="36">
        <v>1324</v>
      </c>
      <c r="D63" s="36">
        <f>D40</f>
        <v>4</v>
      </c>
      <c r="E63" s="36">
        <f t="shared" ref="E63:AA63" si="53">E40</f>
        <v>5</v>
      </c>
      <c r="F63" s="36">
        <f t="shared" si="53"/>
        <v>4</v>
      </c>
      <c r="G63" s="36">
        <f t="shared" si="53"/>
        <v>4</v>
      </c>
      <c r="H63" s="36">
        <f t="shared" si="53"/>
        <v>4</v>
      </c>
      <c r="I63" s="36">
        <f t="shared" si="53"/>
        <v>4</v>
      </c>
      <c r="J63" s="36">
        <f t="shared" si="53"/>
        <v>4</v>
      </c>
      <c r="K63" s="36">
        <f t="shared" si="53"/>
        <v>5</v>
      </c>
      <c r="L63" s="36">
        <f t="shared" si="53"/>
        <v>5</v>
      </c>
      <c r="M63" s="36">
        <f t="shared" si="53"/>
        <v>4</v>
      </c>
      <c r="N63" s="36">
        <f t="shared" si="53"/>
        <v>4</v>
      </c>
      <c r="O63" s="36">
        <f t="shared" si="53"/>
        <v>4</v>
      </c>
      <c r="P63" s="36">
        <f t="shared" si="53"/>
        <v>4</v>
      </c>
      <c r="Q63" s="36">
        <f t="shared" si="53"/>
        <v>5</v>
      </c>
      <c r="R63" s="36">
        <f t="shared" si="53"/>
        <v>4</v>
      </c>
      <c r="S63" s="36">
        <f t="shared" si="53"/>
        <v>4</v>
      </c>
      <c r="T63" s="36">
        <f t="shared" si="53"/>
        <v>4</v>
      </c>
      <c r="U63" s="36">
        <f t="shared" si="53"/>
        <v>4</v>
      </c>
      <c r="V63" s="36">
        <f t="shared" si="53"/>
        <v>4</v>
      </c>
      <c r="W63" s="36">
        <f t="shared" si="53"/>
        <v>4</v>
      </c>
      <c r="X63" s="36">
        <f t="shared" si="53"/>
        <v>4</v>
      </c>
      <c r="Y63" s="36">
        <f t="shared" si="53"/>
        <v>4</v>
      </c>
      <c r="Z63" s="36">
        <f t="shared" si="53"/>
        <v>4</v>
      </c>
      <c r="AA63" s="36">
        <f t="shared" si="53"/>
        <v>4</v>
      </c>
    </row>
    <row r="64" spans="2:40" x14ac:dyDescent="0.15">
      <c r="B64" s="36">
        <v>45</v>
      </c>
      <c r="C64" s="36">
        <v>2124</v>
      </c>
      <c r="D64" s="36">
        <f>D50</f>
        <v>6</v>
      </c>
      <c r="E64" s="36">
        <f t="shared" ref="E64:AA64" si="54">E50</f>
        <v>7</v>
      </c>
      <c r="F64" s="36">
        <f t="shared" si="54"/>
        <v>6</v>
      </c>
      <c r="G64" s="36">
        <f t="shared" si="54"/>
        <v>6</v>
      </c>
      <c r="H64" s="36">
        <f t="shared" si="54"/>
        <v>7</v>
      </c>
      <c r="I64" s="36">
        <f t="shared" si="54"/>
        <v>6</v>
      </c>
      <c r="J64" s="36">
        <f t="shared" si="54"/>
        <v>6</v>
      </c>
      <c r="K64" s="36">
        <f t="shared" si="54"/>
        <v>8</v>
      </c>
      <c r="L64" s="36">
        <f t="shared" si="54"/>
        <v>7</v>
      </c>
      <c r="M64" s="36">
        <f t="shared" si="54"/>
        <v>6</v>
      </c>
      <c r="N64" s="36">
        <f t="shared" si="54"/>
        <v>7</v>
      </c>
      <c r="O64" s="36">
        <f t="shared" si="54"/>
        <v>6</v>
      </c>
      <c r="P64" s="36">
        <f t="shared" si="54"/>
        <v>6</v>
      </c>
      <c r="Q64" s="36">
        <f t="shared" si="54"/>
        <v>7</v>
      </c>
      <c r="R64" s="36">
        <f t="shared" si="54"/>
        <v>7</v>
      </c>
      <c r="S64" s="36">
        <f t="shared" si="54"/>
        <v>6</v>
      </c>
      <c r="T64" s="36">
        <f t="shared" si="54"/>
        <v>7</v>
      </c>
      <c r="U64" s="36">
        <f t="shared" si="54"/>
        <v>6</v>
      </c>
      <c r="V64" s="36">
        <f t="shared" si="54"/>
        <v>6</v>
      </c>
      <c r="W64" s="36">
        <f t="shared" si="54"/>
        <v>6</v>
      </c>
      <c r="X64" s="36">
        <f t="shared" si="54"/>
        <v>6</v>
      </c>
      <c r="Y64" s="36">
        <f t="shared" si="54"/>
        <v>6</v>
      </c>
      <c r="Z64" s="36">
        <f t="shared" si="54"/>
        <v>6</v>
      </c>
      <c r="AA64" s="36">
        <f t="shared" si="54"/>
        <v>6</v>
      </c>
    </row>
    <row r="66" spans="2:27" x14ac:dyDescent="0.15">
      <c r="C66" s="36" t="s">
        <v>480</v>
      </c>
      <c r="D66" s="180" t="s">
        <v>669</v>
      </c>
      <c r="E66" s="180"/>
      <c r="F66" s="180"/>
      <c r="G66" s="184" t="s">
        <v>669</v>
      </c>
      <c r="H66" s="184"/>
      <c r="I66" s="184"/>
      <c r="J66" s="185" t="s">
        <v>669</v>
      </c>
      <c r="K66" s="185"/>
      <c r="L66" s="185"/>
      <c r="M66" s="186" t="s">
        <v>669</v>
      </c>
      <c r="N66" s="186"/>
      <c r="O66" s="186"/>
      <c r="P66" s="179" t="s">
        <v>669</v>
      </c>
      <c r="Q66" s="179"/>
      <c r="R66" s="179"/>
      <c r="S66" s="181" t="s">
        <v>669</v>
      </c>
      <c r="T66" s="181"/>
      <c r="U66" s="181"/>
      <c r="V66" s="182" t="s">
        <v>668</v>
      </c>
      <c r="W66" s="182"/>
      <c r="X66" s="182"/>
      <c r="Y66" s="183" t="s">
        <v>668</v>
      </c>
      <c r="Z66" s="183"/>
      <c r="AA66" s="183"/>
    </row>
    <row r="67" spans="2:27" x14ac:dyDescent="0.15">
      <c r="C67" s="36">
        <v>5</v>
      </c>
      <c r="D67" s="180">
        <f>SUM(D60:F60)</f>
        <v>3</v>
      </c>
      <c r="E67" s="180"/>
      <c r="F67" s="180"/>
      <c r="G67" s="184">
        <f>SUM(G60:I60)</f>
        <v>3</v>
      </c>
      <c r="H67" s="184"/>
      <c r="I67" s="184"/>
      <c r="J67" s="185">
        <f>SUM(J60:L60)</f>
        <v>3</v>
      </c>
      <c r="K67" s="185"/>
      <c r="L67" s="185"/>
      <c r="M67" s="186">
        <f>SUM(M60:O60)</f>
        <v>3</v>
      </c>
      <c r="N67" s="186"/>
      <c r="O67" s="186"/>
      <c r="P67" s="179">
        <f>SUM(P60:R60)</f>
        <v>3</v>
      </c>
      <c r="Q67" s="179"/>
      <c r="R67" s="179"/>
      <c r="S67" s="181">
        <f>SUM(S60:U60)</f>
        <v>3</v>
      </c>
      <c r="T67" s="181"/>
      <c r="U67" s="181"/>
      <c r="V67" s="182">
        <f>SUM(V60:X60)</f>
        <v>3</v>
      </c>
      <c r="W67" s="182"/>
      <c r="X67" s="182"/>
      <c r="Y67" s="183">
        <f>SUM(Y60:AA60)</f>
        <v>3</v>
      </c>
      <c r="Z67" s="183"/>
      <c r="AA67" s="183"/>
    </row>
    <row r="68" spans="2:27" x14ac:dyDescent="0.15">
      <c r="C68" s="36">
        <v>15</v>
      </c>
      <c r="D68" s="180">
        <f t="shared" ref="D68:D71" si="55">SUM(D61:F61)</f>
        <v>6</v>
      </c>
      <c r="E68" s="180"/>
      <c r="F68" s="180"/>
      <c r="G68" s="184">
        <f t="shared" ref="G68:G71" si="56">SUM(G61:I61)</f>
        <v>6</v>
      </c>
      <c r="H68" s="184"/>
      <c r="I68" s="184"/>
      <c r="J68" s="185">
        <f t="shared" ref="J68:J71" si="57">SUM(J61:L61)</f>
        <v>7</v>
      </c>
      <c r="K68" s="185"/>
      <c r="L68" s="185"/>
      <c r="M68" s="186">
        <f t="shared" ref="M68:M71" si="58">SUM(M61:O61)</f>
        <v>6</v>
      </c>
      <c r="N68" s="186"/>
      <c r="O68" s="186"/>
      <c r="P68" s="179">
        <f t="shared" ref="P68:P71" si="59">SUM(P61:R61)</f>
        <v>6</v>
      </c>
      <c r="Q68" s="179"/>
      <c r="R68" s="179"/>
      <c r="S68" s="181">
        <f t="shared" ref="S68:S71" si="60">SUM(S61:U61)</f>
        <v>6</v>
      </c>
      <c r="T68" s="181"/>
      <c r="U68" s="181"/>
      <c r="V68" s="182">
        <f t="shared" ref="V68:V71" si="61">SUM(V61:X61)</f>
        <v>6</v>
      </c>
      <c r="W68" s="182"/>
      <c r="X68" s="182"/>
      <c r="Y68" s="183">
        <f t="shared" ref="Y68:Y71" si="62">SUM(Y61:AA61)</f>
        <v>6</v>
      </c>
      <c r="Z68" s="183"/>
      <c r="AA68" s="183"/>
    </row>
    <row r="69" spans="2:27" x14ac:dyDescent="0.15">
      <c r="C69" s="36">
        <v>25</v>
      </c>
      <c r="D69" s="180">
        <f t="shared" si="55"/>
        <v>9</v>
      </c>
      <c r="E69" s="180"/>
      <c r="F69" s="180"/>
      <c r="G69" s="184">
        <f t="shared" si="56"/>
        <v>9</v>
      </c>
      <c r="H69" s="184"/>
      <c r="I69" s="184"/>
      <c r="J69" s="185">
        <f t="shared" si="57"/>
        <v>11</v>
      </c>
      <c r="K69" s="185"/>
      <c r="L69" s="185"/>
      <c r="M69" s="186">
        <f t="shared" si="58"/>
        <v>9</v>
      </c>
      <c r="N69" s="186"/>
      <c r="O69" s="186"/>
      <c r="P69" s="179">
        <f t="shared" si="59"/>
        <v>10</v>
      </c>
      <c r="Q69" s="179"/>
      <c r="R69" s="179"/>
      <c r="S69" s="181">
        <f t="shared" si="60"/>
        <v>9</v>
      </c>
      <c r="T69" s="181"/>
      <c r="U69" s="181"/>
      <c r="V69" s="182">
        <f t="shared" si="61"/>
        <v>9</v>
      </c>
      <c r="W69" s="182"/>
      <c r="X69" s="182"/>
      <c r="Y69" s="183">
        <f t="shared" si="62"/>
        <v>9</v>
      </c>
      <c r="Z69" s="183"/>
      <c r="AA69" s="183"/>
    </row>
    <row r="70" spans="2:27" x14ac:dyDescent="0.15">
      <c r="C70" s="36">
        <v>35</v>
      </c>
      <c r="D70" s="180">
        <f t="shared" si="55"/>
        <v>13</v>
      </c>
      <c r="E70" s="180"/>
      <c r="F70" s="180"/>
      <c r="G70" s="184">
        <f t="shared" si="56"/>
        <v>12</v>
      </c>
      <c r="H70" s="184"/>
      <c r="I70" s="184"/>
      <c r="J70" s="185">
        <f t="shared" si="57"/>
        <v>14</v>
      </c>
      <c r="K70" s="185"/>
      <c r="L70" s="185"/>
      <c r="M70" s="186">
        <f t="shared" si="58"/>
        <v>12</v>
      </c>
      <c r="N70" s="186"/>
      <c r="O70" s="186"/>
      <c r="P70" s="179">
        <f t="shared" si="59"/>
        <v>13</v>
      </c>
      <c r="Q70" s="179"/>
      <c r="R70" s="179"/>
      <c r="S70" s="181">
        <f t="shared" si="60"/>
        <v>12</v>
      </c>
      <c r="T70" s="181"/>
      <c r="U70" s="181"/>
      <c r="V70" s="182">
        <f t="shared" si="61"/>
        <v>12</v>
      </c>
      <c r="W70" s="182"/>
      <c r="X70" s="182"/>
      <c r="Y70" s="183">
        <f t="shared" si="62"/>
        <v>12</v>
      </c>
      <c r="Z70" s="183"/>
      <c r="AA70" s="183"/>
    </row>
    <row r="71" spans="2:27" x14ac:dyDescent="0.15">
      <c r="C71" s="36">
        <v>45</v>
      </c>
      <c r="D71" s="180">
        <f t="shared" si="55"/>
        <v>19</v>
      </c>
      <c r="E71" s="180"/>
      <c r="F71" s="180"/>
      <c r="G71" s="184">
        <f t="shared" si="56"/>
        <v>19</v>
      </c>
      <c r="H71" s="184"/>
      <c r="I71" s="184"/>
      <c r="J71" s="185">
        <f t="shared" si="57"/>
        <v>21</v>
      </c>
      <c r="K71" s="185"/>
      <c r="L71" s="185"/>
      <c r="M71" s="186">
        <f t="shared" si="58"/>
        <v>19</v>
      </c>
      <c r="N71" s="186"/>
      <c r="O71" s="186"/>
      <c r="P71" s="179">
        <f t="shared" si="59"/>
        <v>20</v>
      </c>
      <c r="Q71" s="179"/>
      <c r="R71" s="179"/>
      <c r="S71" s="181">
        <f t="shared" si="60"/>
        <v>19</v>
      </c>
      <c r="T71" s="181"/>
      <c r="U71" s="181"/>
      <c r="V71" s="182">
        <f t="shared" si="61"/>
        <v>18</v>
      </c>
      <c r="W71" s="182"/>
      <c r="X71" s="182"/>
      <c r="Y71" s="183">
        <f t="shared" si="62"/>
        <v>18</v>
      </c>
      <c r="Z71" s="183"/>
      <c r="AA71" s="183"/>
    </row>
    <row r="73" spans="2:27" x14ac:dyDescent="0.15">
      <c r="B73" s="188" t="s">
        <v>481</v>
      </c>
      <c r="C73" s="99">
        <f>ROUNDUP(SUM(D73+G73+J73+M73+P73+S73+V73+Y73)/8,0)</f>
        <v>2</v>
      </c>
      <c r="D73" s="66">
        <f>ROUNDUP(VLOOKUP($B60,$AC:$AK,2,FALSE)*$C60*$D$3*D60/D67,0)</f>
        <v>2</v>
      </c>
      <c r="E73" s="66">
        <f>ROUNDUP(VLOOKUP($B60,$AC:$AK,2,FALSE)*$C60*$E$3*E60/D67,0)</f>
        <v>4</v>
      </c>
      <c r="F73" s="66">
        <f>ROUNDUP(VLOOKUP($B60,$AC:$AK,2,FALSE)*$C60*$F$3*F60/D67,0)</f>
        <v>3</v>
      </c>
      <c r="G73" s="28">
        <f>ROUNDUP((VLOOKUP($B60,$AC:$AK,3,FALSE)*$H$1+VLOOKUP($B60,$AC:$AK,4,FALSE)*$H$2)*$C60*$G$3*G60/G67,0)</f>
        <v>1</v>
      </c>
      <c r="H73" s="28">
        <f>ROUNDUP((VLOOKUP($B60,$AC:$AK,3,FALSE)*$H$1+VLOOKUP($B60,$AC:$AK,4,FALSE)*$H$2)*$C60*$H$3*H60/G67,0)</f>
        <v>3</v>
      </c>
      <c r="I73" s="28">
        <f>ROUNDUP((VLOOKUP($B60,$AC:$AK,3,FALSE)*$H$1+VLOOKUP($B60,$AC:$AK,4,FALSE)*$H$2)*$C60*$I$3*I60/G67,0)</f>
        <v>2</v>
      </c>
      <c r="J73" s="61">
        <f>ROUNDUP((VLOOKUP($B60,$AC:$AK,3,FALSE)*$K$2+VLOOKUP($B60,$AC:$AK,4,FALSE)*$K$1)*$C60*$J$3*J60/J67,0)</f>
        <v>3</v>
      </c>
      <c r="K73" s="61">
        <f>ROUNDUP((VLOOKUP($B60,$AC:$AK,3,FALSE)*$K$2+VLOOKUP($B60,$AC:$AK,4,FALSE)*$K$1)*$C60*$K$3*K60/J67,0)</f>
        <v>7</v>
      </c>
      <c r="L73" s="61">
        <f>ROUNDUP((VLOOKUP($B60,$AC:$AK,3,FALSE)*$K$2+VLOOKUP($B60,$AC:$AK,4,FALSE)*$K$1)*$C60*$L$3*L60/J67,0)</f>
        <v>4</v>
      </c>
      <c r="M73" s="62">
        <f>ROUNDUP((VLOOKUP($B60,$AC:$AK,6,FALSE)*$N$2+VLOOKUP($B60,$AC:$AK,9,FALSE)*$N$1)*$C60*$M$3*M60/M67,0)</f>
        <v>2</v>
      </c>
      <c r="N73" s="62">
        <f>ROUNDUP((VLOOKUP($B60,$AC:$AK,6,FALSE)*$N$2+VLOOKUP($B60,$AC:$AK,9,FALSE)*$N$1)*$C60*$N$3*N60/M67,0)</f>
        <v>5</v>
      </c>
      <c r="O73" s="62">
        <f>ROUNDUP((VLOOKUP($B60,$AC:$AK,6,FALSE)*$N$2+VLOOKUP($B60,$AC:$AK,9,FALSE)*$N$1)*$C60*$O$3*O60/M67,0)</f>
        <v>3</v>
      </c>
      <c r="P73" s="63">
        <f>ROUNDUP((VLOOKUP($B60,$AC:$AK,3,FALSE)*$Q$2+VLOOKUP($B60,$AC:$AK,9,FALSE)*$Q$1)*$C60*$P$3*P60/P67,0)</f>
        <v>2</v>
      </c>
      <c r="Q73" s="63">
        <f>ROUNDUP((VLOOKUP($B60,$AC:$AK,3,FALSE)*$Q$2+VLOOKUP($B60,$AC:$AK,9,FALSE)*$Q$1)*$C60*$Q$3*Q60/P67,0)</f>
        <v>4</v>
      </c>
      <c r="R73" s="63">
        <f>ROUNDUP((VLOOKUP($B60,$AC:$AK,3,FALSE)*$Q$2+VLOOKUP($B60,$AC:$AK,9,FALSE)*$Q$1)*$C60*$R$3*R60/P67,0)</f>
        <v>3</v>
      </c>
      <c r="S73" s="64">
        <f>ROUNDUP((VLOOKUP($B60,$AC:$AK,3,FALSE)*$T$2+VLOOKUP($B60,$AC:$AK,8,FALSE)*$T$1)*$S$3*$C60*S60/S67,0)</f>
        <v>2</v>
      </c>
      <c r="T73" s="64">
        <f>ROUNDUP((VLOOKUP($B60,$AC:$AK,3,FALSE)*$T$2+VLOOKUP($B60,$AC:$AK,8,FALSE)*$T$1)*$C60*$T$3*T60/S67,0)</f>
        <v>3</v>
      </c>
      <c r="U73" s="64">
        <f>ROUNDUP((VLOOKUP($B60,$AC:$AK,3,FALSE)*$T$2+VLOOKUP($B60,$AC:$AK,8,FALSE)*$T$1)*$C60*$U$3*U60/S67,0)</f>
        <v>2</v>
      </c>
      <c r="V73" s="65">
        <f>ROUNDUP(VLOOKUP($B60,$AC:$AK,7,FALSE)*$C60*$V$3*V60/V67,0)</f>
        <v>1</v>
      </c>
      <c r="W73" s="65">
        <f>ROUNDUP(VLOOKUP($B60,$AC:$AK,7,FALSE)*$C60*$W$3*W60/V67,0)</f>
        <v>3</v>
      </c>
      <c r="X73" s="65">
        <f>ROUNDUP(VLOOKUP($B60,$AC:$AK,7,FALSE)*$C60*$X$3*X60/V67,0)</f>
        <v>2</v>
      </c>
      <c r="Y73" s="67">
        <f>ROUNDUP(VLOOKUP($B60,$AC:$AK,5,FALSE)*$C60*$Y$3*Y60/Y67,0)</f>
        <v>2</v>
      </c>
      <c r="Z73" s="67">
        <f>ROUNDUP(VLOOKUP($B60,$AC:$AK,5,FALSE)*$C60*$Z$3*Z60/Y67,0)</f>
        <v>3</v>
      </c>
      <c r="AA73" s="67">
        <f>ROUNDUP(VLOOKUP($B60,$AC:$AK,5,FALSE)*$C60*$AA$3*AA60/Y67,0)</f>
        <v>2</v>
      </c>
    </row>
    <row r="74" spans="2:27" x14ac:dyDescent="0.15">
      <c r="B74" s="188"/>
      <c r="C74" s="99">
        <f t="shared" ref="C74:C77" si="63">ROUNDUP(SUM(D74+G74+J74+M74+P74+S74+V74+Y74)/8,0)</f>
        <v>6</v>
      </c>
      <c r="D74" s="66">
        <f>ROUNDUP(VLOOKUP($B61,$AC:$AK,2,FALSE)*$C61*$D$3*D61/D68,0)</f>
        <v>6</v>
      </c>
      <c r="E74" s="66">
        <f>ROUNDUP(VLOOKUP($B61,$AC:$AK,2,FALSE)*$C61*$E$3*E61/D68,0)</f>
        <v>14</v>
      </c>
      <c r="F74" s="66">
        <f>ROUNDUP(VLOOKUP($B61,$AC:$AK,2,FALSE)*$C61*$F$3*F61/D68,0)</f>
        <v>9</v>
      </c>
      <c r="G74" s="28">
        <f>ROUNDUP((VLOOKUP($B61,$AC:$AK,3,FALSE)*$H$1+VLOOKUP($B61,$AC:$AK,4,FALSE)*$H$2)*$C61*$G$3*G61/G68,0)</f>
        <v>4</v>
      </c>
      <c r="H74" s="28">
        <f>ROUNDUP((VLOOKUP($B61,$AC:$AK,3,FALSE)*$H$1+VLOOKUP($B61,$AC:$AK,4,FALSE)*$H$2)*$C61*$H$3*H61/G68,0)</f>
        <v>10</v>
      </c>
      <c r="I74" s="28">
        <f>ROUNDUP((VLOOKUP($B61,$AC:$AK,3,FALSE)*$H$1+VLOOKUP($B61,$AC:$AK,4,FALSE)*$H$2)*$C61*$I$3*I61/G68,0)</f>
        <v>6</v>
      </c>
      <c r="J74" s="61">
        <f>ROUNDUP((VLOOKUP($B61,$AC:$AK,3,FALSE)*$K$2+VLOOKUP($B61,$AC:$AK,4,FALSE)*$K$1)*$C61*$J$3*J61/J68,0)</f>
        <v>10</v>
      </c>
      <c r="K74" s="61">
        <f>ROUNDUP((VLOOKUP($B61,$AC:$AK,3,FALSE)*$K$2+VLOOKUP($B61,$AC:$AK,4,FALSE)*$K$1)*$C61*$K$3*K61/J68,0)</f>
        <v>36</v>
      </c>
      <c r="L74" s="61">
        <f>ROUNDUP((VLOOKUP($B61,$AC:$AK,3,FALSE)*$K$2+VLOOKUP($B61,$AC:$AK,4,FALSE)*$K$1)*$C61*$L$3*L61/J68,0)</f>
        <v>15</v>
      </c>
      <c r="M74" s="62">
        <f>ROUNDUP((VLOOKUP($B61,$AC:$AK,6,FALSE)*$N$2+VLOOKUP($B61,$AC:$AK,9,FALSE)*$N$1)*$C61*$M$3*M61/M68,0)</f>
        <v>6</v>
      </c>
      <c r="N74" s="62">
        <f>ROUNDUP((VLOOKUP($B61,$AC:$AK,6,FALSE)*$N$2+VLOOKUP($B61,$AC:$AK,9,FALSE)*$N$1)*$C61*$N$3*N61/M68,0)</f>
        <v>13</v>
      </c>
      <c r="O74" s="62">
        <f>ROUNDUP((VLOOKUP($B61,$AC:$AK,6,FALSE)*$N$2+VLOOKUP($B61,$AC:$AK,9,FALSE)*$N$1)*$C61*$O$3*O61/M68,0)</f>
        <v>8</v>
      </c>
      <c r="P74" s="63">
        <f>ROUNDUP((VLOOKUP($B61,$AC:$AK,3,FALSE)*$Q$2+VLOOKUP($B61,$AC:$AK,9,FALSE)*$Q$1)*$C61*$P$3*P61/P68,0)</f>
        <v>6</v>
      </c>
      <c r="Q74" s="63">
        <f>ROUNDUP((VLOOKUP($B61,$AC:$AK,3,FALSE)*$Q$2+VLOOKUP($B61,$AC:$AK,9,FALSE)*$Q$1)*$C61*$Q$3*Q61/P68,0)</f>
        <v>15</v>
      </c>
      <c r="R74" s="63">
        <f>ROUNDUP((VLOOKUP($B61,$AC:$AK,3,FALSE)*$Q$2+VLOOKUP($B61,$AC:$AK,9,FALSE)*$Q$1)*$C61*$R$3*R61/P68,0)</f>
        <v>9</v>
      </c>
      <c r="S74" s="64">
        <f>ROUNDUP((VLOOKUP($B61,$AC:$AK,3,FALSE)*$T$2+VLOOKUP($B61,$AC:$AK,8,FALSE)*$T$1)*$S$3*$C61*S61/S68,0)</f>
        <v>5</v>
      </c>
      <c r="T74" s="64">
        <f>ROUNDUP((VLOOKUP($B61,$AC:$AK,3,FALSE)*$T$2+VLOOKUP($B61,$AC:$AK,8,FALSE)*$T$1)*$C61*$T$3*T61/S68,0)</f>
        <v>12</v>
      </c>
      <c r="U74" s="64">
        <f>ROUNDUP((VLOOKUP($B61,$AC:$AK,3,FALSE)*$T$2+VLOOKUP($B61,$AC:$AK,8,FALSE)*$T$1)*$C61*$U$3*U61/S68,0)</f>
        <v>7</v>
      </c>
      <c r="V74" s="65">
        <f>ROUNDUP(VLOOKUP($B61,$AC:$AK,7,FALSE)*$C61*$V$3*V61/V68,0)</f>
        <v>4</v>
      </c>
      <c r="W74" s="65">
        <f>ROUNDUP(VLOOKUP($B61,$AC:$AK,7,FALSE)*$C61*$W$3*W61/V68,0)</f>
        <v>8</v>
      </c>
      <c r="X74" s="65">
        <f>ROUNDUP(VLOOKUP($B61,$AC:$AK,7,FALSE)*$C61*$X$3*X61/V68,0)</f>
        <v>5</v>
      </c>
      <c r="Y74" s="67">
        <f>ROUNDUP(VLOOKUP($B61,$AC:$AK,5,FALSE)*$C61*$Y$3*Y61/Y68,0)</f>
        <v>4</v>
      </c>
      <c r="Z74" s="67">
        <f>ROUNDUP(VLOOKUP($B61,$AC:$AK,5,FALSE)*$C61*$Z$3*Z61/Y68,0)</f>
        <v>8</v>
      </c>
      <c r="AA74" s="67">
        <f>ROUNDUP(VLOOKUP($B61,$AC:$AK,5,FALSE)*$C61*$AA$3*AA61/Y68,0)</f>
        <v>5</v>
      </c>
    </row>
    <row r="75" spans="2:27" x14ac:dyDescent="0.15">
      <c r="B75" s="188"/>
      <c r="C75" s="99">
        <f t="shared" si="63"/>
        <v>16</v>
      </c>
      <c r="D75" s="66">
        <f>ROUNDUP(VLOOKUP($B62,$AC:$AK,2,FALSE)*$C62*$D$3*D62/D69,0)</f>
        <v>17</v>
      </c>
      <c r="E75" s="66">
        <f>ROUNDUP(VLOOKUP($B62,$AC:$AK,2,FALSE)*$C62*$E$3*E62/D69,0)</f>
        <v>41</v>
      </c>
      <c r="F75" s="66">
        <f>ROUNDUP(VLOOKUP($B62,$AC:$AK,2,FALSE)*$C62*$F$3*F62/D69,0)</f>
        <v>25</v>
      </c>
      <c r="G75" s="28">
        <f>ROUNDUP((VLOOKUP($B62,$AC:$AK,3,FALSE)*$H$1+VLOOKUP($B62,$AC:$AK,4,FALSE)*$H$2)*$C62*$G$3*G62/G69,0)</f>
        <v>13</v>
      </c>
      <c r="H75" s="28">
        <f>ROUNDUP((VLOOKUP($B62,$AC:$AK,3,FALSE)*$H$1+VLOOKUP($B62,$AC:$AK,4,FALSE)*$H$2)*$C62*$H$3*H62/G69,0)</f>
        <v>31</v>
      </c>
      <c r="I75" s="28">
        <f>ROUNDUP((VLOOKUP($B62,$AC:$AK,3,FALSE)*$H$1+VLOOKUP($B62,$AC:$AK,4,FALSE)*$H$2)*$C62*$I$3*I62/G69,0)</f>
        <v>19</v>
      </c>
      <c r="J75" s="61">
        <f>ROUNDUP((VLOOKUP($B62,$AC:$AK,3,FALSE)*$K$2+VLOOKUP($B62,$AC:$AK,4,FALSE)*$K$1)*$C62*$J$3*J62/J69,0)</f>
        <v>30</v>
      </c>
      <c r="K75" s="61">
        <f>ROUNDUP((VLOOKUP($B62,$AC:$AK,3,FALSE)*$K$2+VLOOKUP($B62,$AC:$AK,4,FALSE)*$K$1)*$C62*$K$3*K62/J69,0)</f>
        <v>97</v>
      </c>
      <c r="L75" s="61">
        <f>ROUNDUP((VLOOKUP($B62,$AC:$AK,3,FALSE)*$K$2+VLOOKUP($B62,$AC:$AK,4,FALSE)*$K$1)*$C62*$L$3*L62/J69,0)</f>
        <v>59</v>
      </c>
      <c r="M75" s="62">
        <f>ROUNDUP((VLOOKUP($B62,$AC:$AK,6,FALSE)*$N$2+VLOOKUP($B62,$AC:$AK,9,FALSE)*$N$1)*$C62*$M$3*M62/M69,0)</f>
        <v>14</v>
      </c>
      <c r="N75" s="62">
        <f>ROUNDUP((VLOOKUP($B62,$AC:$AK,6,FALSE)*$N$2+VLOOKUP($B62,$AC:$AK,9,FALSE)*$N$1)*$C62*$N$3*N62/M69,0)</f>
        <v>35</v>
      </c>
      <c r="O75" s="62">
        <f>ROUNDUP((VLOOKUP($B62,$AC:$AK,6,FALSE)*$N$2+VLOOKUP($B62,$AC:$AK,9,FALSE)*$N$1)*$C62*$O$3*O62/M69,0)</f>
        <v>21</v>
      </c>
      <c r="P75" s="63">
        <f>ROUNDUP((VLOOKUP($B62,$AC:$AK,3,FALSE)*$Q$2+VLOOKUP($B62,$AC:$AK,9,FALSE)*$Q$1)*$C62*$P$3*P62/P69,0)</f>
        <v>18</v>
      </c>
      <c r="Q75" s="63">
        <f>ROUNDUP((VLOOKUP($B62,$AC:$AK,3,FALSE)*$Q$2+VLOOKUP($B62,$AC:$AK,9,FALSE)*$Q$1)*$C62*$Q$3*Q62/P69,0)</f>
        <v>58</v>
      </c>
      <c r="R75" s="63">
        <f>ROUNDUP((VLOOKUP($B62,$AC:$AK,3,FALSE)*$Q$2+VLOOKUP($B62,$AC:$AK,9,FALSE)*$Q$1)*$C62*$R$3*R62/P69,0)</f>
        <v>26</v>
      </c>
      <c r="S75" s="64">
        <f>ROUNDUP((VLOOKUP($B62,$AC:$AK,3,FALSE)*$T$2+VLOOKUP($B62,$AC:$AK,8,FALSE)*$T$1)*$S$3*$C62*S62/S69,0)</f>
        <v>14</v>
      </c>
      <c r="T75" s="64">
        <f>ROUNDUP((VLOOKUP($B62,$AC:$AK,3,FALSE)*$T$2+VLOOKUP($B62,$AC:$AK,8,FALSE)*$T$1)*$C62*$T$3*T62/S69,0)</f>
        <v>35</v>
      </c>
      <c r="U75" s="64">
        <f>ROUNDUP((VLOOKUP($B62,$AC:$AK,3,FALSE)*$T$2+VLOOKUP($B62,$AC:$AK,8,FALSE)*$T$1)*$C62*$U$3*U62/S69,0)</f>
        <v>21</v>
      </c>
      <c r="V75" s="65">
        <f>ROUNDUP(VLOOKUP($B62,$AC:$AK,7,FALSE)*$C62*$V$3*V62/V69,0)</f>
        <v>8</v>
      </c>
      <c r="W75" s="65">
        <f>ROUNDUP(VLOOKUP($B62,$AC:$AK,7,FALSE)*$C62*$W$3*W62/V69,0)</f>
        <v>20</v>
      </c>
      <c r="X75" s="65">
        <f>ROUNDUP(VLOOKUP($B62,$AC:$AK,7,FALSE)*$C62*$X$3*X62/V69,0)</f>
        <v>12</v>
      </c>
      <c r="Y75" s="67">
        <f>ROUNDUP(VLOOKUP($B62,$AC:$AK,5,FALSE)*$C62*$Y$3*Y62/Y69,0)</f>
        <v>7</v>
      </c>
      <c r="Z75" s="67">
        <f>ROUNDUP(VLOOKUP($B62,$AC:$AK,5,FALSE)*$C62*$Z$3*Z62/Y69,0)</f>
        <v>18</v>
      </c>
      <c r="AA75" s="67">
        <f>ROUNDUP(VLOOKUP($B62,$AC:$AK,5,FALSE)*$C62*$AA$3*AA62/Y69,0)</f>
        <v>11</v>
      </c>
    </row>
    <row r="76" spans="2:27" x14ac:dyDescent="0.15">
      <c r="B76" s="188"/>
      <c r="C76" s="99">
        <f t="shared" si="63"/>
        <v>35</v>
      </c>
      <c r="D76" s="66">
        <f>ROUNDUP(VLOOKUP($B63,$AC:$AK,2,FALSE)*$C63*$D$3*D63/D70,0)</f>
        <v>35</v>
      </c>
      <c r="E76" s="66">
        <f>ROUNDUP(VLOOKUP($B63,$AC:$AK,2,FALSE)*$C63*$E$3*E63/D70,0)</f>
        <v>108</v>
      </c>
      <c r="F76" s="66">
        <f>ROUNDUP(VLOOKUP($B63,$AC:$AK,2,FALSE)*$C63*$F$3*F63/D70,0)</f>
        <v>52</v>
      </c>
      <c r="G76" s="28">
        <f>ROUNDUP((VLOOKUP($B63,$AC:$AK,3,FALSE)*$H$1+VLOOKUP($B63,$AC:$AK,4,FALSE)*$H$2)*$C63*$G$3*G63/G70,0)</f>
        <v>30</v>
      </c>
      <c r="H76" s="28">
        <f>ROUNDUP((VLOOKUP($B63,$AC:$AK,3,FALSE)*$H$1+VLOOKUP($B63,$AC:$AK,4,FALSE)*$H$2)*$C63*$H$3*H63/G70,0)</f>
        <v>74</v>
      </c>
      <c r="I76" s="28">
        <f>ROUNDUP((VLOOKUP($B63,$AC:$AK,3,FALSE)*$H$1+VLOOKUP($B63,$AC:$AK,4,FALSE)*$H$2)*$C63*$I$3*I63/G70,0)</f>
        <v>45</v>
      </c>
      <c r="J76" s="61">
        <f>ROUNDUP((VLOOKUP($B63,$AC:$AK,3,FALSE)*$K$2+VLOOKUP($B63,$AC:$AK,4,FALSE)*$K$1)*$C63*$J$3*J63/J70,0)</f>
        <v>75</v>
      </c>
      <c r="K76" s="61">
        <f>ROUNDUP((VLOOKUP($B63,$AC:$AK,3,FALSE)*$K$2+VLOOKUP($B63,$AC:$AK,4,FALSE)*$K$1)*$C63*$K$3*K63/J70,0)</f>
        <v>232</v>
      </c>
      <c r="L76" s="61">
        <f>ROUNDUP((VLOOKUP($B63,$AC:$AK,3,FALSE)*$K$2+VLOOKUP($B63,$AC:$AK,4,FALSE)*$K$1)*$C63*$L$3*L63/J70,0)</f>
        <v>139</v>
      </c>
      <c r="M76" s="62">
        <f>ROUNDUP((VLOOKUP($B63,$AC:$AK,6,FALSE)*$N$2+VLOOKUP($B63,$AC:$AK,9,FALSE)*$N$1)*$C63*$M$3*M63/M70,0)</f>
        <v>30</v>
      </c>
      <c r="N76" s="62">
        <f>ROUNDUP((VLOOKUP($B63,$AC:$AK,6,FALSE)*$N$2+VLOOKUP($B63,$AC:$AK,9,FALSE)*$N$1)*$C63*$N$3*N63/M70,0)</f>
        <v>74</v>
      </c>
      <c r="O76" s="62">
        <f>ROUNDUP((VLOOKUP($B63,$AC:$AK,6,FALSE)*$N$2+VLOOKUP($B63,$AC:$AK,9,FALSE)*$N$1)*$C63*$O$3*O63/M70,0)</f>
        <v>45</v>
      </c>
      <c r="P76" s="63">
        <f>ROUNDUP((VLOOKUP($B63,$AC:$AK,3,FALSE)*$Q$2+VLOOKUP($B63,$AC:$AK,9,FALSE)*$Q$1)*$C63*$P$3*P63/P70,0)</f>
        <v>43</v>
      </c>
      <c r="Q76" s="63">
        <f>ROUNDUP((VLOOKUP($B63,$AC:$AK,3,FALSE)*$Q$2+VLOOKUP($B63,$AC:$AK,9,FALSE)*$Q$1)*$C63*$Q$3*Q63/P70,0)</f>
        <v>134</v>
      </c>
      <c r="R76" s="63">
        <f>ROUNDUP((VLOOKUP($B63,$AC:$AK,3,FALSE)*$Q$2+VLOOKUP($B63,$AC:$AK,9,FALSE)*$Q$1)*$C63*$R$3*R63/P70,0)</f>
        <v>65</v>
      </c>
      <c r="S76" s="64">
        <f>ROUNDUP((VLOOKUP($B63,$AC:$AK,3,FALSE)*$T$2+VLOOKUP($B63,$AC:$AK,8,FALSE)*$T$1)*$S$3*$C63*S63/S70,0)</f>
        <v>33</v>
      </c>
      <c r="T76" s="64">
        <f>ROUNDUP((VLOOKUP($B63,$AC:$AK,3,FALSE)*$T$2+VLOOKUP($B63,$AC:$AK,8,FALSE)*$T$1)*$C63*$T$3*T63/S70,0)</f>
        <v>81</v>
      </c>
      <c r="U76" s="64">
        <f>ROUNDUP((VLOOKUP($B63,$AC:$AK,3,FALSE)*$T$2+VLOOKUP($B63,$AC:$AK,8,FALSE)*$T$1)*$C63*$U$3*U63/S70,0)</f>
        <v>49</v>
      </c>
      <c r="V76" s="65">
        <f>ROUNDUP(VLOOKUP($B63,$AC:$AK,7,FALSE)*$C63*$V$3*V63/V70,0)</f>
        <v>17</v>
      </c>
      <c r="W76" s="65">
        <f>ROUNDUP(VLOOKUP($B63,$AC:$AK,7,FALSE)*$C63*$W$3*W63/V70,0)</f>
        <v>41</v>
      </c>
      <c r="X76" s="65">
        <f>ROUNDUP(VLOOKUP($B63,$AC:$AK,7,FALSE)*$C63*$X$3*X63/V70,0)</f>
        <v>25</v>
      </c>
      <c r="Y76" s="67">
        <f>ROUNDUP(VLOOKUP($B63,$AC:$AK,5,FALSE)*$C63*$Y$3*Y63/Y70,0)</f>
        <v>13</v>
      </c>
      <c r="Z76" s="67">
        <f>ROUNDUP(VLOOKUP($B63,$AC:$AK,5,FALSE)*$C63*$Z$3*Z63/Y70,0)</f>
        <v>32</v>
      </c>
      <c r="AA76" s="67">
        <f>ROUNDUP(VLOOKUP($B63,$AC:$AK,5,FALSE)*$C63*$AA$3*AA63/Y70,0)</f>
        <v>20</v>
      </c>
    </row>
    <row r="77" spans="2:27" x14ac:dyDescent="0.15">
      <c r="B77" s="188"/>
      <c r="C77" s="99">
        <f t="shared" si="63"/>
        <v>66</v>
      </c>
      <c r="D77" s="66">
        <f>ROUNDUP(VLOOKUP($B64,$AC:$AK,2,FALSE)*$C64*$D$3*D64/D71,0)</f>
        <v>70</v>
      </c>
      <c r="E77" s="66">
        <f>ROUNDUP(VLOOKUP($B64,$AC:$AK,2,FALSE)*$C64*$E$3*E64/D71,0)</f>
        <v>204</v>
      </c>
      <c r="F77" s="66">
        <f>ROUNDUP(VLOOKUP($B64,$AC:$AK,2,FALSE)*$C64*$F$3*F64/D71,0)</f>
        <v>105</v>
      </c>
      <c r="G77" s="28">
        <f>ROUNDUP((VLOOKUP($B64,$AC:$AK,3,FALSE)*$H$1+VLOOKUP($B64,$AC:$AK,4,FALSE)*$H$2)*$C64*$G$3*G64/G71,0)</f>
        <v>57</v>
      </c>
      <c r="H77" s="28">
        <f>ROUNDUP((VLOOKUP($B64,$AC:$AK,3,FALSE)*$H$1+VLOOKUP($B64,$AC:$AK,4,FALSE)*$H$2)*$C64*$H$3*H64/G71,0)</f>
        <v>166</v>
      </c>
      <c r="I77" s="28">
        <f>ROUNDUP((VLOOKUP($B64,$AC:$AK,3,FALSE)*$H$1+VLOOKUP($B64,$AC:$AK,4,FALSE)*$H$2)*$C64*$I$3*I64/G71,0)</f>
        <v>85</v>
      </c>
      <c r="J77" s="61">
        <f>ROUNDUP((VLOOKUP($B64,$AC:$AK,3,FALSE)*$K$2+VLOOKUP($B64,$AC:$AK,4,FALSE)*$K$1)*$C64*$J$3*J64/J71,0)</f>
        <v>151</v>
      </c>
      <c r="K77" s="61">
        <f>ROUNDUP((VLOOKUP($B64,$AC:$AK,3,FALSE)*$K$2+VLOOKUP($B64,$AC:$AK,4,FALSE)*$K$1)*$C64*$K$3*K64/J71,0)</f>
        <v>502</v>
      </c>
      <c r="L77" s="61">
        <f>ROUNDUP((VLOOKUP($B64,$AC:$AK,3,FALSE)*$K$2+VLOOKUP($B64,$AC:$AK,4,FALSE)*$K$1)*$C64*$L$3*L64/J71,0)</f>
        <v>264</v>
      </c>
      <c r="M77" s="62">
        <f>ROUNDUP((VLOOKUP($B64,$AC:$AK,6,FALSE)*$N$2+VLOOKUP($B64,$AC:$AK,9,FALSE)*$N$1)*$C64*$M$3*M64/M71,0)</f>
        <v>53</v>
      </c>
      <c r="N77" s="62">
        <f>ROUNDUP((VLOOKUP($B64,$AC:$AK,6,FALSE)*$N$2+VLOOKUP($B64,$AC:$AK,9,FALSE)*$N$1)*$C64*$N$3*N64/M71,0)</f>
        <v>154</v>
      </c>
      <c r="O77" s="62">
        <f>ROUNDUP((VLOOKUP($B64,$AC:$AK,6,FALSE)*$N$2+VLOOKUP($B64,$AC:$AK,9,FALSE)*$N$1)*$C64*$O$3*O64/M71,0)</f>
        <v>79</v>
      </c>
      <c r="P77" s="63">
        <f>ROUNDUP((VLOOKUP($B64,$AC:$AK,3,FALSE)*$Q$2+VLOOKUP($B64,$AC:$AK,9,FALSE)*$Q$1)*$C64*$P$3*P64/P71,0)</f>
        <v>85</v>
      </c>
      <c r="Q77" s="63">
        <f>ROUNDUP((VLOOKUP($B64,$AC:$AK,3,FALSE)*$Q$2+VLOOKUP($B64,$AC:$AK,9,FALSE)*$Q$1)*$C64*$Q$3*Q64/P71,0)</f>
        <v>247</v>
      </c>
      <c r="R77" s="63">
        <f>ROUNDUP((VLOOKUP($B64,$AC:$AK,3,FALSE)*$Q$2+VLOOKUP($B64,$AC:$AK,9,FALSE)*$Q$1)*$C64*$R$3*R64/P71,0)</f>
        <v>148</v>
      </c>
      <c r="S77" s="64">
        <f>ROUNDUP((VLOOKUP($B64,$AC:$AK,3,FALSE)*$T$2+VLOOKUP($B64,$AC:$AK,8,FALSE)*$T$1)*$S$3*$C64*S64/S71,0)</f>
        <v>60</v>
      </c>
      <c r="T77" s="64">
        <f>ROUNDUP((VLOOKUP($B64,$AC:$AK,3,FALSE)*$T$2+VLOOKUP($B64,$AC:$AK,8,FALSE)*$T$1)*$C64*$T$3*T64/S71,0)</f>
        <v>174</v>
      </c>
      <c r="U77" s="64">
        <f>ROUNDUP((VLOOKUP($B64,$AC:$AK,3,FALSE)*$T$2+VLOOKUP($B64,$AC:$AK,8,FALSE)*$T$1)*$C64*$U$3*U64/S71,0)</f>
        <v>90</v>
      </c>
      <c r="V77" s="65">
        <f>ROUNDUP(VLOOKUP($B64,$AC:$AK,7,FALSE)*$C64*$V$3*V64/V71,0)</f>
        <v>29</v>
      </c>
      <c r="W77" s="65">
        <f>ROUNDUP(VLOOKUP($B64,$AC:$AK,7,FALSE)*$C64*$W$3*W64/V71,0)</f>
        <v>71</v>
      </c>
      <c r="X77" s="65">
        <f>ROUNDUP(VLOOKUP($B64,$AC:$AK,7,FALSE)*$C64*$X$3*X64/V71,0)</f>
        <v>43</v>
      </c>
      <c r="Y77" s="67">
        <f>ROUNDUP(VLOOKUP($B64,$AC:$AK,5,FALSE)*$C64*$Y$3*Y64/Y71,0)</f>
        <v>22</v>
      </c>
      <c r="Z77" s="67">
        <f>ROUNDUP(VLOOKUP($B64,$AC:$AK,5,FALSE)*$C64*$Z$3*Z64/Y71,0)</f>
        <v>54</v>
      </c>
      <c r="AA77" s="67">
        <f>ROUNDUP(VLOOKUP($B64,$AC:$AK,5,FALSE)*$C64*$AA$3*AA64/Y71,0)</f>
        <v>33</v>
      </c>
    </row>
    <row r="78" spans="2:27" x14ac:dyDescent="0.15">
      <c r="C78" s="36" t="s">
        <v>482</v>
      </c>
    </row>
    <row r="79" spans="2:27" x14ac:dyDescent="0.15">
      <c r="R79" s="100"/>
    </row>
    <row r="80" spans="2:27" x14ac:dyDescent="0.15">
      <c r="B80" s="187" t="s">
        <v>667</v>
      </c>
      <c r="C80" s="99">
        <f t="shared" ref="C80:AA80" si="64">ROUNDUP(C73*11.07,0)</f>
        <v>23</v>
      </c>
      <c r="D80" s="66">
        <f t="shared" si="64"/>
        <v>23</v>
      </c>
      <c r="E80" s="66">
        <f t="shared" si="64"/>
        <v>45</v>
      </c>
      <c r="F80" s="66">
        <f t="shared" si="64"/>
        <v>34</v>
      </c>
      <c r="G80" s="28">
        <f t="shared" si="64"/>
        <v>12</v>
      </c>
      <c r="H80" s="28">
        <f t="shared" si="64"/>
        <v>34</v>
      </c>
      <c r="I80" s="28">
        <f t="shared" si="64"/>
        <v>23</v>
      </c>
      <c r="J80" s="61">
        <f t="shared" si="64"/>
        <v>34</v>
      </c>
      <c r="K80" s="61">
        <f t="shared" si="64"/>
        <v>78</v>
      </c>
      <c r="L80" s="61">
        <f t="shared" si="64"/>
        <v>45</v>
      </c>
      <c r="M80" s="62">
        <f t="shared" si="64"/>
        <v>23</v>
      </c>
      <c r="N80" s="62">
        <f t="shared" si="64"/>
        <v>56</v>
      </c>
      <c r="O80" s="62">
        <f t="shared" si="64"/>
        <v>34</v>
      </c>
      <c r="P80" s="63">
        <f t="shared" si="64"/>
        <v>23</v>
      </c>
      <c r="Q80" s="63">
        <f t="shared" si="64"/>
        <v>45</v>
      </c>
      <c r="R80" s="63">
        <f t="shared" si="64"/>
        <v>34</v>
      </c>
      <c r="S80" s="64">
        <f t="shared" si="64"/>
        <v>23</v>
      </c>
      <c r="T80" s="64">
        <f t="shared" si="64"/>
        <v>34</v>
      </c>
      <c r="U80" s="64">
        <f t="shared" si="64"/>
        <v>23</v>
      </c>
      <c r="V80" s="65">
        <f t="shared" si="64"/>
        <v>12</v>
      </c>
      <c r="W80" s="65">
        <f t="shared" si="64"/>
        <v>34</v>
      </c>
      <c r="X80" s="65">
        <f t="shared" si="64"/>
        <v>23</v>
      </c>
      <c r="Y80" s="67">
        <f t="shared" si="64"/>
        <v>23</v>
      </c>
      <c r="Z80" s="67">
        <f t="shared" si="64"/>
        <v>34</v>
      </c>
      <c r="AA80" s="67">
        <f t="shared" si="64"/>
        <v>23</v>
      </c>
    </row>
    <row r="81" spans="2:27" x14ac:dyDescent="0.15">
      <c r="B81" s="187"/>
      <c r="C81" s="99">
        <f>ROUNDUP(C74*11.07,0)</f>
        <v>67</v>
      </c>
      <c r="D81" s="66">
        <f t="shared" ref="D81:AA81" si="65">ROUNDUP(D74*11.07,0)</f>
        <v>67</v>
      </c>
      <c r="E81" s="66">
        <f t="shared" si="65"/>
        <v>155</v>
      </c>
      <c r="F81" s="66">
        <f t="shared" si="65"/>
        <v>100</v>
      </c>
      <c r="G81" s="28">
        <f t="shared" si="65"/>
        <v>45</v>
      </c>
      <c r="H81" s="28">
        <f t="shared" si="65"/>
        <v>111</v>
      </c>
      <c r="I81" s="28">
        <f t="shared" si="65"/>
        <v>67</v>
      </c>
      <c r="J81" s="61">
        <f t="shared" si="65"/>
        <v>111</v>
      </c>
      <c r="K81" s="61">
        <f t="shared" si="65"/>
        <v>399</v>
      </c>
      <c r="L81" s="61">
        <f t="shared" si="65"/>
        <v>167</v>
      </c>
      <c r="M81" s="62">
        <f t="shared" si="65"/>
        <v>67</v>
      </c>
      <c r="N81" s="62">
        <f t="shared" si="65"/>
        <v>144</v>
      </c>
      <c r="O81" s="62">
        <f t="shared" si="65"/>
        <v>89</v>
      </c>
      <c r="P81" s="63">
        <f t="shared" si="65"/>
        <v>67</v>
      </c>
      <c r="Q81" s="63">
        <f t="shared" si="65"/>
        <v>167</v>
      </c>
      <c r="R81" s="63">
        <f t="shared" si="65"/>
        <v>100</v>
      </c>
      <c r="S81" s="64">
        <f t="shared" si="65"/>
        <v>56</v>
      </c>
      <c r="T81" s="64">
        <f t="shared" si="65"/>
        <v>133</v>
      </c>
      <c r="U81" s="64">
        <f t="shared" si="65"/>
        <v>78</v>
      </c>
      <c r="V81" s="65">
        <f t="shared" si="65"/>
        <v>45</v>
      </c>
      <c r="W81" s="65">
        <f t="shared" si="65"/>
        <v>89</v>
      </c>
      <c r="X81" s="65">
        <f t="shared" si="65"/>
        <v>56</v>
      </c>
      <c r="Y81" s="67">
        <f t="shared" si="65"/>
        <v>45</v>
      </c>
      <c r="Z81" s="67">
        <f t="shared" si="65"/>
        <v>89</v>
      </c>
      <c r="AA81" s="67">
        <f t="shared" si="65"/>
        <v>56</v>
      </c>
    </row>
    <row r="82" spans="2:27" x14ac:dyDescent="0.15">
      <c r="B82" s="187"/>
      <c r="C82" s="99">
        <f>ROUNDUP(C75*11.07,0)</f>
        <v>178</v>
      </c>
      <c r="D82" s="66">
        <f t="shared" ref="D82:AA82" si="66">ROUNDUP(D75*11.07,0)</f>
        <v>189</v>
      </c>
      <c r="E82" s="66">
        <f t="shared" si="66"/>
        <v>454</v>
      </c>
      <c r="F82" s="66">
        <f t="shared" si="66"/>
        <v>277</v>
      </c>
      <c r="G82" s="28">
        <f t="shared" si="66"/>
        <v>144</v>
      </c>
      <c r="H82" s="28">
        <f t="shared" si="66"/>
        <v>344</v>
      </c>
      <c r="I82" s="28">
        <f t="shared" si="66"/>
        <v>211</v>
      </c>
      <c r="J82" s="61">
        <f t="shared" si="66"/>
        <v>333</v>
      </c>
      <c r="K82" s="61">
        <f t="shared" si="66"/>
        <v>1074</v>
      </c>
      <c r="L82" s="61">
        <f t="shared" si="66"/>
        <v>654</v>
      </c>
      <c r="M82" s="62">
        <f t="shared" si="66"/>
        <v>155</v>
      </c>
      <c r="N82" s="62">
        <f t="shared" si="66"/>
        <v>388</v>
      </c>
      <c r="O82" s="62">
        <f t="shared" si="66"/>
        <v>233</v>
      </c>
      <c r="P82" s="63">
        <f t="shared" si="66"/>
        <v>200</v>
      </c>
      <c r="Q82" s="63">
        <f t="shared" si="66"/>
        <v>643</v>
      </c>
      <c r="R82" s="63">
        <f t="shared" si="66"/>
        <v>288</v>
      </c>
      <c r="S82" s="64">
        <f t="shared" si="66"/>
        <v>155</v>
      </c>
      <c r="T82" s="64">
        <f t="shared" si="66"/>
        <v>388</v>
      </c>
      <c r="U82" s="64">
        <f t="shared" si="66"/>
        <v>233</v>
      </c>
      <c r="V82" s="65">
        <f t="shared" si="66"/>
        <v>89</v>
      </c>
      <c r="W82" s="65">
        <f t="shared" si="66"/>
        <v>222</v>
      </c>
      <c r="X82" s="65">
        <f t="shared" si="66"/>
        <v>133</v>
      </c>
      <c r="Y82" s="67">
        <f t="shared" si="66"/>
        <v>78</v>
      </c>
      <c r="Z82" s="67">
        <f t="shared" si="66"/>
        <v>200</v>
      </c>
      <c r="AA82" s="67">
        <f t="shared" si="66"/>
        <v>122</v>
      </c>
    </row>
    <row r="83" spans="2:27" x14ac:dyDescent="0.15">
      <c r="B83" s="187"/>
      <c r="C83" s="99">
        <f>ROUNDUP(C76*11.07,0)</f>
        <v>388</v>
      </c>
      <c r="D83" s="66">
        <f t="shared" ref="D83:AA83" si="67">ROUNDUP(D76*11.07,0)</f>
        <v>388</v>
      </c>
      <c r="E83" s="66">
        <f t="shared" si="67"/>
        <v>1196</v>
      </c>
      <c r="F83" s="66">
        <f t="shared" si="67"/>
        <v>576</v>
      </c>
      <c r="G83" s="28">
        <f t="shared" si="67"/>
        <v>333</v>
      </c>
      <c r="H83" s="28">
        <f t="shared" si="67"/>
        <v>820</v>
      </c>
      <c r="I83" s="28">
        <f t="shared" si="67"/>
        <v>499</v>
      </c>
      <c r="J83" s="61">
        <f t="shared" si="67"/>
        <v>831</v>
      </c>
      <c r="K83" s="61">
        <f t="shared" si="67"/>
        <v>2569</v>
      </c>
      <c r="L83" s="61">
        <f t="shared" si="67"/>
        <v>1539</v>
      </c>
      <c r="M83" s="62">
        <f t="shared" si="67"/>
        <v>333</v>
      </c>
      <c r="N83" s="62">
        <f t="shared" si="67"/>
        <v>820</v>
      </c>
      <c r="O83" s="62">
        <f t="shared" si="67"/>
        <v>499</v>
      </c>
      <c r="P83" s="63">
        <f t="shared" si="67"/>
        <v>477</v>
      </c>
      <c r="Q83" s="63">
        <f t="shared" si="67"/>
        <v>1484</v>
      </c>
      <c r="R83" s="63">
        <f t="shared" si="67"/>
        <v>720</v>
      </c>
      <c r="S83" s="64">
        <f t="shared" si="67"/>
        <v>366</v>
      </c>
      <c r="T83" s="64">
        <f t="shared" si="67"/>
        <v>897</v>
      </c>
      <c r="U83" s="64">
        <f t="shared" si="67"/>
        <v>543</v>
      </c>
      <c r="V83" s="65">
        <f t="shared" si="67"/>
        <v>189</v>
      </c>
      <c r="W83" s="65">
        <f t="shared" si="67"/>
        <v>454</v>
      </c>
      <c r="X83" s="65">
        <f t="shared" si="67"/>
        <v>277</v>
      </c>
      <c r="Y83" s="67">
        <f t="shared" si="67"/>
        <v>144</v>
      </c>
      <c r="Z83" s="67">
        <f t="shared" si="67"/>
        <v>355</v>
      </c>
      <c r="AA83" s="67">
        <f t="shared" si="67"/>
        <v>222</v>
      </c>
    </row>
    <row r="84" spans="2:27" x14ac:dyDescent="0.15">
      <c r="B84" s="187"/>
      <c r="C84" s="99">
        <f>ROUNDUP(C77*11.07,0)</f>
        <v>731</v>
      </c>
      <c r="D84" s="66">
        <f t="shared" ref="D84:AA84" si="68">ROUNDUP(D77*11.07,0)</f>
        <v>775</v>
      </c>
      <c r="E84" s="66">
        <f t="shared" si="68"/>
        <v>2259</v>
      </c>
      <c r="F84" s="66">
        <f t="shared" si="68"/>
        <v>1163</v>
      </c>
      <c r="G84" s="28">
        <f t="shared" si="68"/>
        <v>631</v>
      </c>
      <c r="H84" s="28">
        <f t="shared" si="68"/>
        <v>1838</v>
      </c>
      <c r="I84" s="28">
        <f t="shared" si="68"/>
        <v>941</v>
      </c>
      <c r="J84" s="61">
        <f t="shared" si="68"/>
        <v>1672</v>
      </c>
      <c r="K84" s="61">
        <f t="shared" si="68"/>
        <v>5558</v>
      </c>
      <c r="L84" s="61">
        <f t="shared" si="68"/>
        <v>2923</v>
      </c>
      <c r="M84" s="62">
        <f t="shared" si="68"/>
        <v>587</v>
      </c>
      <c r="N84" s="62">
        <f t="shared" si="68"/>
        <v>1705</v>
      </c>
      <c r="O84" s="62">
        <f t="shared" si="68"/>
        <v>875</v>
      </c>
      <c r="P84" s="63">
        <f t="shared" si="68"/>
        <v>941</v>
      </c>
      <c r="Q84" s="63">
        <f t="shared" si="68"/>
        <v>2735</v>
      </c>
      <c r="R84" s="63">
        <f t="shared" si="68"/>
        <v>1639</v>
      </c>
      <c r="S84" s="64">
        <f t="shared" si="68"/>
        <v>665</v>
      </c>
      <c r="T84" s="64">
        <f t="shared" si="68"/>
        <v>1927</v>
      </c>
      <c r="U84" s="64">
        <f t="shared" si="68"/>
        <v>997</v>
      </c>
      <c r="V84" s="65">
        <f t="shared" si="68"/>
        <v>322</v>
      </c>
      <c r="W84" s="65">
        <f t="shared" si="68"/>
        <v>786</v>
      </c>
      <c r="X84" s="65">
        <f t="shared" si="68"/>
        <v>477</v>
      </c>
      <c r="Y84" s="67">
        <f t="shared" si="68"/>
        <v>244</v>
      </c>
      <c r="Z84" s="67">
        <f t="shared" si="68"/>
        <v>598</v>
      </c>
      <c r="AA84" s="67">
        <f t="shared" si="68"/>
        <v>366</v>
      </c>
    </row>
    <row r="85" spans="2:27" x14ac:dyDescent="0.15">
      <c r="C85" s="36" t="s">
        <v>482</v>
      </c>
      <c r="R85" s="100"/>
    </row>
    <row r="86" spans="2:27" x14ac:dyDescent="0.15">
      <c r="R86" s="100"/>
    </row>
    <row r="87" spans="2:27" x14ac:dyDescent="0.15">
      <c r="C87" s="36" t="s">
        <v>135</v>
      </c>
      <c r="D87" s="180" t="s">
        <v>671</v>
      </c>
      <c r="E87" s="180"/>
      <c r="F87" s="180"/>
      <c r="G87" s="184" t="s">
        <v>671</v>
      </c>
      <c r="H87" s="184"/>
      <c r="I87" s="184"/>
      <c r="J87" s="185" t="s">
        <v>671</v>
      </c>
      <c r="K87" s="185"/>
      <c r="L87" s="185"/>
      <c r="M87" s="186" t="s">
        <v>671</v>
      </c>
      <c r="N87" s="186"/>
      <c r="O87" s="186"/>
      <c r="P87" s="179" t="s">
        <v>671</v>
      </c>
      <c r="Q87" s="179"/>
      <c r="R87" s="179"/>
      <c r="S87" s="181" t="s">
        <v>671</v>
      </c>
      <c r="T87" s="181"/>
      <c r="U87" s="181"/>
      <c r="V87" s="182" t="s">
        <v>672</v>
      </c>
      <c r="W87" s="182"/>
      <c r="X87" s="182"/>
      <c r="Y87" s="183" t="s">
        <v>672</v>
      </c>
      <c r="Z87" s="183"/>
      <c r="AA87" s="183"/>
    </row>
    <row r="88" spans="2:27" x14ac:dyDescent="0.15">
      <c r="B88" s="189" t="s">
        <v>670</v>
      </c>
      <c r="C88" s="36">
        <v>5</v>
      </c>
      <c r="D88" s="180">
        <f>$C60+$C80*D60+E80*E60+F80*F60</f>
        <v>226</v>
      </c>
      <c r="E88" s="180"/>
      <c r="F88" s="180"/>
      <c r="G88" s="184">
        <f>$C60+$C80*G60+H80*H60+I80*I60</f>
        <v>204</v>
      </c>
      <c r="H88" s="184"/>
      <c r="I88" s="184"/>
      <c r="J88" s="185">
        <f>$C60+$C80*J60+K80*K60+L80*L60</f>
        <v>270</v>
      </c>
      <c r="K88" s="185"/>
      <c r="L88" s="185"/>
      <c r="M88" s="186">
        <f>$C60+$C80*M60+N80*N60+O80*O60</f>
        <v>237</v>
      </c>
      <c r="N88" s="186"/>
      <c r="O88" s="186"/>
      <c r="P88" s="179">
        <f>$C60+$C80*P60+Q80*Q60+R80*R60</f>
        <v>226</v>
      </c>
      <c r="Q88" s="179"/>
      <c r="R88" s="179"/>
      <c r="S88" s="181">
        <f>$C60+$C80*S60+T80*T60+U80*U60</f>
        <v>204</v>
      </c>
      <c r="T88" s="181"/>
      <c r="U88" s="181"/>
      <c r="V88" s="182">
        <f>$C60+$C80*V60+W80*W60+X80*X60</f>
        <v>204</v>
      </c>
      <c r="W88" s="182"/>
      <c r="X88" s="182"/>
      <c r="Y88" s="183">
        <f>$C60+$C80*Y60+Z80*Z60+AA80*AA60</f>
        <v>204</v>
      </c>
      <c r="Z88" s="183"/>
      <c r="AA88" s="183"/>
    </row>
    <row r="89" spans="2:27" x14ac:dyDescent="0.15">
      <c r="B89" s="189"/>
      <c r="C89" s="36">
        <v>15</v>
      </c>
      <c r="D89" s="180">
        <f>$C61+$C81*D61+E81*E61+F81*F61</f>
        <v>968</v>
      </c>
      <c r="E89" s="180"/>
      <c r="F89" s="180"/>
      <c r="G89" s="184">
        <f>$C61+$C81*G61+H81*H61+I81*I61</f>
        <v>814</v>
      </c>
      <c r="H89" s="184"/>
      <c r="I89" s="184"/>
      <c r="J89" s="185">
        <f>$C61+$C81*J61+K81*K61+L81*L61</f>
        <v>1989</v>
      </c>
      <c r="K89" s="185"/>
      <c r="L89" s="185"/>
      <c r="M89" s="186">
        <f>$C61+$C81*M61+N81*N61+O81*O61</f>
        <v>924</v>
      </c>
      <c r="N89" s="186"/>
      <c r="O89" s="186"/>
      <c r="P89" s="179">
        <f>$C61+$C81*P61+Q81*Q61+R81*R61</f>
        <v>992</v>
      </c>
      <c r="Q89" s="179"/>
      <c r="R89" s="179"/>
      <c r="S89" s="181">
        <f>$C61+$C81*S61+T81*T61+U81*U61</f>
        <v>880</v>
      </c>
      <c r="T89" s="181"/>
      <c r="U89" s="181"/>
      <c r="V89" s="182">
        <f>$C61+$C81*V61+W81*W61+X81*X61</f>
        <v>748</v>
      </c>
      <c r="W89" s="182"/>
      <c r="X89" s="182"/>
      <c r="Y89" s="183">
        <f>$C61+$C81*Y61+Z81*Z61+AA81*AA61</f>
        <v>748</v>
      </c>
      <c r="Z89" s="183"/>
      <c r="AA89" s="183"/>
    </row>
    <row r="90" spans="2:27" x14ac:dyDescent="0.15">
      <c r="B90" s="189"/>
      <c r="C90" s="36">
        <v>25</v>
      </c>
      <c r="D90" s="180">
        <f>$C62+$C82*D62+E82*E62+F82*F62</f>
        <v>3451</v>
      </c>
      <c r="E90" s="180"/>
      <c r="F90" s="180"/>
      <c r="G90" s="184">
        <f>$C62+$C82*G62+H82*H62+I82*I62</f>
        <v>2923</v>
      </c>
      <c r="H90" s="184"/>
      <c r="I90" s="184"/>
      <c r="J90" s="185">
        <f>$C62+$C82*J62+K82*K62+L82*L62</f>
        <v>8170</v>
      </c>
      <c r="K90" s="185"/>
      <c r="L90" s="185"/>
      <c r="M90" s="186">
        <f>$C62+$C82*M62+N82*N62+O82*O62</f>
        <v>3121</v>
      </c>
      <c r="N90" s="186"/>
      <c r="O90" s="186"/>
      <c r="P90" s="179">
        <f>$C62+$C82*P62+Q82*Q62+R82*R62</f>
        <v>4694</v>
      </c>
      <c r="Q90" s="179"/>
      <c r="R90" s="179"/>
      <c r="S90" s="181">
        <f>$C62+$C82*S62+T82*T62+U82*U62</f>
        <v>3121</v>
      </c>
      <c r="T90" s="181"/>
      <c r="U90" s="181"/>
      <c r="V90" s="182">
        <f>$C62+$C82*V62+W82*W62+X82*X62</f>
        <v>2323</v>
      </c>
      <c r="W90" s="182"/>
      <c r="X90" s="182"/>
      <c r="Y90" s="183">
        <f>$C62+$C82*Y62+Z82*Z62+AA82*AA62</f>
        <v>2224</v>
      </c>
      <c r="Z90" s="183"/>
      <c r="AA90" s="183"/>
    </row>
    <row r="91" spans="2:27" x14ac:dyDescent="0.15">
      <c r="B91" s="189"/>
      <c r="C91" s="36">
        <v>35</v>
      </c>
      <c r="D91" s="180">
        <f>$C63+$C83*D63+E83*E63+F83*F63</f>
        <v>11160</v>
      </c>
      <c r="E91" s="180"/>
      <c r="F91" s="180"/>
      <c r="G91" s="184">
        <f>$C63+$C83*G63+H83*H63+I83*I63</f>
        <v>8152</v>
      </c>
      <c r="H91" s="184"/>
      <c r="I91" s="184"/>
      <c r="J91" s="185">
        <f>$C63+$C83*J63+K83*K63+L83*L63</f>
        <v>23416</v>
      </c>
      <c r="K91" s="185"/>
      <c r="L91" s="185"/>
      <c r="M91" s="186">
        <f>$C63+$C83*M63+N83*N63+O83*O63</f>
        <v>8152</v>
      </c>
      <c r="N91" s="186"/>
      <c r="O91" s="186"/>
      <c r="P91" s="179">
        <f>$C63+$C83*P63+Q83*Q63+R83*R63</f>
        <v>13176</v>
      </c>
      <c r="Q91" s="179"/>
      <c r="R91" s="179"/>
      <c r="S91" s="181">
        <f>$C63+$C83*S63+T83*T63+U83*U63</f>
        <v>8636</v>
      </c>
      <c r="T91" s="181"/>
      <c r="U91" s="181"/>
      <c r="V91" s="182">
        <f>$C63+$C83*V63+W83*W63+X83*X63</f>
        <v>5800</v>
      </c>
      <c r="W91" s="182"/>
      <c r="X91" s="182"/>
      <c r="Y91" s="183">
        <f>$C63+$C83*Y63+Z83*Z63+AA83*AA63</f>
        <v>5184</v>
      </c>
      <c r="Z91" s="183"/>
      <c r="AA91" s="183"/>
    </row>
    <row r="92" spans="2:27" x14ac:dyDescent="0.15">
      <c r="B92" s="189"/>
      <c r="C92" s="36">
        <v>45</v>
      </c>
      <c r="D92" s="180">
        <f>$C64+$C84*D64+E84*E64+F84*F64</f>
        <v>29301</v>
      </c>
      <c r="E92" s="180"/>
      <c r="F92" s="180"/>
      <c r="G92" s="184">
        <f>$C64+$C84*G64+H84*H64+I84*I64</f>
        <v>25022</v>
      </c>
      <c r="H92" s="184"/>
      <c r="I92" s="184"/>
      <c r="J92" s="185">
        <f>$C64+$C84*J64+K84*K64+L84*L64</f>
        <v>71435</v>
      </c>
      <c r="K92" s="185"/>
      <c r="L92" s="185"/>
      <c r="M92" s="186">
        <f>$C64+$C84*M64+N84*N64+O84*O64</f>
        <v>23695</v>
      </c>
      <c r="N92" s="186"/>
      <c r="O92" s="186"/>
      <c r="P92" s="179">
        <f>$C64+$C84*P64+Q84*Q64+R84*R64</f>
        <v>37128</v>
      </c>
      <c r="Q92" s="179"/>
      <c r="R92" s="179"/>
      <c r="S92" s="181">
        <f>$C64+$C84*S64+T84*T64+U84*U64</f>
        <v>25981</v>
      </c>
      <c r="T92" s="181"/>
      <c r="U92" s="181"/>
      <c r="V92" s="182">
        <f>$C64+$C84*V64+W84*W64+X84*X64</f>
        <v>14088</v>
      </c>
      <c r="W92" s="182"/>
      <c r="X92" s="182"/>
      <c r="Y92" s="183">
        <f>$C64+$C84*Y64+Z84*Z64+AA84*AA64</f>
        <v>12294</v>
      </c>
      <c r="Z92" s="183"/>
      <c r="AA92" s="183"/>
    </row>
    <row r="93" spans="2:27" x14ac:dyDescent="0.15">
      <c r="B93" s="106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</row>
    <row r="94" spans="2:27" x14ac:dyDescent="0.15">
      <c r="B94" s="112"/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</row>
    <row r="95" spans="2:27" x14ac:dyDescent="0.15">
      <c r="C95" s="36" t="s">
        <v>135</v>
      </c>
      <c r="D95" s="180" t="s">
        <v>623</v>
      </c>
      <c r="E95" s="180"/>
      <c r="F95" s="180"/>
      <c r="G95" s="184" t="s">
        <v>623</v>
      </c>
      <c r="H95" s="184"/>
      <c r="I95" s="184"/>
      <c r="J95" s="185" t="s">
        <v>623</v>
      </c>
      <c r="K95" s="185"/>
      <c r="L95" s="185"/>
      <c r="M95" s="186" t="s">
        <v>623</v>
      </c>
      <c r="N95" s="186"/>
      <c r="O95" s="186"/>
      <c r="P95" s="179" t="s">
        <v>623</v>
      </c>
      <c r="Q95" s="179"/>
      <c r="R95" s="179"/>
      <c r="S95" s="181" t="s">
        <v>623</v>
      </c>
      <c r="T95" s="181"/>
      <c r="U95" s="181"/>
      <c r="V95" s="182" t="s">
        <v>623</v>
      </c>
      <c r="W95" s="182"/>
      <c r="X95" s="182"/>
      <c r="Y95" s="183" t="s">
        <v>623</v>
      </c>
      <c r="Z95" s="183"/>
      <c r="AA95" s="183"/>
    </row>
    <row r="96" spans="2:27" x14ac:dyDescent="0.15">
      <c r="B96" s="190" t="s">
        <v>895</v>
      </c>
      <c r="C96" s="36">
        <v>5</v>
      </c>
      <c r="D96" s="180">
        <f>ROUNDUP(D88/VLOOKUP($C96,$AM:$AN,2,FALSE),0)</f>
        <v>2</v>
      </c>
      <c r="E96" s="180"/>
      <c r="F96" s="180"/>
      <c r="G96" s="184">
        <f>ROUNDUP(G88/VLOOKUP($C96,$AM:$AN,2,FALSE),0)</f>
        <v>2</v>
      </c>
      <c r="H96" s="184"/>
      <c r="I96" s="184"/>
      <c r="J96" s="185">
        <f>ROUNDUP(J88/VLOOKUP($C96,$AM:$AN,2,FALSE),0)</f>
        <v>2</v>
      </c>
      <c r="K96" s="185"/>
      <c r="L96" s="185"/>
      <c r="M96" s="186">
        <f>ROUNDUP(M88/VLOOKUP($C96,$AM:$AN,2,FALSE),0)</f>
        <v>2</v>
      </c>
      <c r="N96" s="186"/>
      <c r="O96" s="186"/>
      <c r="P96" s="179">
        <f>ROUNDUP(P88/VLOOKUP($C96,$AM:$AN,2,FALSE),0)</f>
        <v>2</v>
      </c>
      <c r="Q96" s="179"/>
      <c r="R96" s="179"/>
      <c r="S96" s="181">
        <f>ROUNDUP(S88/VLOOKUP($C96,$AM:$AN,2,FALSE),0)</f>
        <v>2</v>
      </c>
      <c r="T96" s="181"/>
      <c r="U96" s="181"/>
      <c r="V96" s="182">
        <f>ROUNDUP(V88/VLOOKUP($C96,$AM:$AN,2,FALSE),0)</f>
        <v>2</v>
      </c>
      <c r="W96" s="182"/>
      <c r="X96" s="182"/>
      <c r="Y96" s="183">
        <f>ROUNDUP(Y88/VLOOKUP($C96,$AM:$AN,2,FALSE),0)</f>
        <v>2</v>
      </c>
      <c r="Z96" s="183"/>
      <c r="AA96" s="183"/>
    </row>
    <row r="97" spans="2:27" x14ac:dyDescent="0.15">
      <c r="B97" s="190"/>
      <c r="C97" s="36">
        <v>15</v>
      </c>
      <c r="D97" s="180">
        <f>ROUNDUP(D89/VLOOKUP($C97,$AM:$AN,2,FALSE),0)</f>
        <v>3</v>
      </c>
      <c r="E97" s="180"/>
      <c r="F97" s="180"/>
      <c r="G97" s="184">
        <f>ROUNDUP(G89/VLOOKUP($C97,$AM:$AN,2,FALSE),0)</f>
        <v>2</v>
      </c>
      <c r="H97" s="184"/>
      <c r="I97" s="184"/>
      <c r="J97" s="185">
        <f>ROUNDUP(J89/VLOOKUP($C97,$AM:$AN,2,FALSE),0)</f>
        <v>5</v>
      </c>
      <c r="K97" s="185"/>
      <c r="L97" s="185"/>
      <c r="M97" s="186">
        <f>ROUNDUP(M89/VLOOKUP($C97,$AM:$AN,2,FALSE),0)</f>
        <v>3</v>
      </c>
      <c r="N97" s="186"/>
      <c r="O97" s="186"/>
      <c r="P97" s="179">
        <f>ROUNDUP(P89/VLOOKUP($C97,$AM:$AN,2,FALSE),0)</f>
        <v>3</v>
      </c>
      <c r="Q97" s="179"/>
      <c r="R97" s="179"/>
      <c r="S97" s="181">
        <f>ROUNDUP(S89/VLOOKUP($C97,$AM:$AN,2,FALSE),0)</f>
        <v>2</v>
      </c>
      <c r="T97" s="181"/>
      <c r="U97" s="181"/>
      <c r="V97" s="182">
        <f>ROUNDUP(V89/VLOOKUP($C97,$AM:$AN,2,FALSE),0)</f>
        <v>2</v>
      </c>
      <c r="W97" s="182"/>
      <c r="X97" s="182"/>
      <c r="Y97" s="183">
        <f>ROUNDUP(Y89/VLOOKUP($C97,$AM:$AN,2,FALSE),0)</f>
        <v>2</v>
      </c>
      <c r="Z97" s="183"/>
      <c r="AA97" s="183"/>
    </row>
    <row r="98" spans="2:27" x14ac:dyDescent="0.15">
      <c r="B98" s="190"/>
      <c r="C98" s="36">
        <v>25</v>
      </c>
      <c r="D98" s="180">
        <f>ROUNDUP(D90/VLOOKUP($C98,$AM:$AN,2,FALSE),0)</f>
        <v>5</v>
      </c>
      <c r="E98" s="180"/>
      <c r="F98" s="180"/>
      <c r="G98" s="184">
        <f>ROUNDUP(G90/VLOOKUP($C98,$AM:$AN,2,FALSE),0)</f>
        <v>5</v>
      </c>
      <c r="H98" s="184"/>
      <c r="I98" s="184"/>
      <c r="J98" s="185">
        <f>ROUNDUP(J90/VLOOKUP($C98,$AM:$AN,2,FALSE),0)</f>
        <v>12</v>
      </c>
      <c r="K98" s="185"/>
      <c r="L98" s="185"/>
      <c r="M98" s="186">
        <f>ROUNDUP(M90/VLOOKUP($C98,$AM:$AN,2,FALSE),0)</f>
        <v>5</v>
      </c>
      <c r="N98" s="186"/>
      <c r="O98" s="186"/>
      <c r="P98" s="179">
        <f>ROUNDUP(P90/VLOOKUP($C98,$AM:$AN,2,FALSE),0)</f>
        <v>7</v>
      </c>
      <c r="Q98" s="179"/>
      <c r="R98" s="179"/>
      <c r="S98" s="181">
        <f>ROUNDUP(S90/VLOOKUP($C98,$AM:$AN,2,FALSE),0)</f>
        <v>5</v>
      </c>
      <c r="T98" s="181"/>
      <c r="U98" s="181"/>
      <c r="V98" s="182">
        <f>ROUNDUP(V90/VLOOKUP($C98,$AM:$AN,2,FALSE),0)</f>
        <v>4</v>
      </c>
      <c r="W98" s="182"/>
      <c r="X98" s="182"/>
      <c r="Y98" s="183">
        <f>ROUNDUP(Y90/VLOOKUP($C98,$AM:$AN,2,FALSE),0)</f>
        <v>4</v>
      </c>
      <c r="Z98" s="183"/>
      <c r="AA98" s="183"/>
    </row>
    <row r="99" spans="2:27" x14ac:dyDescent="0.15">
      <c r="B99" s="190"/>
      <c r="C99" s="36">
        <v>35</v>
      </c>
      <c r="D99" s="180">
        <f>ROUNDUP(D91/VLOOKUP($C99,$AM:$AN,2,FALSE),0)</f>
        <v>12</v>
      </c>
      <c r="E99" s="180"/>
      <c r="F99" s="180"/>
      <c r="G99" s="184">
        <f>ROUNDUP(G91/VLOOKUP($C99,$AM:$AN,2,FALSE),0)</f>
        <v>9</v>
      </c>
      <c r="H99" s="184"/>
      <c r="I99" s="184"/>
      <c r="J99" s="185">
        <f>ROUNDUP(J91/VLOOKUP($C99,$AM:$AN,2,FALSE),0)</f>
        <v>24</v>
      </c>
      <c r="K99" s="185"/>
      <c r="L99" s="185"/>
      <c r="M99" s="186">
        <f>ROUNDUP(M91/VLOOKUP($C99,$AM:$AN,2,FALSE),0)</f>
        <v>9</v>
      </c>
      <c r="N99" s="186"/>
      <c r="O99" s="186"/>
      <c r="P99" s="179">
        <f>ROUNDUP(P91/VLOOKUP($C99,$AM:$AN,2,FALSE),0)</f>
        <v>14</v>
      </c>
      <c r="Q99" s="179"/>
      <c r="R99" s="179"/>
      <c r="S99" s="181">
        <f>ROUNDUP(S91/VLOOKUP($C99,$AM:$AN,2,FALSE),0)</f>
        <v>9</v>
      </c>
      <c r="T99" s="181"/>
      <c r="U99" s="181"/>
      <c r="V99" s="182">
        <f>ROUNDUP(V91/VLOOKUP($C99,$AM:$AN,2,FALSE),0)</f>
        <v>6</v>
      </c>
      <c r="W99" s="182"/>
      <c r="X99" s="182"/>
      <c r="Y99" s="183">
        <f>ROUNDUP(Y91/VLOOKUP($C99,$AM:$AN,2,FALSE),0)</f>
        <v>6</v>
      </c>
      <c r="Z99" s="183"/>
      <c r="AA99" s="183"/>
    </row>
    <row r="100" spans="2:27" x14ac:dyDescent="0.15">
      <c r="B100" s="190"/>
      <c r="C100" s="36">
        <v>45</v>
      </c>
      <c r="D100" s="180">
        <f>ROUNDUP(D92/VLOOKUP($C100,$AM:$AN,2,FALSE),0)</f>
        <v>24</v>
      </c>
      <c r="E100" s="180"/>
      <c r="F100" s="180"/>
      <c r="G100" s="184">
        <f>ROUNDUP(G92/VLOOKUP($C100,$AM:$AN,2,FALSE),0)</f>
        <v>21</v>
      </c>
      <c r="H100" s="184"/>
      <c r="I100" s="184"/>
      <c r="J100" s="185">
        <f>ROUNDUP(J92/VLOOKUP($C100,$AM:$AN,2,FALSE),0)</f>
        <v>59</v>
      </c>
      <c r="K100" s="185"/>
      <c r="L100" s="185"/>
      <c r="M100" s="186">
        <f>ROUNDUP(M92/VLOOKUP($C100,$AM:$AN,2,FALSE),0)</f>
        <v>20</v>
      </c>
      <c r="N100" s="186"/>
      <c r="O100" s="186"/>
      <c r="P100" s="179">
        <f>ROUNDUP(P92/VLOOKUP($C100,$AM:$AN,2,FALSE),0)</f>
        <v>31</v>
      </c>
      <c r="Q100" s="179"/>
      <c r="R100" s="179"/>
      <c r="S100" s="181">
        <f>ROUNDUP(S92/VLOOKUP($C100,$AM:$AN,2,FALSE),0)</f>
        <v>22</v>
      </c>
      <c r="T100" s="181"/>
      <c r="U100" s="181"/>
      <c r="V100" s="182">
        <f>ROUNDUP(V92/VLOOKUP($C100,$AM:$AN,2,FALSE),0)</f>
        <v>12</v>
      </c>
      <c r="W100" s="182"/>
      <c r="X100" s="182"/>
      <c r="Y100" s="183">
        <f>ROUNDUP(Y92/VLOOKUP($C100,$AM:$AN,2,FALSE),0)</f>
        <v>10</v>
      </c>
      <c r="Z100" s="183"/>
      <c r="AA100" s="183"/>
    </row>
    <row r="101" spans="2:27" x14ac:dyDescent="0.15">
      <c r="B101" s="112"/>
      <c r="C101" s="112"/>
      <c r="D101" s="112"/>
      <c r="E101" s="112"/>
      <c r="F101" s="112"/>
      <c r="G101" s="112"/>
      <c r="H101" s="112"/>
      <c r="I101" s="112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</row>
    <row r="102" spans="2:27" x14ac:dyDescent="0.15">
      <c r="C102" s="100"/>
      <c r="R102" s="100"/>
    </row>
    <row r="103" spans="2:27" x14ac:dyDescent="0.15">
      <c r="C103" s="100"/>
      <c r="R103" s="100"/>
    </row>
    <row r="104" spans="2:27" x14ac:dyDescent="0.15">
      <c r="C104" s="100"/>
      <c r="R104" s="100"/>
    </row>
    <row r="105" spans="2:27" x14ac:dyDescent="0.15">
      <c r="C105" s="100"/>
      <c r="R105" s="100"/>
    </row>
    <row r="106" spans="2:27" x14ac:dyDescent="0.15">
      <c r="C106" s="100"/>
      <c r="R106" s="100"/>
    </row>
    <row r="107" spans="2:27" x14ac:dyDescent="0.15">
      <c r="C107" s="100"/>
      <c r="R107" s="100"/>
    </row>
    <row r="108" spans="2:27" x14ac:dyDescent="0.15">
      <c r="C108" s="100"/>
      <c r="R108" s="100"/>
    </row>
    <row r="109" spans="2:27" x14ac:dyDescent="0.15">
      <c r="C109" s="100"/>
      <c r="R109" s="100"/>
    </row>
    <row r="110" spans="2:27" x14ac:dyDescent="0.15">
      <c r="C110" s="100"/>
      <c r="R110" s="100"/>
    </row>
    <row r="111" spans="2:27" x14ac:dyDescent="0.15">
      <c r="C111" s="100"/>
      <c r="R111" s="100"/>
    </row>
    <row r="112" spans="2:27" x14ac:dyDescent="0.15">
      <c r="R112" s="100"/>
    </row>
    <row r="113" spans="18:18" x14ac:dyDescent="0.15">
      <c r="R113" s="100"/>
    </row>
    <row r="114" spans="18:18" x14ac:dyDescent="0.15">
      <c r="R114" s="100"/>
    </row>
    <row r="115" spans="18:18" x14ac:dyDescent="0.15">
      <c r="R115" s="100"/>
    </row>
    <row r="116" spans="18:18" x14ac:dyDescent="0.15">
      <c r="R116" s="100"/>
    </row>
    <row r="117" spans="18:18" x14ac:dyDescent="0.15">
      <c r="R117" s="100"/>
    </row>
    <row r="118" spans="18:18" x14ac:dyDescent="0.15">
      <c r="R118" s="100"/>
    </row>
    <row r="119" spans="18:18" x14ac:dyDescent="0.15">
      <c r="R119" s="100"/>
    </row>
    <row r="120" spans="18:18" x14ac:dyDescent="0.15">
      <c r="R120" s="100"/>
    </row>
    <row r="121" spans="18:18" x14ac:dyDescent="0.15">
      <c r="R121" s="100"/>
    </row>
    <row r="122" spans="18:18" x14ac:dyDescent="0.15">
      <c r="R122" s="100"/>
    </row>
    <row r="123" spans="18:18" x14ac:dyDescent="0.15">
      <c r="R123" s="100"/>
    </row>
    <row r="124" spans="18:18" x14ac:dyDescent="0.15">
      <c r="R124" s="100"/>
    </row>
    <row r="125" spans="18:18" x14ac:dyDescent="0.15">
      <c r="R125" s="100"/>
    </row>
    <row r="160" spans="4:4" x14ac:dyDescent="0.15">
      <c r="D160" s="36">
        <v>15</v>
      </c>
    </row>
    <row r="161" spans="4:4" x14ac:dyDescent="0.15">
      <c r="D161" s="36">
        <v>17</v>
      </c>
    </row>
  </sheetData>
  <mergeCells count="164">
    <mergeCell ref="D99:F99"/>
    <mergeCell ref="G99:I99"/>
    <mergeCell ref="J99:L99"/>
    <mergeCell ref="M99:O99"/>
    <mergeCell ref="P99:R99"/>
    <mergeCell ref="S99:U99"/>
    <mergeCell ref="V99:X99"/>
    <mergeCell ref="Y99:AA99"/>
    <mergeCell ref="D100:F100"/>
    <mergeCell ref="G100:I100"/>
    <mergeCell ref="J100:L100"/>
    <mergeCell ref="M100:O100"/>
    <mergeCell ref="P100:R100"/>
    <mergeCell ref="S100:U100"/>
    <mergeCell ref="V100:X100"/>
    <mergeCell ref="Y100:AA100"/>
    <mergeCell ref="Y97:AA97"/>
    <mergeCell ref="D98:F98"/>
    <mergeCell ref="G98:I98"/>
    <mergeCell ref="J98:L98"/>
    <mergeCell ref="M98:O98"/>
    <mergeCell ref="P98:R98"/>
    <mergeCell ref="S98:U98"/>
    <mergeCell ref="V98:X98"/>
    <mergeCell ref="Y98:AA98"/>
    <mergeCell ref="D95:F95"/>
    <mergeCell ref="G95:I95"/>
    <mergeCell ref="J95:L95"/>
    <mergeCell ref="M95:O95"/>
    <mergeCell ref="P95:R95"/>
    <mergeCell ref="S95:U95"/>
    <mergeCell ref="V95:X95"/>
    <mergeCell ref="Y95:AA95"/>
    <mergeCell ref="B96:B100"/>
    <mergeCell ref="D96:F96"/>
    <mergeCell ref="G96:I96"/>
    <mergeCell ref="J96:L96"/>
    <mergeCell ref="M96:O96"/>
    <mergeCell ref="P96:R96"/>
    <mergeCell ref="S96:U96"/>
    <mergeCell ref="V96:X96"/>
    <mergeCell ref="Y96:AA96"/>
    <mergeCell ref="D97:F97"/>
    <mergeCell ref="G97:I97"/>
    <mergeCell ref="J97:L97"/>
    <mergeCell ref="M97:O97"/>
    <mergeCell ref="P97:R97"/>
    <mergeCell ref="S97:U97"/>
    <mergeCell ref="V97:X97"/>
    <mergeCell ref="Y71:AA71"/>
    <mergeCell ref="Y66:AA66"/>
    <mergeCell ref="Y67:AA67"/>
    <mergeCell ref="Y68:AA68"/>
    <mergeCell ref="Y69:AA69"/>
    <mergeCell ref="Y70:AA70"/>
    <mergeCell ref="S71:U71"/>
    <mergeCell ref="V66:X66"/>
    <mergeCell ref="V67:X67"/>
    <mergeCell ref="V68:X68"/>
    <mergeCell ref="V69:X69"/>
    <mergeCell ref="V70:X70"/>
    <mergeCell ref="V71:X71"/>
    <mergeCell ref="S66:U66"/>
    <mergeCell ref="S67:U67"/>
    <mergeCell ref="S68:U68"/>
    <mergeCell ref="S69:U69"/>
    <mergeCell ref="S70:U70"/>
    <mergeCell ref="J68:L68"/>
    <mergeCell ref="J69:L69"/>
    <mergeCell ref="J70:L70"/>
    <mergeCell ref="J71:L71"/>
    <mergeCell ref="M71:O71"/>
    <mergeCell ref="D68:F68"/>
    <mergeCell ref="D69:F69"/>
    <mergeCell ref="D70:F70"/>
    <mergeCell ref="D71:F71"/>
    <mergeCell ref="G68:I68"/>
    <mergeCell ref="G69:I69"/>
    <mergeCell ref="G70:I70"/>
    <mergeCell ref="G71:I71"/>
    <mergeCell ref="P71:R71"/>
    <mergeCell ref="M66:O66"/>
    <mergeCell ref="M67:O67"/>
    <mergeCell ref="M68:O68"/>
    <mergeCell ref="M69:O69"/>
    <mergeCell ref="M70:O70"/>
    <mergeCell ref="P66:R66"/>
    <mergeCell ref="P67:R67"/>
    <mergeCell ref="P68:R68"/>
    <mergeCell ref="P69:R69"/>
    <mergeCell ref="P70:R70"/>
    <mergeCell ref="Y4:AA4"/>
    <mergeCell ref="J4:L4"/>
    <mergeCell ref="M4:O4"/>
    <mergeCell ref="P4:R4"/>
    <mergeCell ref="S4:U4"/>
    <mergeCell ref="V4:X4"/>
    <mergeCell ref="D4:F4"/>
    <mergeCell ref="G4:I4"/>
    <mergeCell ref="D67:F67"/>
    <mergeCell ref="D66:F66"/>
    <mergeCell ref="G66:I66"/>
    <mergeCell ref="G67:I67"/>
    <mergeCell ref="Y58:AA58"/>
    <mergeCell ref="D58:F58"/>
    <mergeCell ref="G58:I58"/>
    <mergeCell ref="J58:L58"/>
    <mergeCell ref="M58:O58"/>
    <mergeCell ref="P58:R58"/>
    <mergeCell ref="S58:U58"/>
    <mergeCell ref="V58:X58"/>
    <mergeCell ref="J66:L66"/>
    <mergeCell ref="J67:L67"/>
    <mergeCell ref="B88:B92"/>
    <mergeCell ref="D88:F88"/>
    <mergeCell ref="G88:I88"/>
    <mergeCell ref="J88:L88"/>
    <mergeCell ref="M88:O88"/>
    <mergeCell ref="D90:F90"/>
    <mergeCell ref="G90:I90"/>
    <mergeCell ref="J90:L90"/>
    <mergeCell ref="M90:O90"/>
    <mergeCell ref="D92:F92"/>
    <mergeCell ref="G92:I92"/>
    <mergeCell ref="J92:L92"/>
    <mergeCell ref="M92:O92"/>
    <mergeCell ref="D91:F91"/>
    <mergeCell ref="B80:B84"/>
    <mergeCell ref="B73:B77"/>
    <mergeCell ref="P92:R92"/>
    <mergeCell ref="S92:U92"/>
    <mergeCell ref="V92:X92"/>
    <mergeCell ref="Y92:AA92"/>
    <mergeCell ref="P90:R90"/>
    <mergeCell ref="S90:U90"/>
    <mergeCell ref="V90:X90"/>
    <mergeCell ref="Y90:AA90"/>
    <mergeCell ref="G91:I91"/>
    <mergeCell ref="J91:L91"/>
    <mergeCell ref="M91:O91"/>
    <mergeCell ref="P91:R91"/>
    <mergeCell ref="S91:U91"/>
    <mergeCell ref="V91:X91"/>
    <mergeCell ref="Y91:AA91"/>
    <mergeCell ref="S87:U87"/>
    <mergeCell ref="V87:X87"/>
    <mergeCell ref="Y87:AA87"/>
    <mergeCell ref="D87:F87"/>
    <mergeCell ref="G87:I87"/>
    <mergeCell ref="J87:L87"/>
    <mergeCell ref="M87:O87"/>
    <mergeCell ref="P87:R87"/>
    <mergeCell ref="D89:F89"/>
    <mergeCell ref="P88:R88"/>
    <mergeCell ref="S88:U88"/>
    <mergeCell ref="V88:X88"/>
    <mergeCell ref="Y88:AA88"/>
    <mergeCell ref="G89:I89"/>
    <mergeCell ref="J89:L89"/>
    <mergeCell ref="M89:O89"/>
    <mergeCell ref="P89:R89"/>
    <mergeCell ref="S89:U89"/>
    <mergeCell ref="V89:X89"/>
    <mergeCell ref="Y89:AA89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S56"/>
  <sheetViews>
    <sheetView topLeftCell="Y1" workbookViewId="0">
      <pane ySplit="6" topLeftCell="A19" activePane="bottomLeft" state="frozen"/>
      <selection pane="bottomLeft" activeCell="AS19" sqref="AS19"/>
    </sheetView>
  </sheetViews>
  <sheetFormatPr defaultRowHeight="12" x14ac:dyDescent="0.15"/>
  <cols>
    <col min="1" max="3" width="9" style="10"/>
    <col min="4" max="4" width="9.5" style="10" bestFit="1" customWidth="1"/>
    <col min="5" max="7" width="10.5" style="10" bestFit="1" customWidth="1"/>
    <col min="8" max="30" width="9" style="10"/>
    <col min="31" max="31" width="10.5" style="10" bestFit="1" customWidth="1"/>
    <col min="32" max="32" width="16.125" style="10" customWidth="1"/>
    <col min="33" max="16384" width="9" style="10"/>
  </cols>
  <sheetData>
    <row r="2" spans="2:45" ht="25.5" customHeight="1" x14ac:dyDescent="0.15">
      <c r="B2" s="193" t="s">
        <v>907</v>
      </c>
      <c r="C2" s="194"/>
      <c r="D2" s="194"/>
      <c r="E2" s="194"/>
      <c r="F2" s="194"/>
      <c r="G2" s="194"/>
      <c r="N2" s="193" t="s">
        <v>908</v>
      </c>
      <c r="O2" s="194"/>
      <c r="P2" s="194"/>
      <c r="Q2" s="194"/>
      <c r="R2" s="194"/>
      <c r="S2" s="194"/>
      <c r="AA2" s="193" t="s">
        <v>909</v>
      </c>
      <c r="AB2" s="194"/>
      <c r="AC2" s="194"/>
      <c r="AD2" s="194"/>
      <c r="AE2" s="194"/>
      <c r="AF2" s="194"/>
      <c r="AM2" s="191" t="s">
        <v>223</v>
      </c>
      <c r="AN2" s="192"/>
      <c r="AO2" s="192"/>
      <c r="AP2" s="192"/>
      <c r="AQ2" s="192"/>
    </row>
    <row r="5" spans="2:45" x14ac:dyDescent="0.15">
      <c r="C5" s="10">
        <v>2</v>
      </c>
      <c r="D5" s="10">
        <v>3</v>
      </c>
      <c r="E5" s="10">
        <v>4</v>
      </c>
      <c r="F5" s="10">
        <v>5</v>
      </c>
      <c r="O5" s="10">
        <v>1</v>
      </c>
      <c r="P5" s="10">
        <v>2</v>
      </c>
      <c r="Q5" s="10">
        <v>3</v>
      </c>
      <c r="R5" s="10">
        <v>4</v>
      </c>
      <c r="S5" s="10">
        <v>5</v>
      </c>
      <c r="AB5" s="10">
        <v>2</v>
      </c>
      <c r="AC5" s="10">
        <v>3</v>
      </c>
      <c r="AD5" s="10">
        <v>4</v>
      </c>
      <c r="AE5" s="10">
        <v>5</v>
      </c>
      <c r="AH5" s="11" t="s">
        <v>74</v>
      </c>
      <c r="AI5" s="11">
        <v>1.2</v>
      </c>
    </row>
    <row r="6" spans="2:45" x14ac:dyDescent="0.15">
      <c r="B6" s="6" t="s">
        <v>65</v>
      </c>
      <c r="C6" s="6" t="s">
        <v>63</v>
      </c>
      <c r="D6" s="6" t="s">
        <v>66</v>
      </c>
      <c r="E6" s="6" t="s">
        <v>64</v>
      </c>
      <c r="F6" s="6" t="s">
        <v>67</v>
      </c>
      <c r="G6" s="12" t="s">
        <v>222</v>
      </c>
      <c r="N6" s="6" t="s">
        <v>68</v>
      </c>
      <c r="O6" s="6" t="s">
        <v>69</v>
      </c>
      <c r="P6" s="6" t="s">
        <v>70</v>
      </c>
      <c r="Q6" s="6" t="s">
        <v>71</v>
      </c>
      <c r="R6" s="6" t="s">
        <v>72</v>
      </c>
      <c r="S6" s="6" t="s">
        <v>73</v>
      </c>
      <c r="AA6" s="6" t="s">
        <v>65</v>
      </c>
      <c r="AB6" s="6" t="s">
        <v>63</v>
      </c>
      <c r="AC6" s="6" t="s">
        <v>66</v>
      </c>
      <c r="AD6" s="6" t="s">
        <v>64</v>
      </c>
      <c r="AE6" s="6" t="s">
        <v>67</v>
      </c>
      <c r="AF6" s="12" t="s">
        <v>75</v>
      </c>
      <c r="AH6" s="11" t="s">
        <v>58</v>
      </c>
      <c r="AI6" s="11">
        <v>2.5</v>
      </c>
      <c r="AM6" s="6" t="s">
        <v>46</v>
      </c>
      <c r="AN6" s="6" t="s">
        <v>63</v>
      </c>
      <c r="AO6" s="6" t="s">
        <v>66</v>
      </c>
      <c r="AP6" s="6" t="s">
        <v>64</v>
      </c>
      <c r="AQ6" s="6" t="s">
        <v>67</v>
      </c>
    </row>
    <row r="7" spans="2:45" x14ac:dyDescent="0.15">
      <c r="B7" s="13">
        <v>1</v>
      </c>
      <c r="C7" s="14">
        <f>99+INT($C$5^4*B7*1.11)</f>
        <v>116</v>
      </c>
      <c r="D7" s="14">
        <f>99+INT($D$5^4*B7*1.11)</f>
        <v>188</v>
      </c>
      <c r="E7" s="14">
        <f>99+INT($E$5^4*B7*1.11)</f>
        <v>383</v>
      </c>
      <c r="F7" s="14">
        <f>99+INT($F$5^4*B7*1.11)</f>
        <v>792</v>
      </c>
      <c r="G7" s="14">
        <f t="shared" ref="G7:G38" si="0">SUM(C7:F7)</f>
        <v>1479</v>
      </c>
      <c r="N7" s="13">
        <v>1</v>
      </c>
      <c r="O7" s="14">
        <f>N7*29+INT($O$5^3*1.5)</f>
        <v>30</v>
      </c>
      <c r="P7" s="14">
        <f>N7*29+INT($P$5^3*1.5)</f>
        <v>41</v>
      </c>
      <c r="Q7" s="14">
        <f>N7*29+INT($Q$5^3*1.5)</f>
        <v>69</v>
      </c>
      <c r="R7" s="14">
        <f>N7*29+INT($R$5^3*1.5)</f>
        <v>125</v>
      </c>
      <c r="S7" s="14">
        <f>N7*29+INT($S$5^3*1.5)</f>
        <v>216</v>
      </c>
      <c r="AA7" s="13">
        <v>1</v>
      </c>
      <c r="AB7" s="14">
        <f>$AI$8+INT(AA7^$AI$5+$AB$5^$AI$6*AA7*$AI$7)</f>
        <v>210</v>
      </c>
      <c r="AC7" s="14">
        <f>$AI$8+INT(AA7^$AI$5+$AC$5^$AI$6*AA7*$AI$7)</f>
        <v>229</v>
      </c>
      <c r="AD7" s="14">
        <f>$AI$8+INT(AA7^$AI$5+$AD$5^$AI$6*AA7*$AI$7)</f>
        <v>260</v>
      </c>
      <c r="AE7" s="14">
        <f>$AI$8+INT(AA7^$AI$5+$AE$5^$AI$6*AA7*$AI$7)</f>
        <v>306</v>
      </c>
      <c r="AF7" s="14">
        <f>SUM(AB7:AE7)</f>
        <v>1005</v>
      </c>
      <c r="AH7" s="11" t="s">
        <v>59</v>
      </c>
      <c r="AI7" s="11">
        <v>1.9</v>
      </c>
      <c r="AM7" s="13">
        <v>1</v>
      </c>
      <c r="AN7" s="13">
        <f>ROUNDUP(C7/O7/5,0)*AB7</f>
        <v>210</v>
      </c>
      <c r="AO7" s="13">
        <f>ROUNDUP(D7/O7/5,0)*AC7+AN7</f>
        <v>668</v>
      </c>
      <c r="AP7" s="13">
        <f>ROUNDUP(E7/O7/5,0)*AD7+AO7</f>
        <v>1448</v>
      </c>
      <c r="AQ7" s="13">
        <f>ROUNDUP(F7/O7/5,0)*AE7+AP7</f>
        <v>3284</v>
      </c>
      <c r="AS7" s="10" t="str">
        <f>"{0 , "&amp;AN7&amp;" , "&amp;AO7&amp;" , "&amp;AP7&amp;" , "&amp;AQ7&amp;"},"</f>
        <v>{0 , 210 , 668 , 1448 , 3284},</v>
      </c>
    </row>
    <row r="8" spans="2:45" x14ac:dyDescent="0.15">
      <c r="B8" s="10">
        <v>2</v>
      </c>
      <c r="C8" s="15">
        <f t="shared" ref="C8:C56" si="1">99+INT($C$5^4*B8*1.11)</f>
        <v>134</v>
      </c>
      <c r="D8" s="15">
        <f t="shared" ref="D8:D56" si="2">99+INT($D$5^4*B8*1.11)</f>
        <v>278</v>
      </c>
      <c r="E8" s="15">
        <f t="shared" ref="E8:E56" si="3">99+INT($E$5^4*B8*1.11)</f>
        <v>667</v>
      </c>
      <c r="F8" s="15">
        <f t="shared" ref="F8:F56" si="4">99+INT($F$5^4*B8*1.11)</f>
        <v>1486</v>
      </c>
      <c r="G8" s="16">
        <f t="shared" si="0"/>
        <v>2565</v>
      </c>
      <c r="N8" s="10">
        <v>2</v>
      </c>
      <c r="O8" s="15">
        <f t="shared" ref="O8:O56" si="5">N8*29+INT($O$5^3*1.5)</f>
        <v>59</v>
      </c>
      <c r="P8" s="15">
        <f t="shared" ref="P8:P56" si="6">N8*29+INT($P$5^3*1.5)</f>
        <v>70</v>
      </c>
      <c r="Q8" s="15">
        <f t="shared" ref="Q8:Q56" si="7">N8*29+INT($Q$5^3*1.5)</f>
        <v>98</v>
      </c>
      <c r="R8" s="15">
        <f t="shared" ref="R8:R56" si="8">N8*29+INT($R$5^3*1.5)</f>
        <v>154</v>
      </c>
      <c r="S8" s="15">
        <f t="shared" ref="S8:S56" si="9">N8*29+INT($S$5^3*1.5)</f>
        <v>245</v>
      </c>
      <c r="AA8" s="10">
        <v>2</v>
      </c>
      <c r="AB8" s="15">
        <f t="shared" ref="AB8:AB56" si="10">$AI$8+INT(AA8^$AI$5+$AB$5^$AI$6*AA8*$AI$7)</f>
        <v>222</v>
      </c>
      <c r="AC8" s="15">
        <f t="shared" ref="AC8:AC56" si="11">$AI$8+INT(AA8^$AI$5+$AC$5^$AI$6*AA8*$AI$7)</f>
        <v>260</v>
      </c>
      <c r="AD8" s="15">
        <f t="shared" ref="AD8:AD56" si="12">$AI$8+INT(AA8^$AI$5+$AD$5^$AI$6*AA8*$AI$7)</f>
        <v>322</v>
      </c>
      <c r="AE8" s="15">
        <f t="shared" ref="AE8:AE56" si="13">$AI$8+INT(AA8^$AI$5+$AE$5^$AI$6*AA8*$AI$7)</f>
        <v>413</v>
      </c>
      <c r="AF8" s="16">
        <f t="shared" ref="AF8:AF56" si="14">SUM(AB8:AE8)</f>
        <v>1217</v>
      </c>
      <c r="AH8" s="11" t="s">
        <v>60</v>
      </c>
      <c r="AI8" s="11">
        <v>199</v>
      </c>
      <c r="AM8" s="10">
        <v>2</v>
      </c>
      <c r="AN8" s="10">
        <f t="shared" ref="AN8:AN56" si="15">ROUNDUP(C8/O8/5,0)*AB8</f>
        <v>222</v>
      </c>
      <c r="AO8" s="10">
        <f t="shared" ref="AO8:AO56" si="16">ROUNDUP(D8/O8/5,0)*AC8+AN8</f>
        <v>482</v>
      </c>
      <c r="AP8" s="10">
        <f t="shared" ref="AP8:AP56" si="17">ROUNDUP(E8/O8/5,0)*AD8+AO8</f>
        <v>1448</v>
      </c>
      <c r="AQ8" s="10">
        <f t="shared" ref="AQ8:AQ56" si="18">ROUNDUP(F8/O8/5,0)*AE8+AP8</f>
        <v>3926</v>
      </c>
      <c r="AS8" s="10" t="str">
        <f t="shared" ref="AS8:AS56" si="19">"{0 , "&amp;AN8&amp;" , "&amp;AO8&amp;" , "&amp;AP8&amp;" , "&amp;AQ8&amp;"},"</f>
        <v>{0 , 222 , 482 , 1448 , 3926},</v>
      </c>
    </row>
    <row r="9" spans="2:45" x14ac:dyDescent="0.15">
      <c r="B9" s="10">
        <v>3</v>
      </c>
      <c r="C9" s="15">
        <f t="shared" si="1"/>
        <v>152</v>
      </c>
      <c r="D9" s="15">
        <f t="shared" si="2"/>
        <v>368</v>
      </c>
      <c r="E9" s="15">
        <f t="shared" si="3"/>
        <v>951</v>
      </c>
      <c r="F9" s="15">
        <f t="shared" si="4"/>
        <v>2180</v>
      </c>
      <c r="G9" s="16">
        <f t="shared" si="0"/>
        <v>3651</v>
      </c>
      <c r="N9" s="10">
        <v>3</v>
      </c>
      <c r="O9" s="15">
        <f t="shared" si="5"/>
        <v>88</v>
      </c>
      <c r="P9" s="15">
        <f t="shared" si="6"/>
        <v>99</v>
      </c>
      <c r="Q9" s="15">
        <f t="shared" si="7"/>
        <v>127</v>
      </c>
      <c r="R9" s="15">
        <f t="shared" si="8"/>
        <v>183</v>
      </c>
      <c r="S9" s="15">
        <f t="shared" si="9"/>
        <v>274</v>
      </c>
      <c r="AA9" s="10">
        <v>3</v>
      </c>
      <c r="AB9" s="15">
        <f t="shared" si="10"/>
        <v>234</v>
      </c>
      <c r="AC9" s="15">
        <f t="shared" si="11"/>
        <v>291</v>
      </c>
      <c r="AD9" s="15">
        <f t="shared" si="12"/>
        <v>385</v>
      </c>
      <c r="AE9" s="15">
        <f t="shared" si="13"/>
        <v>521</v>
      </c>
      <c r="AF9" s="16">
        <f t="shared" si="14"/>
        <v>1431</v>
      </c>
      <c r="AM9" s="10">
        <v>3</v>
      </c>
      <c r="AN9" s="10">
        <f t="shared" si="15"/>
        <v>234</v>
      </c>
      <c r="AO9" s="10">
        <f t="shared" si="16"/>
        <v>525</v>
      </c>
      <c r="AP9" s="10">
        <f t="shared" si="17"/>
        <v>1680</v>
      </c>
      <c r="AQ9" s="10">
        <f t="shared" si="18"/>
        <v>4285</v>
      </c>
      <c r="AS9" s="10" t="str">
        <f t="shared" si="19"/>
        <v>{0 , 234 , 525 , 1680 , 4285},</v>
      </c>
    </row>
    <row r="10" spans="2:45" x14ac:dyDescent="0.15">
      <c r="B10" s="10">
        <v>4</v>
      </c>
      <c r="C10" s="15">
        <f t="shared" si="1"/>
        <v>170</v>
      </c>
      <c r="D10" s="15">
        <f t="shared" si="2"/>
        <v>458</v>
      </c>
      <c r="E10" s="15">
        <f t="shared" si="3"/>
        <v>1235</v>
      </c>
      <c r="F10" s="15">
        <f t="shared" si="4"/>
        <v>2874</v>
      </c>
      <c r="G10" s="16">
        <f t="shared" si="0"/>
        <v>4737</v>
      </c>
      <c r="N10" s="10">
        <v>4</v>
      </c>
      <c r="O10" s="15">
        <f t="shared" si="5"/>
        <v>117</v>
      </c>
      <c r="P10" s="15">
        <f t="shared" si="6"/>
        <v>128</v>
      </c>
      <c r="Q10" s="15">
        <f t="shared" si="7"/>
        <v>156</v>
      </c>
      <c r="R10" s="15">
        <f t="shared" si="8"/>
        <v>212</v>
      </c>
      <c r="S10" s="15">
        <f t="shared" si="9"/>
        <v>303</v>
      </c>
      <c r="AA10" s="10">
        <v>4</v>
      </c>
      <c r="AB10" s="15">
        <f t="shared" si="10"/>
        <v>247</v>
      </c>
      <c r="AC10" s="15">
        <f t="shared" si="11"/>
        <v>322</v>
      </c>
      <c r="AD10" s="15">
        <f t="shared" si="12"/>
        <v>447</v>
      </c>
      <c r="AE10" s="15">
        <f t="shared" si="13"/>
        <v>629</v>
      </c>
      <c r="AF10" s="16">
        <f t="shared" si="14"/>
        <v>1645</v>
      </c>
      <c r="AM10" s="10">
        <v>4</v>
      </c>
      <c r="AN10" s="10">
        <f t="shared" si="15"/>
        <v>247</v>
      </c>
      <c r="AO10" s="10">
        <f t="shared" si="16"/>
        <v>569</v>
      </c>
      <c r="AP10" s="10">
        <f t="shared" si="17"/>
        <v>1910</v>
      </c>
      <c r="AQ10" s="10">
        <f t="shared" si="18"/>
        <v>5055</v>
      </c>
      <c r="AS10" s="10" t="str">
        <f t="shared" si="19"/>
        <v>{0 , 247 , 569 , 1910 , 5055},</v>
      </c>
    </row>
    <row r="11" spans="2:45" x14ac:dyDescent="0.15">
      <c r="B11" s="13">
        <v>5</v>
      </c>
      <c r="C11" s="14">
        <f t="shared" si="1"/>
        <v>187</v>
      </c>
      <c r="D11" s="14">
        <f t="shared" si="2"/>
        <v>548</v>
      </c>
      <c r="E11" s="14">
        <f t="shared" si="3"/>
        <v>1519</v>
      </c>
      <c r="F11" s="14">
        <f t="shared" si="4"/>
        <v>3567</v>
      </c>
      <c r="G11" s="14">
        <f t="shared" si="0"/>
        <v>5821</v>
      </c>
      <c r="N11" s="13">
        <v>5</v>
      </c>
      <c r="O11" s="14">
        <f t="shared" si="5"/>
        <v>146</v>
      </c>
      <c r="P11" s="14">
        <f t="shared" si="6"/>
        <v>157</v>
      </c>
      <c r="Q11" s="14">
        <f t="shared" si="7"/>
        <v>185</v>
      </c>
      <c r="R11" s="14">
        <f t="shared" si="8"/>
        <v>241</v>
      </c>
      <c r="S11" s="14">
        <f t="shared" si="9"/>
        <v>332</v>
      </c>
      <c r="AA11" s="13">
        <v>5</v>
      </c>
      <c r="AB11" s="14">
        <f t="shared" si="10"/>
        <v>259</v>
      </c>
      <c r="AC11" s="14">
        <f t="shared" si="11"/>
        <v>353</v>
      </c>
      <c r="AD11" s="14">
        <f t="shared" si="12"/>
        <v>509</v>
      </c>
      <c r="AE11" s="14">
        <f t="shared" si="13"/>
        <v>736</v>
      </c>
      <c r="AF11" s="14">
        <f t="shared" si="14"/>
        <v>1857</v>
      </c>
      <c r="AM11" s="13">
        <v>5</v>
      </c>
      <c r="AN11" s="13">
        <f t="shared" si="15"/>
        <v>259</v>
      </c>
      <c r="AO11" s="13">
        <f t="shared" si="16"/>
        <v>612</v>
      </c>
      <c r="AP11" s="13">
        <f t="shared" si="17"/>
        <v>2139</v>
      </c>
      <c r="AQ11" s="13">
        <f t="shared" si="18"/>
        <v>5819</v>
      </c>
      <c r="AS11" s="10" t="str">
        <f t="shared" si="19"/>
        <v>{0 , 259 , 612 , 2139 , 5819},</v>
      </c>
    </row>
    <row r="12" spans="2:45" x14ac:dyDescent="0.15">
      <c r="B12" s="10">
        <v>6</v>
      </c>
      <c r="C12" s="15">
        <f t="shared" si="1"/>
        <v>205</v>
      </c>
      <c r="D12" s="15">
        <f t="shared" si="2"/>
        <v>638</v>
      </c>
      <c r="E12" s="15">
        <f t="shared" si="3"/>
        <v>1803</v>
      </c>
      <c r="F12" s="15">
        <f t="shared" si="4"/>
        <v>4261</v>
      </c>
      <c r="G12" s="16">
        <f t="shared" si="0"/>
        <v>6907</v>
      </c>
      <c r="N12" s="10">
        <v>6</v>
      </c>
      <c r="O12" s="15">
        <f t="shared" si="5"/>
        <v>175</v>
      </c>
      <c r="P12" s="15">
        <f t="shared" si="6"/>
        <v>186</v>
      </c>
      <c r="Q12" s="15">
        <f t="shared" si="7"/>
        <v>214</v>
      </c>
      <c r="R12" s="15">
        <f t="shared" si="8"/>
        <v>270</v>
      </c>
      <c r="S12" s="15">
        <f t="shared" si="9"/>
        <v>361</v>
      </c>
      <c r="AA12" s="10">
        <v>6</v>
      </c>
      <c r="AB12" s="15">
        <f t="shared" si="10"/>
        <v>272</v>
      </c>
      <c r="AC12" s="15">
        <f t="shared" si="11"/>
        <v>385</v>
      </c>
      <c r="AD12" s="15">
        <f t="shared" si="12"/>
        <v>572</v>
      </c>
      <c r="AE12" s="15">
        <f t="shared" si="13"/>
        <v>844</v>
      </c>
      <c r="AF12" s="16">
        <f t="shared" si="14"/>
        <v>2073</v>
      </c>
      <c r="AM12" s="10">
        <v>6</v>
      </c>
      <c r="AN12" s="10">
        <f t="shared" si="15"/>
        <v>272</v>
      </c>
      <c r="AO12" s="10">
        <f t="shared" si="16"/>
        <v>657</v>
      </c>
      <c r="AP12" s="10">
        <f t="shared" si="17"/>
        <v>2373</v>
      </c>
      <c r="AQ12" s="10">
        <f t="shared" si="18"/>
        <v>6593</v>
      </c>
      <c r="AS12" s="10" t="str">
        <f t="shared" si="19"/>
        <v>{0 , 272 , 657 , 2373 , 6593},</v>
      </c>
    </row>
    <row r="13" spans="2:45" x14ac:dyDescent="0.15">
      <c r="B13" s="10">
        <v>7</v>
      </c>
      <c r="C13" s="15">
        <f t="shared" si="1"/>
        <v>223</v>
      </c>
      <c r="D13" s="15">
        <f t="shared" si="2"/>
        <v>728</v>
      </c>
      <c r="E13" s="15">
        <f t="shared" si="3"/>
        <v>2088</v>
      </c>
      <c r="F13" s="15">
        <f t="shared" si="4"/>
        <v>4955</v>
      </c>
      <c r="G13" s="16">
        <f t="shared" si="0"/>
        <v>7994</v>
      </c>
      <c r="N13" s="10">
        <v>7</v>
      </c>
      <c r="O13" s="15">
        <f t="shared" si="5"/>
        <v>204</v>
      </c>
      <c r="P13" s="15">
        <f t="shared" si="6"/>
        <v>215</v>
      </c>
      <c r="Q13" s="15">
        <f t="shared" si="7"/>
        <v>243</v>
      </c>
      <c r="R13" s="15">
        <f t="shared" si="8"/>
        <v>299</v>
      </c>
      <c r="S13" s="15">
        <f t="shared" si="9"/>
        <v>390</v>
      </c>
      <c r="AA13" s="10">
        <v>7</v>
      </c>
      <c r="AB13" s="15">
        <f t="shared" si="10"/>
        <v>284</v>
      </c>
      <c r="AC13" s="15">
        <f t="shared" si="11"/>
        <v>416</v>
      </c>
      <c r="AD13" s="15">
        <f t="shared" si="12"/>
        <v>634</v>
      </c>
      <c r="AE13" s="15">
        <f t="shared" si="13"/>
        <v>952</v>
      </c>
      <c r="AF13" s="16">
        <f t="shared" si="14"/>
        <v>2286</v>
      </c>
      <c r="AM13" s="10">
        <v>7</v>
      </c>
      <c r="AN13" s="10">
        <f t="shared" si="15"/>
        <v>284</v>
      </c>
      <c r="AO13" s="10">
        <f t="shared" si="16"/>
        <v>700</v>
      </c>
      <c r="AP13" s="10">
        <f t="shared" si="17"/>
        <v>2602</v>
      </c>
      <c r="AQ13" s="10">
        <f t="shared" si="18"/>
        <v>7362</v>
      </c>
      <c r="AS13" s="10" t="str">
        <f t="shared" si="19"/>
        <v>{0 , 284 , 700 , 2602 , 7362},</v>
      </c>
    </row>
    <row r="14" spans="2:45" x14ac:dyDescent="0.15">
      <c r="B14" s="10">
        <v>8</v>
      </c>
      <c r="C14" s="15">
        <f t="shared" si="1"/>
        <v>241</v>
      </c>
      <c r="D14" s="15">
        <f t="shared" si="2"/>
        <v>818</v>
      </c>
      <c r="E14" s="15">
        <f t="shared" si="3"/>
        <v>2372</v>
      </c>
      <c r="F14" s="15">
        <f t="shared" si="4"/>
        <v>5649</v>
      </c>
      <c r="G14" s="16">
        <f t="shared" si="0"/>
        <v>9080</v>
      </c>
      <c r="N14" s="10">
        <v>8</v>
      </c>
      <c r="O14" s="15">
        <f t="shared" si="5"/>
        <v>233</v>
      </c>
      <c r="P14" s="15">
        <f t="shared" si="6"/>
        <v>244</v>
      </c>
      <c r="Q14" s="15">
        <f t="shared" si="7"/>
        <v>272</v>
      </c>
      <c r="R14" s="15">
        <f t="shared" si="8"/>
        <v>328</v>
      </c>
      <c r="S14" s="15">
        <f t="shared" si="9"/>
        <v>419</v>
      </c>
      <c r="AA14" s="10">
        <v>8</v>
      </c>
      <c r="AB14" s="15">
        <f t="shared" si="10"/>
        <v>297</v>
      </c>
      <c r="AC14" s="15">
        <f t="shared" si="11"/>
        <v>448</v>
      </c>
      <c r="AD14" s="15">
        <f t="shared" si="12"/>
        <v>697</v>
      </c>
      <c r="AE14" s="15">
        <f t="shared" si="13"/>
        <v>1060</v>
      </c>
      <c r="AF14" s="16">
        <f t="shared" si="14"/>
        <v>2502</v>
      </c>
      <c r="AM14" s="10">
        <v>8</v>
      </c>
      <c r="AN14" s="10">
        <f t="shared" si="15"/>
        <v>297</v>
      </c>
      <c r="AO14" s="10">
        <f t="shared" si="16"/>
        <v>745</v>
      </c>
      <c r="AP14" s="10">
        <f t="shared" si="17"/>
        <v>2836</v>
      </c>
      <c r="AQ14" s="10">
        <f t="shared" si="18"/>
        <v>8136</v>
      </c>
      <c r="AS14" s="10" t="str">
        <f t="shared" si="19"/>
        <v>{0 , 297 , 745 , 2836 , 8136},</v>
      </c>
    </row>
    <row r="15" spans="2:45" x14ac:dyDescent="0.15">
      <c r="B15" s="10">
        <v>9</v>
      </c>
      <c r="C15" s="15">
        <f t="shared" si="1"/>
        <v>258</v>
      </c>
      <c r="D15" s="15">
        <f t="shared" si="2"/>
        <v>908</v>
      </c>
      <c r="E15" s="15">
        <f t="shared" si="3"/>
        <v>2656</v>
      </c>
      <c r="F15" s="15">
        <f t="shared" si="4"/>
        <v>6342</v>
      </c>
      <c r="G15" s="16">
        <f t="shared" si="0"/>
        <v>10164</v>
      </c>
      <c r="N15" s="10">
        <v>9</v>
      </c>
      <c r="O15" s="15">
        <f t="shared" si="5"/>
        <v>262</v>
      </c>
      <c r="P15" s="15">
        <f t="shared" si="6"/>
        <v>273</v>
      </c>
      <c r="Q15" s="15">
        <f t="shared" si="7"/>
        <v>301</v>
      </c>
      <c r="R15" s="15">
        <f t="shared" si="8"/>
        <v>357</v>
      </c>
      <c r="S15" s="15">
        <f t="shared" si="9"/>
        <v>448</v>
      </c>
      <c r="AA15" s="10">
        <v>9</v>
      </c>
      <c r="AB15" s="15">
        <f t="shared" si="10"/>
        <v>309</v>
      </c>
      <c r="AC15" s="15">
        <f t="shared" si="11"/>
        <v>479</v>
      </c>
      <c r="AD15" s="15">
        <f t="shared" si="12"/>
        <v>760</v>
      </c>
      <c r="AE15" s="15">
        <f t="shared" si="13"/>
        <v>1168</v>
      </c>
      <c r="AF15" s="16">
        <f t="shared" si="14"/>
        <v>2716</v>
      </c>
      <c r="AM15" s="10">
        <v>9</v>
      </c>
      <c r="AN15" s="10">
        <f t="shared" si="15"/>
        <v>309</v>
      </c>
      <c r="AO15" s="10">
        <f t="shared" si="16"/>
        <v>788</v>
      </c>
      <c r="AP15" s="10">
        <f t="shared" si="17"/>
        <v>3068</v>
      </c>
      <c r="AQ15" s="10">
        <f t="shared" si="18"/>
        <v>8908</v>
      </c>
      <c r="AS15" s="10" t="str">
        <f t="shared" si="19"/>
        <v>{0 , 309 , 788 , 3068 , 8908},</v>
      </c>
    </row>
    <row r="16" spans="2:45" x14ac:dyDescent="0.15">
      <c r="B16" s="13">
        <v>10</v>
      </c>
      <c r="C16" s="14">
        <f t="shared" si="1"/>
        <v>276</v>
      </c>
      <c r="D16" s="14">
        <f t="shared" si="2"/>
        <v>998</v>
      </c>
      <c r="E16" s="14">
        <f t="shared" si="3"/>
        <v>2940</v>
      </c>
      <c r="F16" s="14">
        <f t="shared" si="4"/>
        <v>7036</v>
      </c>
      <c r="G16" s="14">
        <f t="shared" si="0"/>
        <v>11250</v>
      </c>
      <c r="N16" s="13">
        <v>10</v>
      </c>
      <c r="O16" s="14">
        <f t="shared" si="5"/>
        <v>291</v>
      </c>
      <c r="P16" s="14">
        <f t="shared" si="6"/>
        <v>302</v>
      </c>
      <c r="Q16" s="14">
        <f t="shared" si="7"/>
        <v>330</v>
      </c>
      <c r="R16" s="14">
        <f t="shared" si="8"/>
        <v>386</v>
      </c>
      <c r="S16" s="14">
        <f t="shared" si="9"/>
        <v>477</v>
      </c>
      <c r="AA16" s="13">
        <v>10</v>
      </c>
      <c r="AB16" s="14">
        <f t="shared" si="10"/>
        <v>322</v>
      </c>
      <c r="AC16" s="14">
        <f t="shared" si="11"/>
        <v>511</v>
      </c>
      <c r="AD16" s="14">
        <f t="shared" si="12"/>
        <v>822</v>
      </c>
      <c r="AE16" s="14">
        <f t="shared" si="13"/>
        <v>1276</v>
      </c>
      <c r="AF16" s="14">
        <f t="shared" si="14"/>
        <v>2931</v>
      </c>
      <c r="AM16" s="13">
        <v>10</v>
      </c>
      <c r="AN16" s="13">
        <f t="shared" si="15"/>
        <v>322</v>
      </c>
      <c r="AO16" s="13">
        <f t="shared" si="16"/>
        <v>833</v>
      </c>
      <c r="AP16" s="13">
        <f t="shared" si="17"/>
        <v>3299</v>
      </c>
      <c r="AQ16" s="13">
        <f t="shared" si="18"/>
        <v>9679</v>
      </c>
      <c r="AS16" s="10" t="str">
        <f t="shared" si="19"/>
        <v>{0 , 322 , 833 , 3299 , 9679},</v>
      </c>
    </row>
    <row r="17" spans="2:45" x14ac:dyDescent="0.15">
      <c r="B17" s="10">
        <v>11</v>
      </c>
      <c r="C17" s="15">
        <f t="shared" si="1"/>
        <v>294</v>
      </c>
      <c r="D17" s="15">
        <f t="shared" si="2"/>
        <v>1088</v>
      </c>
      <c r="E17" s="15">
        <f t="shared" si="3"/>
        <v>3224</v>
      </c>
      <c r="F17" s="15">
        <f t="shared" si="4"/>
        <v>7730</v>
      </c>
      <c r="G17" s="16">
        <f t="shared" si="0"/>
        <v>12336</v>
      </c>
      <c r="N17" s="10">
        <v>11</v>
      </c>
      <c r="O17" s="15">
        <f t="shared" si="5"/>
        <v>320</v>
      </c>
      <c r="P17" s="15">
        <f t="shared" si="6"/>
        <v>331</v>
      </c>
      <c r="Q17" s="15">
        <f t="shared" si="7"/>
        <v>359</v>
      </c>
      <c r="R17" s="15">
        <f t="shared" si="8"/>
        <v>415</v>
      </c>
      <c r="S17" s="15">
        <f t="shared" si="9"/>
        <v>506</v>
      </c>
      <c r="AA17" s="10">
        <v>11</v>
      </c>
      <c r="AB17" s="15">
        <f t="shared" si="10"/>
        <v>334</v>
      </c>
      <c r="AC17" s="15">
        <f t="shared" si="11"/>
        <v>542</v>
      </c>
      <c r="AD17" s="15">
        <f t="shared" si="12"/>
        <v>885</v>
      </c>
      <c r="AE17" s="15">
        <f t="shared" si="13"/>
        <v>1385</v>
      </c>
      <c r="AF17" s="16">
        <f t="shared" si="14"/>
        <v>3146</v>
      </c>
      <c r="AM17" s="10">
        <v>11</v>
      </c>
      <c r="AN17" s="10">
        <f t="shared" si="15"/>
        <v>334</v>
      </c>
      <c r="AO17" s="10">
        <f t="shared" si="16"/>
        <v>876</v>
      </c>
      <c r="AP17" s="10">
        <f t="shared" si="17"/>
        <v>3531</v>
      </c>
      <c r="AQ17" s="10">
        <f t="shared" si="18"/>
        <v>10456</v>
      </c>
      <c r="AS17" s="10" t="str">
        <f t="shared" si="19"/>
        <v>{0 , 334 , 876 , 3531 , 10456},</v>
      </c>
    </row>
    <row r="18" spans="2:45" x14ac:dyDescent="0.15">
      <c r="B18" s="10">
        <v>12</v>
      </c>
      <c r="C18" s="15">
        <f t="shared" si="1"/>
        <v>312</v>
      </c>
      <c r="D18" s="15">
        <f t="shared" si="2"/>
        <v>1177</v>
      </c>
      <c r="E18" s="15">
        <f t="shared" si="3"/>
        <v>3508</v>
      </c>
      <c r="F18" s="15">
        <f t="shared" si="4"/>
        <v>8424</v>
      </c>
      <c r="G18" s="16">
        <f t="shared" si="0"/>
        <v>13421</v>
      </c>
      <c r="N18" s="10">
        <v>12</v>
      </c>
      <c r="O18" s="15">
        <f t="shared" si="5"/>
        <v>349</v>
      </c>
      <c r="P18" s="15">
        <f t="shared" si="6"/>
        <v>360</v>
      </c>
      <c r="Q18" s="15">
        <f t="shared" si="7"/>
        <v>388</v>
      </c>
      <c r="R18" s="15">
        <f t="shared" si="8"/>
        <v>444</v>
      </c>
      <c r="S18" s="15">
        <f t="shared" si="9"/>
        <v>535</v>
      </c>
      <c r="AA18" s="10">
        <v>12</v>
      </c>
      <c r="AB18" s="15">
        <f t="shared" si="10"/>
        <v>347</v>
      </c>
      <c r="AC18" s="15">
        <f t="shared" si="11"/>
        <v>574</v>
      </c>
      <c r="AD18" s="15">
        <f t="shared" si="12"/>
        <v>948</v>
      </c>
      <c r="AE18" s="15">
        <f t="shared" si="13"/>
        <v>1493</v>
      </c>
      <c r="AF18" s="16">
        <f t="shared" si="14"/>
        <v>3362</v>
      </c>
      <c r="AM18" s="10">
        <v>12</v>
      </c>
      <c r="AN18" s="10">
        <f t="shared" si="15"/>
        <v>347</v>
      </c>
      <c r="AO18" s="10">
        <f t="shared" si="16"/>
        <v>921</v>
      </c>
      <c r="AP18" s="10">
        <f t="shared" si="17"/>
        <v>3765</v>
      </c>
      <c r="AQ18" s="10">
        <f t="shared" si="18"/>
        <v>11230</v>
      </c>
      <c r="AS18" s="10" t="str">
        <f t="shared" si="19"/>
        <v>{0 , 347 , 921 , 3765 , 11230},</v>
      </c>
    </row>
    <row r="19" spans="2:45" x14ac:dyDescent="0.15">
      <c r="B19" s="10">
        <v>13</v>
      </c>
      <c r="C19" s="15">
        <f t="shared" si="1"/>
        <v>329</v>
      </c>
      <c r="D19" s="15">
        <f t="shared" si="2"/>
        <v>1267</v>
      </c>
      <c r="E19" s="15">
        <f t="shared" si="3"/>
        <v>3793</v>
      </c>
      <c r="F19" s="15">
        <f t="shared" si="4"/>
        <v>9117</v>
      </c>
      <c r="G19" s="16">
        <f t="shared" si="0"/>
        <v>14506</v>
      </c>
      <c r="N19" s="10">
        <v>13</v>
      </c>
      <c r="O19" s="15">
        <f t="shared" si="5"/>
        <v>378</v>
      </c>
      <c r="P19" s="15">
        <f t="shared" si="6"/>
        <v>389</v>
      </c>
      <c r="Q19" s="15">
        <f t="shared" si="7"/>
        <v>417</v>
      </c>
      <c r="R19" s="15">
        <f t="shared" si="8"/>
        <v>473</v>
      </c>
      <c r="S19" s="15">
        <f t="shared" si="9"/>
        <v>564</v>
      </c>
      <c r="AA19" s="10">
        <v>13</v>
      </c>
      <c r="AB19" s="15">
        <f t="shared" si="10"/>
        <v>360</v>
      </c>
      <c r="AC19" s="15">
        <f t="shared" si="11"/>
        <v>605</v>
      </c>
      <c r="AD19" s="15">
        <f t="shared" si="12"/>
        <v>1011</v>
      </c>
      <c r="AE19" s="15">
        <f t="shared" si="13"/>
        <v>1601</v>
      </c>
      <c r="AF19" s="16">
        <f t="shared" si="14"/>
        <v>3577</v>
      </c>
      <c r="AM19" s="10">
        <v>13</v>
      </c>
      <c r="AN19" s="10">
        <f t="shared" si="15"/>
        <v>360</v>
      </c>
      <c r="AO19" s="10">
        <f t="shared" si="16"/>
        <v>965</v>
      </c>
      <c r="AP19" s="10">
        <f t="shared" si="17"/>
        <v>3998</v>
      </c>
      <c r="AQ19" s="10">
        <f t="shared" si="18"/>
        <v>12003</v>
      </c>
      <c r="AS19" s="10" t="str">
        <f t="shared" si="19"/>
        <v>{0 , 360 , 965 , 3998 , 12003},</v>
      </c>
    </row>
    <row r="20" spans="2:45" x14ac:dyDescent="0.15">
      <c r="B20" s="10">
        <v>14</v>
      </c>
      <c r="C20" s="15">
        <f t="shared" si="1"/>
        <v>347</v>
      </c>
      <c r="D20" s="15">
        <f t="shared" si="2"/>
        <v>1357</v>
      </c>
      <c r="E20" s="15">
        <f t="shared" si="3"/>
        <v>4077</v>
      </c>
      <c r="F20" s="15">
        <f t="shared" si="4"/>
        <v>9811</v>
      </c>
      <c r="G20" s="16">
        <f t="shared" si="0"/>
        <v>15592</v>
      </c>
      <c r="N20" s="10">
        <v>14</v>
      </c>
      <c r="O20" s="15">
        <f t="shared" si="5"/>
        <v>407</v>
      </c>
      <c r="P20" s="15">
        <f t="shared" si="6"/>
        <v>418</v>
      </c>
      <c r="Q20" s="15">
        <f t="shared" si="7"/>
        <v>446</v>
      </c>
      <c r="R20" s="15">
        <f t="shared" si="8"/>
        <v>502</v>
      </c>
      <c r="S20" s="15">
        <f t="shared" si="9"/>
        <v>593</v>
      </c>
      <c r="AA20" s="10">
        <v>14</v>
      </c>
      <c r="AB20" s="15">
        <f t="shared" si="10"/>
        <v>373</v>
      </c>
      <c r="AC20" s="15">
        <f t="shared" si="11"/>
        <v>637</v>
      </c>
      <c r="AD20" s="15">
        <f t="shared" si="12"/>
        <v>1073</v>
      </c>
      <c r="AE20" s="15">
        <f t="shared" si="13"/>
        <v>1709</v>
      </c>
      <c r="AF20" s="16">
        <f t="shared" si="14"/>
        <v>3792</v>
      </c>
      <c r="AM20" s="10">
        <v>14</v>
      </c>
      <c r="AN20" s="10">
        <f t="shared" si="15"/>
        <v>373</v>
      </c>
      <c r="AO20" s="10">
        <f t="shared" si="16"/>
        <v>1010</v>
      </c>
      <c r="AP20" s="10">
        <f t="shared" si="17"/>
        <v>4229</v>
      </c>
      <c r="AQ20" s="10">
        <f t="shared" si="18"/>
        <v>12774</v>
      </c>
      <c r="AS20" s="10" t="str">
        <f t="shared" si="19"/>
        <v>{0 , 373 , 1010 , 4229 , 12774},</v>
      </c>
    </row>
    <row r="21" spans="2:45" x14ac:dyDescent="0.15">
      <c r="B21" s="13">
        <v>15</v>
      </c>
      <c r="C21" s="14">
        <f t="shared" si="1"/>
        <v>365</v>
      </c>
      <c r="D21" s="14">
        <f t="shared" si="2"/>
        <v>1447</v>
      </c>
      <c r="E21" s="14">
        <f t="shared" si="3"/>
        <v>4361</v>
      </c>
      <c r="F21" s="14">
        <f t="shared" si="4"/>
        <v>10505</v>
      </c>
      <c r="G21" s="14">
        <f t="shared" si="0"/>
        <v>16678</v>
      </c>
      <c r="N21" s="13">
        <v>15</v>
      </c>
      <c r="O21" s="14">
        <f t="shared" si="5"/>
        <v>436</v>
      </c>
      <c r="P21" s="14">
        <f t="shared" si="6"/>
        <v>447</v>
      </c>
      <c r="Q21" s="14">
        <f t="shared" si="7"/>
        <v>475</v>
      </c>
      <c r="R21" s="14">
        <f t="shared" si="8"/>
        <v>531</v>
      </c>
      <c r="S21" s="14">
        <f t="shared" si="9"/>
        <v>622</v>
      </c>
      <c r="AA21" s="13">
        <v>15</v>
      </c>
      <c r="AB21" s="14">
        <f t="shared" si="10"/>
        <v>386</v>
      </c>
      <c r="AC21" s="14">
        <f t="shared" si="11"/>
        <v>669</v>
      </c>
      <c r="AD21" s="14">
        <f t="shared" si="12"/>
        <v>1136</v>
      </c>
      <c r="AE21" s="14">
        <f t="shared" si="13"/>
        <v>1817</v>
      </c>
      <c r="AF21" s="14">
        <f t="shared" si="14"/>
        <v>4008</v>
      </c>
      <c r="AM21" s="13">
        <v>15</v>
      </c>
      <c r="AN21" s="13">
        <f t="shared" si="15"/>
        <v>386</v>
      </c>
      <c r="AO21" s="13">
        <f t="shared" si="16"/>
        <v>1055</v>
      </c>
      <c r="AP21" s="13">
        <f t="shared" si="17"/>
        <v>4463</v>
      </c>
      <c r="AQ21" s="13">
        <f t="shared" si="18"/>
        <v>13548</v>
      </c>
      <c r="AS21" s="10" t="str">
        <f t="shared" si="19"/>
        <v>{0 , 386 , 1055 , 4463 , 13548},</v>
      </c>
    </row>
    <row r="22" spans="2:45" x14ac:dyDescent="0.15">
      <c r="B22" s="10">
        <v>16</v>
      </c>
      <c r="C22" s="15">
        <f t="shared" si="1"/>
        <v>383</v>
      </c>
      <c r="D22" s="15">
        <f t="shared" si="2"/>
        <v>1537</v>
      </c>
      <c r="E22" s="15">
        <f t="shared" si="3"/>
        <v>4645</v>
      </c>
      <c r="F22" s="15">
        <f t="shared" si="4"/>
        <v>11199</v>
      </c>
      <c r="G22" s="16">
        <f t="shared" si="0"/>
        <v>17764</v>
      </c>
      <c r="N22" s="10">
        <v>16</v>
      </c>
      <c r="O22" s="15">
        <f t="shared" si="5"/>
        <v>465</v>
      </c>
      <c r="P22" s="15">
        <f t="shared" si="6"/>
        <v>476</v>
      </c>
      <c r="Q22" s="15">
        <f t="shared" si="7"/>
        <v>504</v>
      </c>
      <c r="R22" s="15">
        <f t="shared" si="8"/>
        <v>560</v>
      </c>
      <c r="S22" s="15">
        <f t="shared" si="9"/>
        <v>651</v>
      </c>
      <c r="AA22" s="10">
        <v>16</v>
      </c>
      <c r="AB22" s="15">
        <f t="shared" si="10"/>
        <v>398</v>
      </c>
      <c r="AC22" s="15">
        <f t="shared" si="11"/>
        <v>700</v>
      </c>
      <c r="AD22" s="15">
        <f t="shared" si="12"/>
        <v>1199</v>
      </c>
      <c r="AE22" s="15">
        <f t="shared" si="13"/>
        <v>1926</v>
      </c>
      <c r="AF22" s="16">
        <f t="shared" si="14"/>
        <v>4223</v>
      </c>
      <c r="AM22" s="10">
        <v>16</v>
      </c>
      <c r="AN22" s="10">
        <f t="shared" si="15"/>
        <v>398</v>
      </c>
      <c r="AO22" s="10">
        <f t="shared" si="16"/>
        <v>1098</v>
      </c>
      <c r="AP22" s="10">
        <f t="shared" si="17"/>
        <v>3496</v>
      </c>
      <c r="AQ22" s="10">
        <f t="shared" si="18"/>
        <v>13126</v>
      </c>
      <c r="AS22" s="10" t="str">
        <f t="shared" si="19"/>
        <v>{0 , 398 , 1098 , 3496 , 13126},</v>
      </c>
    </row>
    <row r="23" spans="2:45" x14ac:dyDescent="0.15">
      <c r="B23" s="10">
        <v>17</v>
      </c>
      <c r="C23" s="15">
        <f t="shared" si="1"/>
        <v>400</v>
      </c>
      <c r="D23" s="15">
        <f t="shared" si="2"/>
        <v>1627</v>
      </c>
      <c r="E23" s="15">
        <f t="shared" si="3"/>
        <v>4929</v>
      </c>
      <c r="F23" s="15">
        <f t="shared" si="4"/>
        <v>11892</v>
      </c>
      <c r="G23" s="16">
        <f t="shared" si="0"/>
        <v>18848</v>
      </c>
      <c r="N23" s="10">
        <v>17</v>
      </c>
      <c r="O23" s="15">
        <f t="shared" si="5"/>
        <v>494</v>
      </c>
      <c r="P23" s="15">
        <f t="shared" si="6"/>
        <v>505</v>
      </c>
      <c r="Q23" s="15">
        <f t="shared" si="7"/>
        <v>533</v>
      </c>
      <c r="R23" s="15">
        <f t="shared" si="8"/>
        <v>589</v>
      </c>
      <c r="S23" s="15">
        <f t="shared" si="9"/>
        <v>680</v>
      </c>
      <c r="AA23" s="10">
        <v>17</v>
      </c>
      <c r="AB23" s="15">
        <f t="shared" si="10"/>
        <v>411</v>
      </c>
      <c r="AC23" s="15">
        <f t="shared" si="11"/>
        <v>732</v>
      </c>
      <c r="AD23" s="15">
        <f t="shared" si="12"/>
        <v>1262</v>
      </c>
      <c r="AE23" s="15">
        <f t="shared" si="13"/>
        <v>2034</v>
      </c>
      <c r="AF23" s="16">
        <f t="shared" si="14"/>
        <v>4439</v>
      </c>
      <c r="AM23" s="10">
        <v>17</v>
      </c>
      <c r="AN23" s="10">
        <f t="shared" si="15"/>
        <v>411</v>
      </c>
      <c r="AO23" s="10">
        <f t="shared" si="16"/>
        <v>1143</v>
      </c>
      <c r="AP23" s="10">
        <f t="shared" si="17"/>
        <v>3667</v>
      </c>
      <c r="AQ23" s="10">
        <f t="shared" si="18"/>
        <v>13837</v>
      </c>
      <c r="AS23" s="10" t="str">
        <f t="shared" si="19"/>
        <v>{0 , 411 , 1143 , 3667 , 13837},</v>
      </c>
    </row>
    <row r="24" spans="2:45" x14ac:dyDescent="0.15">
      <c r="B24" s="10">
        <v>18</v>
      </c>
      <c r="C24" s="15">
        <f t="shared" si="1"/>
        <v>418</v>
      </c>
      <c r="D24" s="15">
        <f t="shared" si="2"/>
        <v>1717</v>
      </c>
      <c r="E24" s="15">
        <f t="shared" si="3"/>
        <v>5213</v>
      </c>
      <c r="F24" s="15">
        <f t="shared" si="4"/>
        <v>12586</v>
      </c>
      <c r="G24" s="16">
        <f t="shared" si="0"/>
        <v>19934</v>
      </c>
      <c r="N24" s="10">
        <v>18</v>
      </c>
      <c r="O24" s="15">
        <f t="shared" si="5"/>
        <v>523</v>
      </c>
      <c r="P24" s="15">
        <f t="shared" si="6"/>
        <v>534</v>
      </c>
      <c r="Q24" s="15">
        <f t="shared" si="7"/>
        <v>562</v>
      </c>
      <c r="R24" s="15">
        <f t="shared" si="8"/>
        <v>618</v>
      </c>
      <c r="S24" s="15">
        <f t="shared" si="9"/>
        <v>709</v>
      </c>
      <c r="AA24" s="10">
        <v>18</v>
      </c>
      <c r="AB24" s="15">
        <f t="shared" si="10"/>
        <v>424</v>
      </c>
      <c r="AC24" s="15">
        <f t="shared" si="11"/>
        <v>764</v>
      </c>
      <c r="AD24" s="15">
        <f t="shared" si="12"/>
        <v>1325</v>
      </c>
      <c r="AE24" s="15">
        <f t="shared" si="13"/>
        <v>2142</v>
      </c>
      <c r="AF24" s="16">
        <f t="shared" si="14"/>
        <v>4655</v>
      </c>
      <c r="AM24" s="10">
        <v>18</v>
      </c>
      <c r="AN24" s="10">
        <f t="shared" si="15"/>
        <v>424</v>
      </c>
      <c r="AO24" s="10">
        <f t="shared" si="16"/>
        <v>1188</v>
      </c>
      <c r="AP24" s="10">
        <f t="shared" si="17"/>
        <v>3838</v>
      </c>
      <c r="AQ24" s="10">
        <f t="shared" si="18"/>
        <v>14548</v>
      </c>
      <c r="AS24" s="10" t="str">
        <f t="shared" si="19"/>
        <v>{0 , 424 , 1188 , 3838 , 14548},</v>
      </c>
    </row>
    <row r="25" spans="2:45" x14ac:dyDescent="0.15">
      <c r="B25" s="10">
        <v>19</v>
      </c>
      <c r="C25" s="15">
        <f t="shared" si="1"/>
        <v>436</v>
      </c>
      <c r="D25" s="15">
        <f t="shared" si="2"/>
        <v>1807</v>
      </c>
      <c r="E25" s="15">
        <f t="shared" si="3"/>
        <v>5498</v>
      </c>
      <c r="F25" s="15">
        <f t="shared" si="4"/>
        <v>13280</v>
      </c>
      <c r="G25" s="16">
        <f t="shared" si="0"/>
        <v>21021</v>
      </c>
      <c r="N25" s="10">
        <v>19</v>
      </c>
      <c r="O25" s="15">
        <f t="shared" si="5"/>
        <v>552</v>
      </c>
      <c r="P25" s="15">
        <f t="shared" si="6"/>
        <v>563</v>
      </c>
      <c r="Q25" s="15">
        <f t="shared" si="7"/>
        <v>591</v>
      </c>
      <c r="R25" s="15">
        <f t="shared" si="8"/>
        <v>647</v>
      </c>
      <c r="S25" s="15">
        <f t="shared" si="9"/>
        <v>738</v>
      </c>
      <c r="AA25" s="10">
        <v>19</v>
      </c>
      <c r="AB25" s="15">
        <f t="shared" si="10"/>
        <v>437</v>
      </c>
      <c r="AC25" s="15">
        <f t="shared" si="11"/>
        <v>795</v>
      </c>
      <c r="AD25" s="15">
        <f t="shared" si="12"/>
        <v>1388</v>
      </c>
      <c r="AE25" s="15">
        <f t="shared" si="13"/>
        <v>2251</v>
      </c>
      <c r="AF25" s="16">
        <f t="shared" si="14"/>
        <v>4871</v>
      </c>
      <c r="AM25" s="10">
        <v>19</v>
      </c>
      <c r="AN25" s="10">
        <f t="shared" si="15"/>
        <v>437</v>
      </c>
      <c r="AO25" s="10">
        <f t="shared" si="16"/>
        <v>1232</v>
      </c>
      <c r="AP25" s="10">
        <f t="shared" si="17"/>
        <v>4008</v>
      </c>
      <c r="AQ25" s="10">
        <f t="shared" si="18"/>
        <v>15263</v>
      </c>
      <c r="AS25" s="10" t="str">
        <f t="shared" si="19"/>
        <v>{0 , 437 , 1232 , 4008 , 15263},</v>
      </c>
    </row>
    <row r="26" spans="2:45" x14ac:dyDescent="0.15">
      <c r="B26" s="13">
        <v>20</v>
      </c>
      <c r="C26" s="14">
        <f t="shared" si="1"/>
        <v>454</v>
      </c>
      <c r="D26" s="14">
        <f t="shared" si="2"/>
        <v>1897</v>
      </c>
      <c r="E26" s="14">
        <f t="shared" si="3"/>
        <v>5782</v>
      </c>
      <c r="F26" s="14">
        <f t="shared" si="4"/>
        <v>13974</v>
      </c>
      <c r="G26" s="14">
        <f t="shared" si="0"/>
        <v>22107</v>
      </c>
      <c r="N26" s="13">
        <v>20</v>
      </c>
      <c r="O26" s="14">
        <f t="shared" si="5"/>
        <v>581</v>
      </c>
      <c r="P26" s="14">
        <f t="shared" si="6"/>
        <v>592</v>
      </c>
      <c r="Q26" s="14">
        <f t="shared" si="7"/>
        <v>620</v>
      </c>
      <c r="R26" s="14">
        <f t="shared" si="8"/>
        <v>676</v>
      </c>
      <c r="S26" s="14">
        <f t="shared" si="9"/>
        <v>767</v>
      </c>
      <c r="AA26" s="13">
        <v>20</v>
      </c>
      <c r="AB26" s="14">
        <f t="shared" si="10"/>
        <v>450</v>
      </c>
      <c r="AC26" s="14">
        <f t="shared" si="11"/>
        <v>827</v>
      </c>
      <c r="AD26" s="14">
        <f t="shared" si="12"/>
        <v>1451</v>
      </c>
      <c r="AE26" s="14">
        <f t="shared" si="13"/>
        <v>2359</v>
      </c>
      <c r="AF26" s="14">
        <f t="shared" si="14"/>
        <v>5087</v>
      </c>
      <c r="AM26" s="13">
        <v>20</v>
      </c>
      <c r="AN26" s="13">
        <f t="shared" si="15"/>
        <v>450</v>
      </c>
      <c r="AO26" s="13">
        <f t="shared" si="16"/>
        <v>1277</v>
      </c>
      <c r="AP26" s="13">
        <f t="shared" si="17"/>
        <v>4179</v>
      </c>
      <c r="AQ26" s="13">
        <f t="shared" si="18"/>
        <v>15974</v>
      </c>
      <c r="AS26" s="10" t="str">
        <f t="shared" si="19"/>
        <v>{0 , 450 , 1277 , 4179 , 15974},</v>
      </c>
    </row>
    <row r="27" spans="2:45" x14ac:dyDescent="0.15">
      <c r="B27" s="10">
        <v>21</v>
      </c>
      <c r="C27" s="15">
        <f t="shared" si="1"/>
        <v>471</v>
      </c>
      <c r="D27" s="15">
        <f t="shared" si="2"/>
        <v>1987</v>
      </c>
      <c r="E27" s="15">
        <f t="shared" si="3"/>
        <v>6066</v>
      </c>
      <c r="F27" s="15">
        <f t="shared" si="4"/>
        <v>14667</v>
      </c>
      <c r="G27" s="16">
        <f t="shared" si="0"/>
        <v>23191</v>
      </c>
      <c r="N27" s="10">
        <v>21</v>
      </c>
      <c r="O27" s="15">
        <f t="shared" si="5"/>
        <v>610</v>
      </c>
      <c r="P27" s="15">
        <f t="shared" si="6"/>
        <v>621</v>
      </c>
      <c r="Q27" s="15">
        <f t="shared" si="7"/>
        <v>649</v>
      </c>
      <c r="R27" s="15">
        <f t="shared" si="8"/>
        <v>705</v>
      </c>
      <c r="S27" s="15">
        <f t="shared" si="9"/>
        <v>796</v>
      </c>
      <c r="AA27" s="10">
        <v>21</v>
      </c>
      <c r="AB27" s="15">
        <f t="shared" si="10"/>
        <v>463</v>
      </c>
      <c r="AC27" s="15">
        <f t="shared" si="11"/>
        <v>859</v>
      </c>
      <c r="AD27" s="15">
        <f t="shared" si="12"/>
        <v>1514</v>
      </c>
      <c r="AE27" s="15">
        <f t="shared" si="13"/>
        <v>2468</v>
      </c>
      <c r="AF27" s="16">
        <f t="shared" si="14"/>
        <v>5304</v>
      </c>
      <c r="AM27" s="10">
        <v>21</v>
      </c>
      <c r="AN27" s="10">
        <f t="shared" si="15"/>
        <v>463</v>
      </c>
      <c r="AO27" s="10">
        <f t="shared" si="16"/>
        <v>1322</v>
      </c>
      <c r="AP27" s="10">
        <f t="shared" si="17"/>
        <v>4350</v>
      </c>
      <c r="AQ27" s="10">
        <f t="shared" si="18"/>
        <v>16690</v>
      </c>
      <c r="AS27" s="10" t="str">
        <f t="shared" si="19"/>
        <v>{0 , 463 , 1322 , 4350 , 16690},</v>
      </c>
    </row>
    <row r="28" spans="2:45" x14ac:dyDescent="0.15">
      <c r="B28" s="10">
        <v>22</v>
      </c>
      <c r="C28" s="15">
        <f t="shared" si="1"/>
        <v>489</v>
      </c>
      <c r="D28" s="15">
        <f t="shared" si="2"/>
        <v>2077</v>
      </c>
      <c r="E28" s="15">
        <f t="shared" si="3"/>
        <v>6350</v>
      </c>
      <c r="F28" s="15">
        <f t="shared" si="4"/>
        <v>15361</v>
      </c>
      <c r="G28" s="16">
        <f t="shared" si="0"/>
        <v>24277</v>
      </c>
      <c r="N28" s="10">
        <v>22</v>
      </c>
      <c r="O28" s="15">
        <f t="shared" si="5"/>
        <v>639</v>
      </c>
      <c r="P28" s="15">
        <f t="shared" si="6"/>
        <v>650</v>
      </c>
      <c r="Q28" s="15">
        <f t="shared" si="7"/>
        <v>678</v>
      </c>
      <c r="R28" s="15">
        <f t="shared" si="8"/>
        <v>734</v>
      </c>
      <c r="S28" s="15">
        <f t="shared" si="9"/>
        <v>825</v>
      </c>
      <c r="AA28" s="10">
        <v>22</v>
      </c>
      <c r="AB28" s="15">
        <f t="shared" si="10"/>
        <v>476</v>
      </c>
      <c r="AC28" s="15">
        <f t="shared" si="11"/>
        <v>891</v>
      </c>
      <c r="AD28" s="15">
        <f t="shared" si="12"/>
        <v>1577</v>
      </c>
      <c r="AE28" s="15">
        <f t="shared" si="13"/>
        <v>2576</v>
      </c>
      <c r="AF28" s="16">
        <f t="shared" si="14"/>
        <v>5520</v>
      </c>
      <c r="AM28" s="10">
        <v>22</v>
      </c>
      <c r="AN28" s="10">
        <f t="shared" si="15"/>
        <v>476</v>
      </c>
      <c r="AO28" s="10">
        <f t="shared" si="16"/>
        <v>1367</v>
      </c>
      <c r="AP28" s="10">
        <f t="shared" si="17"/>
        <v>4521</v>
      </c>
      <c r="AQ28" s="10">
        <f t="shared" si="18"/>
        <v>17401</v>
      </c>
      <c r="AS28" s="10" t="str">
        <f t="shared" si="19"/>
        <v>{0 , 476 , 1367 , 4521 , 17401},</v>
      </c>
    </row>
    <row r="29" spans="2:45" x14ac:dyDescent="0.15">
      <c r="B29" s="10">
        <v>23</v>
      </c>
      <c r="C29" s="15">
        <f t="shared" si="1"/>
        <v>507</v>
      </c>
      <c r="D29" s="15">
        <f t="shared" si="2"/>
        <v>2166</v>
      </c>
      <c r="E29" s="15">
        <f t="shared" si="3"/>
        <v>6634</v>
      </c>
      <c r="F29" s="15">
        <f t="shared" si="4"/>
        <v>16055</v>
      </c>
      <c r="G29" s="16">
        <f t="shared" si="0"/>
        <v>25362</v>
      </c>
      <c r="N29" s="10">
        <v>23</v>
      </c>
      <c r="O29" s="15">
        <f t="shared" si="5"/>
        <v>668</v>
      </c>
      <c r="P29" s="15">
        <f t="shared" si="6"/>
        <v>679</v>
      </c>
      <c r="Q29" s="15">
        <f t="shared" si="7"/>
        <v>707</v>
      </c>
      <c r="R29" s="15">
        <f t="shared" si="8"/>
        <v>763</v>
      </c>
      <c r="S29" s="15">
        <f t="shared" si="9"/>
        <v>854</v>
      </c>
      <c r="AA29" s="10">
        <v>23</v>
      </c>
      <c r="AB29" s="15">
        <f t="shared" si="10"/>
        <v>489</v>
      </c>
      <c r="AC29" s="15">
        <f t="shared" si="11"/>
        <v>923</v>
      </c>
      <c r="AD29" s="15">
        <f t="shared" si="12"/>
        <v>1640</v>
      </c>
      <c r="AE29" s="15">
        <f t="shared" si="13"/>
        <v>2684</v>
      </c>
      <c r="AF29" s="16">
        <f t="shared" si="14"/>
        <v>5736</v>
      </c>
      <c r="AM29" s="10">
        <v>23</v>
      </c>
      <c r="AN29" s="10">
        <f t="shared" si="15"/>
        <v>489</v>
      </c>
      <c r="AO29" s="10">
        <f t="shared" si="16"/>
        <v>1412</v>
      </c>
      <c r="AP29" s="10">
        <f t="shared" si="17"/>
        <v>4692</v>
      </c>
      <c r="AQ29" s="10">
        <f t="shared" si="18"/>
        <v>18112</v>
      </c>
      <c r="AS29" s="10" t="str">
        <f t="shared" si="19"/>
        <v>{0 , 489 , 1412 , 4692 , 18112},</v>
      </c>
    </row>
    <row r="30" spans="2:45" x14ac:dyDescent="0.15">
      <c r="B30" s="10">
        <v>24</v>
      </c>
      <c r="C30" s="15">
        <f t="shared" si="1"/>
        <v>525</v>
      </c>
      <c r="D30" s="15">
        <f t="shared" si="2"/>
        <v>2256</v>
      </c>
      <c r="E30" s="15">
        <f t="shared" si="3"/>
        <v>6918</v>
      </c>
      <c r="F30" s="15">
        <f t="shared" si="4"/>
        <v>16749</v>
      </c>
      <c r="G30" s="16">
        <f t="shared" si="0"/>
        <v>26448</v>
      </c>
      <c r="N30" s="10">
        <v>24</v>
      </c>
      <c r="O30" s="15">
        <f t="shared" si="5"/>
        <v>697</v>
      </c>
      <c r="P30" s="15">
        <f t="shared" si="6"/>
        <v>708</v>
      </c>
      <c r="Q30" s="15">
        <f t="shared" si="7"/>
        <v>736</v>
      </c>
      <c r="R30" s="15">
        <f t="shared" si="8"/>
        <v>792</v>
      </c>
      <c r="S30" s="15">
        <f t="shared" si="9"/>
        <v>883</v>
      </c>
      <c r="AA30" s="10">
        <v>24</v>
      </c>
      <c r="AB30" s="15">
        <f t="shared" si="10"/>
        <v>502</v>
      </c>
      <c r="AC30" s="15">
        <f t="shared" si="11"/>
        <v>955</v>
      </c>
      <c r="AD30" s="15">
        <f t="shared" si="12"/>
        <v>1703</v>
      </c>
      <c r="AE30" s="15">
        <f t="shared" si="13"/>
        <v>2793</v>
      </c>
      <c r="AF30" s="16">
        <f t="shared" si="14"/>
        <v>5953</v>
      </c>
      <c r="AM30" s="10">
        <v>24</v>
      </c>
      <c r="AN30" s="10">
        <f t="shared" si="15"/>
        <v>502</v>
      </c>
      <c r="AO30" s="10">
        <f t="shared" si="16"/>
        <v>1457</v>
      </c>
      <c r="AP30" s="10">
        <f t="shared" si="17"/>
        <v>4863</v>
      </c>
      <c r="AQ30" s="10">
        <f t="shared" si="18"/>
        <v>18828</v>
      </c>
      <c r="AS30" s="10" t="str">
        <f t="shared" si="19"/>
        <v>{0 , 502 , 1457 , 4863 , 18828},</v>
      </c>
    </row>
    <row r="31" spans="2:45" x14ac:dyDescent="0.15">
      <c r="B31" s="13">
        <v>25</v>
      </c>
      <c r="C31" s="14">
        <f t="shared" si="1"/>
        <v>543</v>
      </c>
      <c r="D31" s="14">
        <f t="shared" si="2"/>
        <v>2346</v>
      </c>
      <c r="E31" s="14">
        <f t="shared" si="3"/>
        <v>7203</v>
      </c>
      <c r="F31" s="14">
        <f t="shared" si="4"/>
        <v>17442</v>
      </c>
      <c r="G31" s="14">
        <f t="shared" si="0"/>
        <v>27534</v>
      </c>
      <c r="N31" s="13">
        <v>25</v>
      </c>
      <c r="O31" s="14">
        <f t="shared" si="5"/>
        <v>726</v>
      </c>
      <c r="P31" s="14">
        <f t="shared" si="6"/>
        <v>737</v>
      </c>
      <c r="Q31" s="14">
        <f t="shared" si="7"/>
        <v>765</v>
      </c>
      <c r="R31" s="14">
        <f t="shared" si="8"/>
        <v>821</v>
      </c>
      <c r="S31" s="14">
        <f t="shared" si="9"/>
        <v>912</v>
      </c>
      <c r="AA31" s="13">
        <v>25</v>
      </c>
      <c r="AB31" s="14">
        <f t="shared" si="10"/>
        <v>515</v>
      </c>
      <c r="AC31" s="14">
        <f t="shared" si="11"/>
        <v>987</v>
      </c>
      <c r="AD31" s="14">
        <f t="shared" si="12"/>
        <v>1766</v>
      </c>
      <c r="AE31" s="14">
        <f t="shared" si="13"/>
        <v>2901</v>
      </c>
      <c r="AF31" s="14">
        <f t="shared" si="14"/>
        <v>6169</v>
      </c>
      <c r="AM31" s="13">
        <v>25</v>
      </c>
      <c r="AN31" s="13">
        <f t="shared" si="15"/>
        <v>515</v>
      </c>
      <c r="AO31" s="13">
        <f t="shared" si="16"/>
        <v>1502</v>
      </c>
      <c r="AP31" s="13">
        <f t="shared" si="17"/>
        <v>5034</v>
      </c>
      <c r="AQ31" s="13">
        <f t="shared" si="18"/>
        <v>19539</v>
      </c>
      <c r="AS31" s="10" t="str">
        <f t="shared" si="19"/>
        <v>{0 , 515 , 1502 , 5034 , 19539},</v>
      </c>
    </row>
    <row r="32" spans="2:45" x14ac:dyDescent="0.15">
      <c r="B32" s="10">
        <v>26</v>
      </c>
      <c r="C32" s="15">
        <f t="shared" si="1"/>
        <v>560</v>
      </c>
      <c r="D32" s="15">
        <f t="shared" si="2"/>
        <v>2436</v>
      </c>
      <c r="E32" s="15">
        <f t="shared" si="3"/>
        <v>7487</v>
      </c>
      <c r="F32" s="15">
        <f t="shared" si="4"/>
        <v>18136</v>
      </c>
      <c r="G32" s="16">
        <f t="shared" si="0"/>
        <v>28619</v>
      </c>
      <c r="N32" s="10">
        <v>26</v>
      </c>
      <c r="O32" s="15">
        <f t="shared" si="5"/>
        <v>755</v>
      </c>
      <c r="P32" s="15">
        <f t="shared" si="6"/>
        <v>766</v>
      </c>
      <c r="Q32" s="15">
        <f t="shared" si="7"/>
        <v>794</v>
      </c>
      <c r="R32" s="15">
        <f t="shared" si="8"/>
        <v>850</v>
      </c>
      <c r="S32" s="15">
        <f t="shared" si="9"/>
        <v>941</v>
      </c>
      <c r="AA32" s="10">
        <v>26</v>
      </c>
      <c r="AB32" s="15">
        <f t="shared" si="10"/>
        <v>528</v>
      </c>
      <c r="AC32" s="15">
        <f t="shared" si="11"/>
        <v>1018</v>
      </c>
      <c r="AD32" s="15">
        <f t="shared" si="12"/>
        <v>1829</v>
      </c>
      <c r="AE32" s="15">
        <f t="shared" si="13"/>
        <v>3010</v>
      </c>
      <c r="AF32" s="16">
        <f t="shared" si="14"/>
        <v>6385</v>
      </c>
      <c r="AM32" s="10">
        <v>26</v>
      </c>
      <c r="AN32" s="10">
        <f t="shared" si="15"/>
        <v>528</v>
      </c>
      <c r="AO32" s="10">
        <f t="shared" si="16"/>
        <v>1546</v>
      </c>
      <c r="AP32" s="10">
        <f t="shared" si="17"/>
        <v>5204</v>
      </c>
      <c r="AQ32" s="10">
        <f t="shared" si="18"/>
        <v>20254</v>
      </c>
      <c r="AS32" s="10" t="str">
        <f t="shared" si="19"/>
        <v>{0 , 528 , 1546 , 5204 , 20254},</v>
      </c>
    </row>
    <row r="33" spans="2:45" x14ac:dyDescent="0.15">
      <c r="B33" s="10">
        <v>27</v>
      </c>
      <c r="C33" s="15">
        <f t="shared" si="1"/>
        <v>578</v>
      </c>
      <c r="D33" s="15">
        <f t="shared" si="2"/>
        <v>2526</v>
      </c>
      <c r="E33" s="15">
        <f t="shared" si="3"/>
        <v>7771</v>
      </c>
      <c r="F33" s="15">
        <f t="shared" si="4"/>
        <v>18830</v>
      </c>
      <c r="G33" s="16">
        <f t="shared" si="0"/>
        <v>29705</v>
      </c>
      <c r="N33" s="10">
        <v>27</v>
      </c>
      <c r="O33" s="15">
        <f t="shared" si="5"/>
        <v>784</v>
      </c>
      <c r="P33" s="15">
        <f t="shared" si="6"/>
        <v>795</v>
      </c>
      <c r="Q33" s="15">
        <f t="shared" si="7"/>
        <v>823</v>
      </c>
      <c r="R33" s="15">
        <f t="shared" si="8"/>
        <v>879</v>
      </c>
      <c r="S33" s="15">
        <f t="shared" si="9"/>
        <v>970</v>
      </c>
      <c r="AA33" s="10">
        <v>27</v>
      </c>
      <c r="AB33" s="15">
        <f t="shared" si="10"/>
        <v>541</v>
      </c>
      <c r="AC33" s="15">
        <f t="shared" si="11"/>
        <v>1050</v>
      </c>
      <c r="AD33" s="15">
        <f t="shared" si="12"/>
        <v>1892</v>
      </c>
      <c r="AE33" s="15">
        <f t="shared" si="13"/>
        <v>3118</v>
      </c>
      <c r="AF33" s="16">
        <f t="shared" si="14"/>
        <v>6601</v>
      </c>
      <c r="AM33" s="10">
        <v>27</v>
      </c>
      <c r="AN33" s="10">
        <f t="shared" si="15"/>
        <v>541</v>
      </c>
      <c r="AO33" s="10">
        <f t="shared" si="16"/>
        <v>1591</v>
      </c>
      <c r="AP33" s="10">
        <f t="shared" si="17"/>
        <v>5375</v>
      </c>
      <c r="AQ33" s="10">
        <f t="shared" si="18"/>
        <v>20965</v>
      </c>
      <c r="AS33" s="10" t="str">
        <f t="shared" si="19"/>
        <v>{0 , 541 , 1591 , 5375 , 20965},</v>
      </c>
    </row>
    <row r="34" spans="2:45" x14ac:dyDescent="0.15">
      <c r="B34" s="10">
        <v>28</v>
      </c>
      <c r="C34" s="15">
        <f t="shared" si="1"/>
        <v>596</v>
      </c>
      <c r="D34" s="15">
        <f t="shared" si="2"/>
        <v>2616</v>
      </c>
      <c r="E34" s="15">
        <f t="shared" si="3"/>
        <v>8055</v>
      </c>
      <c r="F34" s="15">
        <f t="shared" si="4"/>
        <v>19524</v>
      </c>
      <c r="G34" s="16">
        <f t="shared" si="0"/>
        <v>30791</v>
      </c>
      <c r="N34" s="10">
        <v>28</v>
      </c>
      <c r="O34" s="15">
        <f t="shared" si="5"/>
        <v>813</v>
      </c>
      <c r="P34" s="15">
        <f t="shared" si="6"/>
        <v>824</v>
      </c>
      <c r="Q34" s="15">
        <f t="shared" si="7"/>
        <v>852</v>
      </c>
      <c r="R34" s="15">
        <f t="shared" si="8"/>
        <v>908</v>
      </c>
      <c r="S34" s="15">
        <f t="shared" si="9"/>
        <v>999</v>
      </c>
      <c r="AA34" s="10">
        <v>28</v>
      </c>
      <c r="AB34" s="15">
        <f t="shared" si="10"/>
        <v>554</v>
      </c>
      <c r="AC34" s="15">
        <f t="shared" si="11"/>
        <v>1082</v>
      </c>
      <c r="AD34" s="15">
        <f t="shared" si="12"/>
        <v>1955</v>
      </c>
      <c r="AE34" s="15">
        <f t="shared" si="13"/>
        <v>3227</v>
      </c>
      <c r="AF34" s="16">
        <f t="shared" si="14"/>
        <v>6818</v>
      </c>
      <c r="AM34" s="10">
        <v>28</v>
      </c>
      <c r="AN34" s="10">
        <f t="shared" si="15"/>
        <v>554</v>
      </c>
      <c r="AO34" s="10">
        <f t="shared" si="16"/>
        <v>1636</v>
      </c>
      <c r="AP34" s="10">
        <f t="shared" si="17"/>
        <v>5546</v>
      </c>
      <c r="AQ34" s="10">
        <f t="shared" si="18"/>
        <v>21681</v>
      </c>
      <c r="AS34" s="10" t="str">
        <f t="shared" si="19"/>
        <v>{0 , 554 , 1636 , 5546 , 21681},</v>
      </c>
    </row>
    <row r="35" spans="2:45" x14ac:dyDescent="0.15">
      <c r="B35" s="10">
        <v>29</v>
      </c>
      <c r="C35" s="15">
        <f t="shared" si="1"/>
        <v>614</v>
      </c>
      <c r="D35" s="15">
        <f t="shared" si="2"/>
        <v>2706</v>
      </c>
      <c r="E35" s="15">
        <f t="shared" si="3"/>
        <v>8339</v>
      </c>
      <c r="F35" s="15">
        <f t="shared" si="4"/>
        <v>20217</v>
      </c>
      <c r="G35" s="16">
        <f t="shared" si="0"/>
        <v>31876</v>
      </c>
      <c r="N35" s="10">
        <v>29</v>
      </c>
      <c r="O35" s="15">
        <f t="shared" si="5"/>
        <v>842</v>
      </c>
      <c r="P35" s="15">
        <f t="shared" si="6"/>
        <v>853</v>
      </c>
      <c r="Q35" s="15">
        <f t="shared" si="7"/>
        <v>881</v>
      </c>
      <c r="R35" s="15">
        <f t="shared" si="8"/>
        <v>937</v>
      </c>
      <c r="S35" s="15">
        <f t="shared" si="9"/>
        <v>1028</v>
      </c>
      <c r="AA35" s="10">
        <v>29</v>
      </c>
      <c r="AB35" s="15">
        <f t="shared" si="10"/>
        <v>567</v>
      </c>
      <c r="AC35" s="15">
        <f t="shared" si="11"/>
        <v>1114</v>
      </c>
      <c r="AD35" s="15">
        <f t="shared" si="12"/>
        <v>2019</v>
      </c>
      <c r="AE35" s="15">
        <f t="shared" si="13"/>
        <v>3336</v>
      </c>
      <c r="AF35" s="16">
        <f t="shared" si="14"/>
        <v>7036</v>
      </c>
      <c r="AM35" s="10">
        <v>29</v>
      </c>
      <c r="AN35" s="10">
        <f t="shared" si="15"/>
        <v>567</v>
      </c>
      <c r="AO35" s="10">
        <f t="shared" si="16"/>
        <v>1681</v>
      </c>
      <c r="AP35" s="10">
        <f t="shared" si="17"/>
        <v>5719</v>
      </c>
      <c r="AQ35" s="10">
        <f t="shared" si="18"/>
        <v>22399</v>
      </c>
      <c r="AS35" s="10" t="str">
        <f t="shared" si="19"/>
        <v>{0 , 567 , 1681 , 5719 , 22399},</v>
      </c>
    </row>
    <row r="36" spans="2:45" x14ac:dyDescent="0.15">
      <c r="B36" s="13">
        <v>30</v>
      </c>
      <c r="C36" s="14">
        <f t="shared" si="1"/>
        <v>631</v>
      </c>
      <c r="D36" s="14">
        <f t="shared" si="2"/>
        <v>2796</v>
      </c>
      <c r="E36" s="14">
        <f t="shared" si="3"/>
        <v>8623</v>
      </c>
      <c r="F36" s="14">
        <f t="shared" si="4"/>
        <v>20911</v>
      </c>
      <c r="G36" s="14">
        <f t="shared" si="0"/>
        <v>32961</v>
      </c>
      <c r="N36" s="13">
        <v>30</v>
      </c>
      <c r="O36" s="14">
        <f t="shared" si="5"/>
        <v>871</v>
      </c>
      <c r="P36" s="14">
        <f t="shared" si="6"/>
        <v>882</v>
      </c>
      <c r="Q36" s="14">
        <f t="shared" si="7"/>
        <v>910</v>
      </c>
      <c r="R36" s="14">
        <f t="shared" si="8"/>
        <v>966</v>
      </c>
      <c r="S36" s="14">
        <f t="shared" si="9"/>
        <v>1057</v>
      </c>
      <c r="AA36" s="13">
        <v>30</v>
      </c>
      <c r="AB36" s="14">
        <f t="shared" si="10"/>
        <v>580</v>
      </c>
      <c r="AC36" s="14">
        <f t="shared" si="11"/>
        <v>1146</v>
      </c>
      <c r="AD36" s="14">
        <f t="shared" si="12"/>
        <v>2082</v>
      </c>
      <c r="AE36" s="14">
        <f t="shared" si="13"/>
        <v>3444</v>
      </c>
      <c r="AF36" s="14">
        <f t="shared" si="14"/>
        <v>7252</v>
      </c>
      <c r="AM36" s="13">
        <v>30</v>
      </c>
      <c r="AN36" s="13">
        <f t="shared" si="15"/>
        <v>580</v>
      </c>
      <c r="AO36" s="13">
        <f t="shared" si="16"/>
        <v>1726</v>
      </c>
      <c r="AP36" s="13">
        <f t="shared" si="17"/>
        <v>5890</v>
      </c>
      <c r="AQ36" s="13">
        <f t="shared" si="18"/>
        <v>23110</v>
      </c>
      <c r="AS36" s="10" t="str">
        <f t="shared" si="19"/>
        <v>{0 , 580 , 1726 , 5890 , 23110},</v>
      </c>
    </row>
    <row r="37" spans="2:45" x14ac:dyDescent="0.15">
      <c r="B37" s="10">
        <v>31</v>
      </c>
      <c r="C37" s="15">
        <f t="shared" si="1"/>
        <v>649</v>
      </c>
      <c r="D37" s="15">
        <f t="shared" si="2"/>
        <v>2886</v>
      </c>
      <c r="E37" s="15">
        <f t="shared" si="3"/>
        <v>8907</v>
      </c>
      <c r="F37" s="15">
        <f t="shared" si="4"/>
        <v>21605</v>
      </c>
      <c r="G37" s="16">
        <f t="shared" si="0"/>
        <v>34047</v>
      </c>
      <c r="N37" s="10">
        <v>31</v>
      </c>
      <c r="O37" s="15">
        <f t="shared" si="5"/>
        <v>900</v>
      </c>
      <c r="P37" s="15">
        <f t="shared" si="6"/>
        <v>911</v>
      </c>
      <c r="Q37" s="15">
        <f t="shared" si="7"/>
        <v>939</v>
      </c>
      <c r="R37" s="15">
        <f t="shared" si="8"/>
        <v>995</v>
      </c>
      <c r="S37" s="15">
        <f t="shared" si="9"/>
        <v>1086</v>
      </c>
      <c r="AA37" s="10">
        <v>31</v>
      </c>
      <c r="AB37" s="15">
        <f t="shared" si="10"/>
        <v>593</v>
      </c>
      <c r="AC37" s="15">
        <f t="shared" si="11"/>
        <v>1178</v>
      </c>
      <c r="AD37" s="15">
        <f t="shared" si="12"/>
        <v>2145</v>
      </c>
      <c r="AE37" s="15">
        <f t="shared" si="13"/>
        <v>3553</v>
      </c>
      <c r="AF37" s="16">
        <f t="shared" si="14"/>
        <v>7469</v>
      </c>
      <c r="AM37" s="10">
        <v>31</v>
      </c>
      <c r="AN37" s="10">
        <f t="shared" si="15"/>
        <v>593</v>
      </c>
      <c r="AO37" s="10">
        <f t="shared" si="16"/>
        <v>1771</v>
      </c>
      <c r="AP37" s="10">
        <f t="shared" si="17"/>
        <v>6061</v>
      </c>
      <c r="AQ37" s="10">
        <f t="shared" si="18"/>
        <v>23826</v>
      </c>
      <c r="AS37" s="10" t="str">
        <f t="shared" si="19"/>
        <v>{0 , 593 , 1771 , 6061 , 23826},</v>
      </c>
    </row>
    <row r="38" spans="2:45" x14ac:dyDescent="0.15">
      <c r="B38" s="10">
        <v>32</v>
      </c>
      <c r="C38" s="15">
        <f t="shared" si="1"/>
        <v>667</v>
      </c>
      <c r="D38" s="15">
        <f t="shared" si="2"/>
        <v>2976</v>
      </c>
      <c r="E38" s="15">
        <f t="shared" si="3"/>
        <v>9192</v>
      </c>
      <c r="F38" s="15">
        <f t="shared" si="4"/>
        <v>22299</v>
      </c>
      <c r="G38" s="16">
        <f t="shared" si="0"/>
        <v>35134</v>
      </c>
      <c r="N38" s="10">
        <v>32</v>
      </c>
      <c r="O38" s="15">
        <f t="shared" si="5"/>
        <v>929</v>
      </c>
      <c r="P38" s="15">
        <f t="shared" si="6"/>
        <v>940</v>
      </c>
      <c r="Q38" s="15">
        <f t="shared" si="7"/>
        <v>968</v>
      </c>
      <c r="R38" s="15">
        <f t="shared" si="8"/>
        <v>1024</v>
      </c>
      <c r="S38" s="15">
        <f t="shared" si="9"/>
        <v>1115</v>
      </c>
      <c r="AA38" s="10">
        <v>32</v>
      </c>
      <c r="AB38" s="15">
        <f t="shared" si="10"/>
        <v>606</v>
      </c>
      <c r="AC38" s="15">
        <f t="shared" si="11"/>
        <v>1210</v>
      </c>
      <c r="AD38" s="15">
        <f t="shared" si="12"/>
        <v>2208</v>
      </c>
      <c r="AE38" s="15">
        <f t="shared" si="13"/>
        <v>3661</v>
      </c>
      <c r="AF38" s="16">
        <f t="shared" si="14"/>
        <v>7685</v>
      </c>
      <c r="AM38" s="10">
        <v>32</v>
      </c>
      <c r="AN38" s="10">
        <f t="shared" si="15"/>
        <v>606</v>
      </c>
      <c r="AO38" s="10">
        <f t="shared" si="16"/>
        <v>1816</v>
      </c>
      <c r="AP38" s="10">
        <f t="shared" si="17"/>
        <v>6232</v>
      </c>
      <c r="AQ38" s="10">
        <f t="shared" si="18"/>
        <v>24537</v>
      </c>
      <c r="AS38" s="10" t="str">
        <f t="shared" si="19"/>
        <v>{0 , 606 , 1816 , 6232 , 24537},</v>
      </c>
    </row>
    <row r="39" spans="2:45" x14ac:dyDescent="0.15">
      <c r="B39" s="10">
        <v>33</v>
      </c>
      <c r="C39" s="15">
        <f t="shared" si="1"/>
        <v>685</v>
      </c>
      <c r="D39" s="15">
        <f t="shared" si="2"/>
        <v>3066</v>
      </c>
      <c r="E39" s="15">
        <f t="shared" si="3"/>
        <v>9476</v>
      </c>
      <c r="F39" s="15">
        <f t="shared" si="4"/>
        <v>22992</v>
      </c>
      <c r="G39" s="16">
        <f t="shared" ref="G39:G56" si="20">SUM(C39:F39)</f>
        <v>36219</v>
      </c>
      <c r="N39" s="10">
        <v>33</v>
      </c>
      <c r="O39" s="15">
        <f t="shared" si="5"/>
        <v>958</v>
      </c>
      <c r="P39" s="15">
        <f t="shared" si="6"/>
        <v>969</v>
      </c>
      <c r="Q39" s="15">
        <f t="shared" si="7"/>
        <v>997</v>
      </c>
      <c r="R39" s="15">
        <f t="shared" si="8"/>
        <v>1053</v>
      </c>
      <c r="S39" s="15">
        <f t="shared" si="9"/>
        <v>1144</v>
      </c>
      <c r="AA39" s="10">
        <v>33</v>
      </c>
      <c r="AB39" s="15">
        <f t="shared" si="10"/>
        <v>620</v>
      </c>
      <c r="AC39" s="15">
        <f t="shared" si="11"/>
        <v>1242</v>
      </c>
      <c r="AD39" s="15">
        <f t="shared" si="12"/>
        <v>2271</v>
      </c>
      <c r="AE39" s="15">
        <f t="shared" si="13"/>
        <v>3770</v>
      </c>
      <c r="AF39" s="16">
        <f t="shared" si="14"/>
        <v>7903</v>
      </c>
      <c r="AM39" s="10">
        <v>33</v>
      </c>
      <c r="AN39" s="10">
        <f t="shared" si="15"/>
        <v>620</v>
      </c>
      <c r="AO39" s="10">
        <f t="shared" si="16"/>
        <v>1862</v>
      </c>
      <c r="AP39" s="10">
        <f t="shared" si="17"/>
        <v>6404</v>
      </c>
      <c r="AQ39" s="10">
        <f t="shared" si="18"/>
        <v>25254</v>
      </c>
      <c r="AS39" s="10" t="str">
        <f t="shared" si="19"/>
        <v>{0 , 620 , 1862 , 6404 , 25254},</v>
      </c>
    </row>
    <row r="40" spans="2:45" x14ac:dyDescent="0.15">
      <c r="B40" s="10">
        <v>34</v>
      </c>
      <c r="C40" s="15">
        <f t="shared" si="1"/>
        <v>702</v>
      </c>
      <c r="D40" s="15">
        <f t="shared" si="2"/>
        <v>3155</v>
      </c>
      <c r="E40" s="15">
        <f t="shared" si="3"/>
        <v>9760</v>
      </c>
      <c r="F40" s="15">
        <f t="shared" si="4"/>
        <v>23686</v>
      </c>
      <c r="G40" s="16">
        <f t="shared" si="20"/>
        <v>37303</v>
      </c>
      <c r="N40" s="10">
        <v>34</v>
      </c>
      <c r="O40" s="15">
        <f t="shared" si="5"/>
        <v>987</v>
      </c>
      <c r="P40" s="15">
        <f t="shared" si="6"/>
        <v>998</v>
      </c>
      <c r="Q40" s="15">
        <f t="shared" si="7"/>
        <v>1026</v>
      </c>
      <c r="R40" s="15">
        <f t="shared" si="8"/>
        <v>1082</v>
      </c>
      <c r="S40" s="15">
        <f t="shared" si="9"/>
        <v>1173</v>
      </c>
      <c r="AA40" s="10">
        <v>34</v>
      </c>
      <c r="AB40" s="15">
        <f t="shared" si="10"/>
        <v>633</v>
      </c>
      <c r="AC40" s="15">
        <f t="shared" si="11"/>
        <v>1274</v>
      </c>
      <c r="AD40" s="15">
        <f t="shared" si="12"/>
        <v>2335</v>
      </c>
      <c r="AE40" s="15">
        <f t="shared" si="13"/>
        <v>3879</v>
      </c>
      <c r="AF40" s="16">
        <f t="shared" si="14"/>
        <v>8121</v>
      </c>
      <c r="AM40" s="10">
        <v>34</v>
      </c>
      <c r="AN40" s="10">
        <f t="shared" si="15"/>
        <v>633</v>
      </c>
      <c r="AO40" s="10">
        <f t="shared" si="16"/>
        <v>1907</v>
      </c>
      <c r="AP40" s="10">
        <f t="shared" si="17"/>
        <v>6577</v>
      </c>
      <c r="AQ40" s="10">
        <f t="shared" si="18"/>
        <v>25972</v>
      </c>
      <c r="AS40" s="10" t="str">
        <f t="shared" si="19"/>
        <v>{0 , 633 , 1907 , 6577 , 25972},</v>
      </c>
    </row>
    <row r="41" spans="2:45" x14ac:dyDescent="0.15">
      <c r="B41" s="13">
        <v>35</v>
      </c>
      <c r="C41" s="14">
        <f t="shared" si="1"/>
        <v>720</v>
      </c>
      <c r="D41" s="14">
        <f t="shared" si="2"/>
        <v>3245</v>
      </c>
      <c r="E41" s="14">
        <f t="shared" si="3"/>
        <v>10044</v>
      </c>
      <c r="F41" s="14">
        <f t="shared" si="4"/>
        <v>24380</v>
      </c>
      <c r="G41" s="14">
        <f t="shared" si="20"/>
        <v>38389</v>
      </c>
      <c r="N41" s="13">
        <v>35</v>
      </c>
      <c r="O41" s="14">
        <f t="shared" si="5"/>
        <v>1016</v>
      </c>
      <c r="P41" s="14">
        <f t="shared" si="6"/>
        <v>1027</v>
      </c>
      <c r="Q41" s="14">
        <f t="shared" si="7"/>
        <v>1055</v>
      </c>
      <c r="R41" s="14">
        <f t="shared" si="8"/>
        <v>1111</v>
      </c>
      <c r="S41" s="14">
        <f t="shared" si="9"/>
        <v>1202</v>
      </c>
      <c r="AA41" s="13">
        <v>35</v>
      </c>
      <c r="AB41" s="14">
        <f t="shared" si="10"/>
        <v>646</v>
      </c>
      <c r="AC41" s="14">
        <f t="shared" si="11"/>
        <v>1306</v>
      </c>
      <c r="AD41" s="14">
        <f t="shared" si="12"/>
        <v>2398</v>
      </c>
      <c r="AE41" s="14">
        <f t="shared" si="13"/>
        <v>3987</v>
      </c>
      <c r="AF41" s="14">
        <f t="shared" si="14"/>
        <v>8337</v>
      </c>
      <c r="AM41" s="13">
        <v>35</v>
      </c>
      <c r="AN41" s="13">
        <f t="shared" si="15"/>
        <v>646</v>
      </c>
      <c r="AO41" s="13">
        <f t="shared" si="16"/>
        <v>1952</v>
      </c>
      <c r="AP41" s="13">
        <f t="shared" si="17"/>
        <v>6748</v>
      </c>
      <c r="AQ41" s="13">
        <f t="shared" si="18"/>
        <v>26683</v>
      </c>
      <c r="AS41" s="10" t="str">
        <f t="shared" si="19"/>
        <v>{0 , 646 , 1952 , 6748 , 26683},</v>
      </c>
    </row>
    <row r="42" spans="2:45" x14ac:dyDescent="0.15">
      <c r="B42" s="10">
        <v>36</v>
      </c>
      <c r="C42" s="15">
        <f t="shared" si="1"/>
        <v>738</v>
      </c>
      <c r="D42" s="15">
        <f t="shared" si="2"/>
        <v>3335</v>
      </c>
      <c r="E42" s="15">
        <f t="shared" si="3"/>
        <v>10328</v>
      </c>
      <c r="F42" s="15">
        <f t="shared" si="4"/>
        <v>25074</v>
      </c>
      <c r="G42" s="16">
        <f t="shared" si="20"/>
        <v>39475</v>
      </c>
      <c r="N42" s="10">
        <v>36</v>
      </c>
      <c r="O42" s="15">
        <f t="shared" si="5"/>
        <v>1045</v>
      </c>
      <c r="P42" s="15">
        <f t="shared" si="6"/>
        <v>1056</v>
      </c>
      <c r="Q42" s="15">
        <f t="shared" si="7"/>
        <v>1084</v>
      </c>
      <c r="R42" s="15">
        <f t="shared" si="8"/>
        <v>1140</v>
      </c>
      <c r="S42" s="15">
        <f t="shared" si="9"/>
        <v>1231</v>
      </c>
      <c r="AA42" s="10">
        <v>36</v>
      </c>
      <c r="AB42" s="15">
        <f t="shared" si="10"/>
        <v>659</v>
      </c>
      <c r="AC42" s="15">
        <f t="shared" si="11"/>
        <v>1338</v>
      </c>
      <c r="AD42" s="15">
        <f t="shared" si="12"/>
        <v>2461</v>
      </c>
      <c r="AE42" s="15">
        <f t="shared" si="13"/>
        <v>4096</v>
      </c>
      <c r="AF42" s="16">
        <f t="shared" si="14"/>
        <v>8554</v>
      </c>
      <c r="AM42" s="10">
        <v>36</v>
      </c>
      <c r="AN42" s="10">
        <f t="shared" si="15"/>
        <v>659</v>
      </c>
      <c r="AO42" s="10">
        <f t="shared" si="16"/>
        <v>1997</v>
      </c>
      <c r="AP42" s="10">
        <f t="shared" si="17"/>
        <v>6919</v>
      </c>
      <c r="AQ42" s="10">
        <f t="shared" si="18"/>
        <v>27399</v>
      </c>
      <c r="AS42" s="10" t="str">
        <f t="shared" si="19"/>
        <v>{0 , 659 , 1997 , 6919 , 27399},</v>
      </c>
    </row>
    <row r="43" spans="2:45" x14ac:dyDescent="0.15">
      <c r="B43" s="10">
        <v>37</v>
      </c>
      <c r="C43" s="15">
        <f t="shared" si="1"/>
        <v>756</v>
      </c>
      <c r="D43" s="15">
        <f t="shared" si="2"/>
        <v>3425</v>
      </c>
      <c r="E43" s="15">
        <f t="shared" si="3"/>
        <v>10612</v>
      </c>
      <c r="F43" s="15">
        <f t="shared" si="4"/>
        <v>25767</v>
      </c>
      <c r="G43" s="16">
        <f t="shared" si="20"/>
        <v>40560</v>
      </c>
      <c r="N43" s="10">
        <v>37</v>
      </c>
      <c r="O43" s="15">
        <f t="shared" si="5"/>
        <v>1074</v>
      </c>
      <c r="P43" s="15">
        <f t="shared" si="6"/>
        <v>1085</v>
      </c>
      <c r="Q43" s="15">
        <f t="shared" si="7"/>
        <v>1113</v>
      </c>
      <c r="R43" s="15">
        <f t="shared" si="8"/>
        <v>1169</v>
      </c>
      <c r="S43" s="15">
        <f t="shared" si="9"/>
        <v>1260</v>
      </c>
      <c r="AA43" s="10">
        <v>37</v>
      </c>
      <c r="AB43" s="15">
        <f t="shared" si="10"/>
        <v>672</v>
      </c>
      <c r="AC43" s="15">
        <f t="shared" si="11"/>
        <v>1371</v>
      </c>
      <c r="AD43" s="15">
        <f t="shared" si="12"/>
        <v>2524</v>
      </c>
      <c r="AE43" s="15">
        <f t="shared" si="13"/>
        <v>4205</v>
      </c>
      <c r="AF43" s="16">
        <f t="shared" si="14"/>
        <v>8772</v>
      </c>
      <c r="AM43" s="10">
        <v>37</v>
      </c>
      <c r="AN43" s="10">
        <f t="shared" si="15"/>
        <v>672</v>
      </c>
      <c r="AO43" s="10">
        <f t="shared" si="16"/>
        <v>2043</v>
      </c>
      <c r="AP43" s="10">
        <f t="shared" si="17"/>
        <v>7091</v>
      </c>
      <c r="AQ43" s="10">
        <f t="shared" si="18"/>
        <v>28116</v>
      </c>
      <c r="AS43" s="10" t="str">
        <f t="shared" si="19"/>
        <v>{0 , 672 , 2043 , 7091 , 28116},</v>
      </c>
    </row>
    <row r="44" spans="2:45" x14ac:dyDescent="0.15">
      <c r="B44" s="10">
        <v>38</v>
      </c>
      <c r="C44" s="15">
        <f t="shared" si="1"/>
        <v>773</v>
      </c>
      <c r="D44" s="15">
        <f t="shared" si="2"/>
        <v>3515</v>
      </c>
      <c r="E44" s="15">
        <f t="shared" si="3"/>
        <v>10897</v>
      </c>
      <c r="F44" s="15">
        <f t="shared" si="4"/>
        <v>26461</v>
      </c>
      <c r="G44" s="16">
        <f t="shared" si="20"/>
        <v>41646</v>
      </c>
      <c r="N44" s="10">
        <v>38</v>
      </c>
      <c r="O44" s="15">
        <f t="shared" si="5"/>
        <v>1103</v>
      </c>
      <c r="P44" s="15">
        <f t="shared" si="6"/>
        <v>1114</v>
      </c>
      <c r="Q44" s="15">
        <f t="shared" si="7"/>
        <v>1142</v>
      </c>
      <c r="R44" s="15">
        <f t="shared" si="8"/>
        <v>1198</v>
      </c>
      <c r="S44" s="15">
        <f t="shared" si="9"/>
        <v>1289</v>
      </c>
      <c r="AA44" s="10">
        <v>38</v>
      </c>
      <c r="AB44" s="15">
        <f t="shared" si="10"/>
        <v>686</v>
      </c>
      <c r="AC44" s="15">
        <f t="shared" si="11"/>
        <v>1403</v>
      </c>
      <c r="AD44" s="15">
        <f t="shared" si="12"/>
        <v>2588</v>
      </c>
      <c r="AE44" s="15">
        <f t="shared" si="13"/>
        <v>4313</v>
      </c>
      <c r="AF44" s="16">
        <f t="shared" si="14"/>
        <v>8990</v>
      </c>
      <c r="AM44" s="10">
        <v>38</v>
      </c>
      <c r="AN44" s="10">
        <f t="shared" si="15"/>
        <v>686</v>
      </c>
      <c r="AO44" s="10">
        <f t="shared" si="16"/>
        <v>2089</v>
      </c>
      <c r="AP44" s="10">
        <f t="shared" si="17"/>
        <v>7265</v>
      </c>
      <c r="AQ44" s="10">
        <f t="shared" si="18"/>
        <v>28830</v>
      </c>
      <c r="AS44" s="10" t="str">
        <f t="shared" si="19"/>
        <v>{0 , 686 , 2089 , 7265 , 28830},</v>
      </c>
    </row>
    <row r="45" spans="2:45" x14ac:dyDescent="0.15">
      <c r="B45" s="10">
        <v>39</v>
      </c>
      <c r="C45" s="15">
        <f t="shared" si="1"/>
        <v>791</v>
      </c>
      <c r="D45" s="15">
        <f t="shared" si="2"/>
        <v>3605</v>
      </c>
      <c r="E45" s="15">
        <f t="shared" si="3"/>
        <v>11181</v>
      </c>
      <c r="F45" s="15">
        <f t="shared" si="4"/>
        <v>27155</v>
      </c>
      <c r="G45" s="16">
        <f t="shared" si="20"/>
        <v>42732</v>
      </c>
      <c r="N45" s="10">
        <v>39</v>
      </c>
      <c r="O45" s="15">
        <f t="shared" si="5"/>
        <v>1132</v>
      </c>
      <c r="P45" s="15">
        <f t="shared" si="6"/>
        <v>1143</v>
      </c>
      <c r="Q45" s="15">
        <f t="shared" si="7"/>
        <v>1171</v>
      </c>
      <c r="R45" s="15">
        <f t="shared" si="8"/>
        <v>1227</v>
      </c>
      <c r="S45" s="15">
        <f t="shared" si="9"/>
        <v>1318</v>
      </c>
      <c r="AA45" s="10">
        <v>39</v>
      </c>
      <c r="AB45" s="15">
        <f t="shared" si="10"/>
        <v>699</v>
      </c>
      <c r="AC45" s="15">
        <f t="shared" si="11"/>
        <v>1435</v>
      </c>
      <c r="AD45" s="15">
        <f t="shared" si="12"/>
        <v>2651</v>
      </c>
      <c r="AE45" s="15">
        <f t="shared" si="13"/>
        <v>4422</v>
      </c>
      <c r="AF45" s="16">
        <f t="shared" si="14"/>
        <v>9207</v>
      </c>
      <c r="AM45" s="10">
        <v>39</v>
      </c>
      <c r="AN45" s="10">
        <f t="shared" si="15"/>
        <v>699</v>
      </c>
      <c r="AO45" s="10">
        <f t="shared" si="16"/>
        <v>2134</v>
      </c>
      <c r="AP45" s="10">
        <f t="shared" si="17"/>
        <v>7436</v>
      </c>
      <c r="AQ45" s="10">
        <f t="shared" si="18"/>
        <v>29546</v>
      </c>
      <c r="AS45" s="10" t="str">
        <f t="shared" si="19"/>
        <v>{0 , 699 , 2134 , 7436 , 29546},</v>
      </c>
    </row>
    <row r="46" spans="2:45" x14ac:dyDescent="0.15">
      <c r="B46" s="13">
        <v>40</v>
      </c>
      <c r="C46" s="14">
        <f t="shared" si="1"/>
        <v>809</v>
      </c>
      <c r="D46" s="14">
        <f t="shared" si="2"/>
        <v>3695</v>
      </c>
      <c r="E46" s="14">
        <f t="shared" si="3"/>
        <v>11465</v>
      </c>
      <c r="F46" s="14">
        <f t="shared" si="4"/>
        <v>27849</v>
      </c>
      <c r="G46" s="14">
        <f t="shared" si="20"/>
        <v>43818</v>
      </c>
      <c r="N46" s="13">
        <v>40</v>
      </c>
      <c r="O46" s="14">
        <f t="shared" si="5"/>
        <v>1161</v>
      </c>
      <c r="P46" s="14">
        <f t="shared" si="6"/>
        <v>1172</v>
      </c>
      <c r="Q46" s="14">
        <f t="shared" si="7"/>
        <v>1200</v>
      </c>
      <c r="R46" s="14">
        <f t="shared" si="8"/>
        <v>1256</v>
      </c>
      <c r="S46" s="14">
        <f t="shared" si="9"/>
        <v>1347</v>
      </c>
      <c r="AA46" s="13">
        <v>40</v>
      </c>
      <c r="AB46" s="14">
        <f t="shared" si="10"/>
        <v>712</v>
      </c>
      <c r="AC46" s="14">
        <f t="shared" si="11"/>
        <v>1467</v>
      </c>
      <c r="AD46" s="14">
        <f t="shared" si="12"/>
        <v>2714</v>
      </c>
      <c r="AE46" s="14">
        <f t="shared" si="13"/>
        <v>4531</v>
      </c>
      <c r="AF46" s="14">
        <f t="shared" si="14"/>
        <v>9424</v>
      </c>
      <c r="AM46" s="13">
        <v>40</v>
      </c>
      <c r="AN46" s="13">
        <f t="shared" si="15"/>
        <v>712</v>
      </c>
      <c r="AO46" s="13">
        <f t="shared" si="16"/>
        <v>2179</v>
      </c>
      <c r="AP46" s="13">
        <f t="shared" si="17"/>
        <v>7607</v>
      </c>
      <c r="AQ46" s="13">
        <f t="shared" si="18"/>
        <v>30262</v>
      </c>
      <c r="AS46" s="10" t="str">
        <f t="shared" si="19"/>
        <v>{0 , 712 , 2179 , 7607 , 30262},</v>
      </c>
    </row>
    <row r="47" spans="2:45" x14ac:dyDescent="0.15">
      <c r="B47" s="10">
        <v>41</v>
      </c>
      <c r="C47" s="15">
        <f t="shared" si="1"/>
        <v>827</v>
      </c>
      <c r="D47" s="15">
        <f t="shared" si="2"/>
        <v>3785</v>
      </c>
      <c r="E47" s="15">
        <f t="shared" si="3"/>
        <v>11749</v>
      </c>
      <c r="F47" s="15">
        <f t="shared" si="4"/>
        <v>28542</v>
      </c>
      <c r="G47" s="16">
        <f t="shared" si="20"/>
        <v>44903</v>
      </c>
      <c r="N47" s="10">
        <v>41</v>
      </c>
      <c r="O47" s="15">
        <f t="shared" si="5"/>
        <v>1190</v>
      </c>
      <c r="P47" s="15">
        <f t="shared" si="6"/>
        <v>1201</v>
      </c>
      <c r="Q47" s="15">
        <f t="shared" si="7"/>
        <v>1229</v>
      </c>
      <c r="R47" s="15">
        <f t="shared" si="8"/>
        <v>1285</v>
      </c>
      <c r="S47" s="15">
        <f t="shared" si="9"/>
        <v>1376</v>
      </c>
      <c r="AA47" s="10">
        <v>41</v>
      </c>
      <c r="AB47" s="15">
        <f t="shared" si="10"/>
        <v>725</v>
      </c>
      <c r="AC47" s="15">
        <f t="shared" si="11"/>
        <v>1499</v>
      </c>
      <c r="AD47" s="15">
        <f t="shared" si="12"/>
        <v>2777</v>
      </c>
      <c r="AE47" s="15">
        <f t="shared" si="13"/>
        <v>4639</v>
      </c>
      <c r="AF47" s="16">
        <f t="shared" si="14"/>
        <v>9640</v>
      </c>
      <c r="AM47" s="10">
        <v>41</v>
      </c>
      <c r="AN47" s="10">
        <f t="shared" si="15"/>
        <v>725</v>
      </c>
      <c r="AO47" s="10">
        <f t="shared" si="16"/>
        <v>2224</v>
      </c>
      <c r="AP47" s="10">
        <f t="shared" si="17"/>
        <v>7778</v>
      </c>
      <c r="AQ47" s="10">
        <f t="shared" si="18"/>
        <v>30973</v>
      </c>
      <c r="AS47" s="10" t="str">
        <f t="shared" si="19"/>
        <v>{0 , 725 , 2224 , 7778 , 30973},</v>
      </c>
    </row>
    <row r="48" spans="2:45" x14ac:dyDescent="0.15">
      <c r="B48" s="10">
        <v>42</v>
      </c>
      <c r="C48" s="15">
        <f t="shared" si="1"/>
        <v>844</v>
      </c>
      <c r="D48" s="15">
        <f t="shared" si="2"/>
        <v>3875</v>
      </c>
      <c r="E48" s="15">
        <f t="shared" si="3"/>
        <v>12033</v>
      </c>
      <c r="F48" s="15">
        <f t="shared" si="4"/>
        <v>29236</v>
      </c>
      <c r="G48" s="16">
        <f t="shared" si="20"/>
        <v>45988</v>
      </c>
      <c r="N48" s="10">
        <v>42</v>
      </c>
      <c r="O48" s="15">
        <f t="shared" si="5"/>
        <v>1219</v>
      </c>
      <c r="P48" s="15">
        <f t="shared" si="6"/>
        <v>1230</v>
      </c>
      <c r="Q48" s="15">
        <f t="shared" si="7"/>
        <v>1258</v>
      </c>
      <c r="R48" s="15">
        <f t="shared" si="8"/>
        <v>1314</v>
      </c>
      <c r="S48" s="15">
        <f t="shared" si="9"/>
        <v>1405</v>
      </c>
      <c r="AA48" s="10">
        <v>42</v>
      </c>
      <c r="AB48" s="15">
        <f t="shared" si="10"/>
        <v>739</v>
      </c>
      <c r="AC48" s="15">
        <f t="shared" si="11"/>
        <v>1531</v>
      </c>
      <c r="AD48" s="15">
        <f t="shared" si="12"/>
        <v>2841</v>
      </c>
      <c r="AE48" s="15">
        <f t="shared" si="13"/>
        <v>4748</v>
      </c>
      <c r="AF48" s="16">
        <f t="shared" si="14"/>
        <v>9859</v>
      </c>
      <c r="AM48" s="10">
        <v>42</v>
      </c>
      <c r="AN48" s="10">
        <f t="shared" si="15"/>
        <v>739</v>
      </c>
      <c r="AO48" s="10">
        <f t="shared" si="16"/>
        <v>2270</v>
      </c>
      <c r="AP48" s="10">
        <f t="shared" si="17"/>
        <v>7952</v>
      </c>
      <c r="AQ48" s="10">
        <f t="shared" si="18"/>
        <v>31692</v>
      </c>
      <c r="AS48" s="10" t="str">
        <f t="shared" si="19"/>
        <v>{0 , 739 , 2270 , 7952 , 31692},</v>
      </c>
    </row>
    <row r="49" spans="2:45" x14ac:dyDescent="0.15">
      <c r="B49" s="10">
        <v>43</v>
      </c>
      <c r="C49" s="15">
        <f t="shared" si="1"/>
        <v>862</v>
      </c>
      <c r="D49" s="15">
        <f t="shared" si="2"/>
        <v>3965</v>
      </c>
      <c r="E49" s="15">
        <f t="shared" si="3"/>
        <v>12317</v>
      </c>
      <c r="F49" s="15">
        <f t="shared" si="4"/>
        <v>29930</v>
      </c>
      <c r="G49" s="16">
        <f t="shared" si="20"/>
        <v>47074</v>
      </c>
      <c r="N49" s="10">
        <v>43</v>
      </c>
      <c r="O49" s="15">
        <f t="shared" si="5"/>
        <v>1248</v>
      </c>
      <c r="P49" s="15">
        <f t="shared" si="6"/>
        <v>1259</v>
      </c>
      <c r="Q49" s="15">
        <f t="shared" si="7"/>
        <v>1287</v>
      </c>
      <c r="R49" s="15">
        <f t="shared" si="8"/>
        <v>1343</v>
      </c>
      <c r="S49" s="15">
        <f t="shared" si="9"/>
        <v>1434</v>
      </c>
      <c r="AA49" s="10">
        <v>43</v>
      </c>
      <c r="AB49" s="15">
        <f t="shared" si="10"/>
        <v>752</v>
      </c>
      <c r="AC49" s="15">
        <f t="shared" si="11"/>
        <v>1563</v>
      </c>
      <c r="AD49" s="15">
        <f t="shared" si="12"/>
        <v>2904</v>
      </c>
      <c r="AE49" s="15">
        <f t="shared" si="13"/>
        <v>4857</v>
      </c>
      <c r="AF49" s="16">
        <f t="shared" si="14"/>
        <v>10076</v>
      </c>
      <c r="AM49" s="10">
        <v>43</v>
      </c>
      <c r="AN49" s="10">
        <f t="shared" si="15"/>
        <v>752</v>
      </c>
      <c r="AO49" s="10">
        <f t="shared" si="16"/>
        <v>2315</v>
      </c>
      <c r="AP49" s="10">
        <f t="shared" si="17"/>
        <v>8123</v>
      </c>
      <c r="AQ49" s="10">
        <f t="shared" si="18"/>
        <v>32408</v>
      </c>
      <c r="AS49" s="10" t="str">
        <f t="shared" si="19"/>
        <v>{0 , 752 , 2315 , 8123 , 32408},</v>
      </c>
    </row>
    <row r="50" spans="2:45" x14ac:dyDescent="0.15">
      <c r="B50" s="10">
        <v>44</v>
      </c>
      <c r="C50" s="15">
        <f t="shared" si="1"/>
        <v>880</v>
      </c>
      <c r="D50" s="15">
        <f t="shared" si="2"/>
        <v>4055</v>
      </c>
      <c r="E50" s="15">
        <f t="shared" si="3"/>
        <v>12602</v>
      </c>
      <c r="F50" s="15">
        <f t="shared" si="4"/>
        <v>30624</v>
      </c>
      <c r="G50" s="16">
        <f t="shared" si="20"/>
        <v>48161</v>
      </c>
      <c r="N50" s="10">
        <v>44</v>
      </c>
      <c r="O50" s="15">
        <f t="shared" si="5"/>
        <v>1277</v>
      </c>
      <c r="P50" s="15">
        <f t="shared" si="6"/>
        <v>1288</v>
      </c>
      <c r="Q50" s="15">
        <f t="shared" si="7"/>
        <v>1316</v>
      </c>
      <c r="R50" s="15">
        <f t="shared" si="8"/>
        <v>1372</v>
      </c>
      <c r="S50" s="15">
        <f t="shared" si="9"/>
        <v>1463</v>
      </c>
      <c r="AA50" s="10">
        <v>44</v>
      </c>
      <c r="AB50" s="15">
        <f t="shared" si="10"/>
        <v>765</v>
      </c>
      <c r="AC50" s="15">
        <f t="shared" si="11"/>
        <v>1595</v>
      </c>
      <c r="AD50" s="15">
        <f t="shared" si="12"/>
        <v>2967</v>
      </c>
      <c r="AE50" s="15">
        <f t="shared" si="13"/>
        <v>4966</v>
      </c>
      <c r="AF50" s="16">
        <f t="shared" si="14"/>
        <v>10293</v>
      </c>
      <c r="AM50" s="10">
        <v>44</v>
      </c>
      <c r="AN50" s="10">
        <f t="shared" si="15"/>
        <v>765</v>
      </c>
      <c r="AO50" s="10">
        <f t="shared" si="16"/>
        <v>2360</v>
      </c>
      <c r="AP50" s="10">
        <f t="shared" si="17"/>
        <v>8294</v>
      </c>
      <c r="AQ50" s="10">
        <f t="shared" si="18"/>
        <v>33124</v>
      </c>
      <c r="AS50" s="10" t="str">
        <f t="shared" si="19"/>
        <v>{0 , 765 , 2360 , 8294 , 33124},</v>
      </c>
    </row>
    <row r="51" spans="2:45" x14ac:dyDescent="0.15">
      <c r="B51" s="13">
        <v>45</v>
      </c>
      <c r="C51" s="14">
        <f t="shared" si="1"/>
        <v>898</v>
      </c>
      <c r="D51" s="14">
        <f t="shared" si="2"/>
        <v>4144</v>
      </c>
      <c r="E51" s="14">
        <f t="shared" si="3"/>
        <v>12886</v>
      </c>
      <c r="F51" s="14">
        <f t="shared" si="4"/>
        <v>31317</v>
      </c>
      <c r="G51" s="14">
        <f t="shared" si="20"/>
        <v>49245</v>
      </c>
      <c r="N51" s="13">
        <v>45</v>
      </c>
      <c r="O51" s="14">
        <f t="shared" si="5"/>
        <v>1306</v>
      </c>
      <c r="P51" s="14">
        <f t="shared" si="6"/>
        <v>1317</v>
      </c>
      <c r="Q51" s="14">
        <f t="shared" si="7"/>
        <v>1345</v>
      </c>
      <c r="R51" s="14">
        <f t="shared" si="8"/>
        <v>1401</v>
      </c>
      <c r="S51" s="14">
        <f t="shared" si="9"/>
        <v>1492</v>
      </c>
      <c r="AA51" s="13">
        <v>45</v>
      </c>
      <c r="AB51" s="14">
        <f t="shared" si="10"/>
        <v>779</v>
      </c>
      <c r="AC51" s="14">
        <f t="shared" si="11"/>
        <v>1628</v>
      </c>
      <c r="AD51" s="14">
        <f t="shared" si="12"/>
        <v>3031</v>
      </c>
      <c r="AE51" s="14">
        <f t="shared" si="13"/>
        <v>5074</v>
      </c>
      <c r="AF51" s="14">
        <f t="shared" si="14"/>
        <v>10512</v>
      </c>
      <c r="AM51" s="13">
        <v>45</v>
      </c>
      <c r="AN51" s="13">
        <f t="shared" si="15"/>
        <v>779</v>
      </c>
      <c r="AO51" s="13">
        <f t="shared" si="16"/>
        <v>2407</v>
      </c>
      <c r="AP51" s="13">
        <f t="shared" si="17"/>
        <v>8469</v>
      </c>
      <c r="AQ51" s="13">
        <f t="shared" si="18"/>
        <v>33839</v>
      </c>
      <c r="AS51" s="10" t="str">
        <f t="shared" si="19"/>
        <v>{0 , 779 , 2407 , 8469 , 33839},</v>
      </c>
    </row>
    <row r="52" spans="2:45" x14ac:dyDescent="0.15">
      <c r="B52" s="10">
        <v>46</v>
      </c>
      <c r="C52" s="15">
        <f t="shared" si="1"/>
        <v>915</v>
      </c>
      <c r="D52" s="15">
        <f t="shared" si="2"/>
        <v>4234</v>
      </c>
      <c r="E52" s="15">
        <f t="shared" si="3"/>
        <v>13170</v>
      </c>
      <c r="F52" s="15">
        <f t="shared" si="4"/>
        <v>32011</v>
      </c>
      <c r="G52" s="16">
        <f t="shared" si="20"/>
        <v>50330</v>
      </c>
      <c r="N52" s="10">
        <v>46</v>
      </c>
      <c r="O52" s="15">
        <f t="shared" si="5"/>
        <v>1335</v>
      </c>
      <c r="P52" s="15">
        <f t="shared" si="6"/>
        <v>1346</v>
      </c>
      <c r="Q52" s="15">
        <f t="shared" si="7"/>
        <v>1374</v>
      </c>
      <c r="R52" s="15">
        <f t="shared" si="8"/>
        <v>1430</v>
      </c>
      <c r="S52" s="15">
        <f t="shared" si="9"/>
        <v>1521</v>
      </c>
      <c r="AA52" s="10">
        <v>46</v>
      </c>
      <c r="AB52" s="15">
        <f t="shared" si="10"/>
        <v>792</v>
      </c>
      <c r="AC52" s="15">
        <f t="shared" si="11"/>
        <v>1660</v>
      </c>
      <c r="AD52" s="15">
        <f t="shared" si="12"/>
        <v>3094</v>
      </c>
      <c r="AE52" s="15">
        <f t="shared" si="13"/>
        <v>5183</v>
      </c>
      <c r="AF52" s="16">
        <f t="shared" si="14"/>
        <v>10729</v>
      </c>
      <c r="AM52" s="10">
        <v>46</v>
      </c>
      <c r="AN52" s="10">
        <f t="shared" si="15"/>
        <v>792</v>
      </c>
      <c r="AO52" s="10">
        <f t="shared" si="16"/>
        <v>2452</v>
      </c>
      <c r="AP52" s="10">
        <f t="shared" si="17"/>
        <v>8640</v>
      </c>
      <c r="AQ52" s="10">
        <f t="shared" si="18"/>
        <v>34555</v>
      </c>
      <c r="AS52" s="10" t="str">
        <f t="shared" si="19"/>
        <v>{0 , 792 , 2452 , 8640 , 34555},</v>
      </c>
    </row>
    <row r="53" spans="2:45" x14ac:dyDescent="0.15">
      <c r="B53" s="10">
        <v>47</v>
      </c>
      <c r="C53" s="15">
        <f t="shared" si="1"/>
        <v>933</v>
      </c>
      <c r="D53" s="15">
        <f t="shared" si="2"/>
        <v>4324</v>
      </c>
      <c r="E53" s="15">
        <f t="shared" si="3"/>
        <v>13454</v>
      </c>
      <c r="F53" s="15">
        <f t="shared" si="4"/>
        <v>32705</v>
      </c>
      <c r="G53" s="16">
        <f t="shared" si="20"/>
        <v>51416</v>
      </c>
      <c r="N53" s="10">
        <v>47</v>
      </c>
      <c r="O53" s="15">
        <f t="shared" si="5"/>
        <v>1364</v>
      </c>
      <c r="P53" s="15">
        <f t="shared" si="6"/>
        <v>1375</v>
      </c>
      <c r="Q53" s="15">
        <f t="shared" si="7"/>
        <v>1403</v>
      </c>
      <c r="R53" s="15">
        <f t="shared" si="8"/>
        <v>1459</v>
      </c>
      <c r="S53" s="15">
        <f t="shared" si="9"/>
        <v>1550</v>
      </c>
      <c r="AA53" s="10">
        <v>47</v>
      </c>
      <c r="AB53" s="15">
        <f t="shared" si="10"/>
        <v>805</v>
      </c>
      <c r="AC53" s="15">
        <f t="shared" si="11"/>
        <v>1692</v>
      </c>
      <c r="AD53" s="15">
        <f t="shared" si="12"/>
        <v>3158</v>
      </c>
      <c r="AE53" s="15">
        <f t="shared" si="13"/>
        <v>5292</v>
      </c>
      <c r="AF53" s="16">
        <f t="shared" si="14"/>
        <v>10947</v>
      </c>
      <c r="AM53" s="10">
        <v>47</v>
      </c>
      <c r="AN53" s="10">
        <f t="shared" si="15"/>
        <v>805</v>
      </c>
      <c r="AO53" s="10">
        <f t="shared" si="16"/>
        <v>2497</v>
      </c>
      <c r="AP53" s="10">
        <f t="shared" si="17"/>
        <v>8813</v>
      </c>
      <c r="AQ53" s="10">
        <f t="shared" si="18"/>
        <v>35273</v>
      </c>
      <c r="AS53" s="10" t="str">
        <f t="shared" si="19"/>
        <v>{0 , 805 , 2497 , 8813 , 35273},</v>
      </c>
    </row>
    <row r="54" spans="2:45" x14ac:dyDescent="0.15">
      <c r="B54" s="10">
        <v>48</v>
      </c>
      <c r="C54" s="15">
        <f t="shared" si="1"/>
        <v>951</v>
      </c>
      <c r="D54" s="15">
        <f t="shared" si="2"/>
        <v>4414</v>
      </c>
      <c r="E54" s="15">
        <f t="shared" si="3"/>
        <v>13738</v>
      </c>
      <c r="F54" s="15">
        <f t="shared" si="4"/>
        <v>33399</v>
      </c>
      <c r="G54" s="16">
        <f t="shared" si="20"/>
        <v>52502</v>
      </c>
      <c r="N54" s="10">
        <v>48</v>
      </c>
      <c r="O54" s="15">
        <f t="shared" si="5"/>
        <v>1393</v>
      </c>
      <c r="P54" s="15">
        <f t="shared" si="6"/>
        <v>1404</v>
      </c>
      <c r="Q54" s="15">
        <f t="shared" si="7"/>
        <v>1432</v>
      </c>
      <c r="R54" s="15">
        <f t="shared" si="8"/>
        <v>1488</v>
      </c>
      <c r="S54" s="15">
        <f t="shared" si="9"/>
        <v>1579</v>
      </c>
      <c r="AA54" s="10">
        <v>48</v>
      </c>
      <c r="AB54" s="15">
        <f t="shared" si="10"/>
        <v>819</v>
      </c>
      <c r="AC54" s="15">
        <f t="shared" si="11"/>
        <v>1724</v>
      </c>
      <c r="AD54" s="15">
        <f t="shared" si="12"/>
        <v>3221</v>
      </c>
      <c r="AE54" s="15">
        <f t="shared" si="13"/>
        <v>5401</v>
      </c>
      <c r="AF54" s="16">
        <f t="shared" si="14"/>
        <v>11165</v>
      </c>
      <c r="AM54" s="10">
        <v>48</v>
      </c>
      <c r="AN54" s="10">
        <f t="shared" si="15"/>
        <v>819</v>
      </c>
      <c r="AO54" s="10">
        <f t="shared" si="16"/>
        <v>2543</v>
      </c>
      <c r="AP54" s="10">
        <f t="shared" si="17"/>
        <v>8985</v>
      </c>
      <c r="AQ54" s="10">
        <f t="shared" si="18"/>
        <v>35990</v>
      </c>
      <c r="AS54" s="10" t="str">
        <f t="shared" si="19"/>
        <v>{0 , 819 , 2543 , 8985 , 35990},</v>
      </c>
    </row>
    <row r="55" spans="2:45" x14ac:dyDescent="0.15">
      <c r="B55" s="10">
        <v>49</v>
      </c>
      <c r="C55" s="15">
        <f t="shared" si="1"/>
        <v>969</v>
      </c>
      <c r="D55" s="15">
        <f t="shared" si="2"/>
        <v>4504</v>
      </c>
      <c r="E55" s="15">
        <f t="shared" si="3"/>
        <v>14022</v>
      </c>
      <c r="F55" s="15">
        <f t="shared" si="4"/>
        <v>34092</v>
      </c>
      <c r="G55" s="16">
        <f t="shared" si="20"/>
        <v>53587</v>
      </c>
      <c r="N55" s="10">
        <v>49</v>
      </c>
      <c r="O55" s="15">
        <f t="shared" si="5"/>
        <v>1422</v>
      </c>
      <c r="P55" s="15">
        <f t="shared" si="6"/>
        <v>1433</v>
      </c>
      <c r="Q55" s="15">
        <f t="shared" si="7"/>
        <v>1461</v>
      </c>
      <c r="R55" s="15">
        <f t="shared" si="8"/>
        <v>1517</v>
      </c>
      <c r="S55" s="15">
        <f t="shared" si="9"/>
        <v>1608</v>
      </c>
      <c r="AA55" s="10">
        <v>49</v>
      </c>
      <c r="AB55" s="15">
        <f t="shared" si="10"/>
        <v>832</v>
      </c>
      <c r="AC55" s="15">
        <f t="shared" si="11"/>
        <v>1757</v>
      </c>
      <c r="AD55" s="15">
        <f t="shared" si="12"/>
        <v>3284</v>
      </c>
      <c r="AE55" s="15">
        <f t="shared" si="13"/>
        <v>5510</v>
      </c>
      <c r="AF55" s="16">
        <f t="shared" si="14"/>
        <v>11383</v>
      </c>
      <c r="AM55" s="10">
        <v>49</v>
      </c>
      <c r="AN55" s="10">
        <f t="shared" si="15"/>
        <v>832</v>
      </c>
      <c r="AO55" s="10">
        <f t="shared" si="16"/>
        <v>2589</v>
      </c>
      <c r="AP55" s="10">
        <f t="shared" si="17"/>
        <v>9157</v>
      </c>
      <c r="AQ55" s="10">
        <f t="shared" si="18"/>
        <v>36707</v>
      </c>
      <c r="AS55" s="10" t="str">
        <f t="shared" si="19"/>
        <v>{0 , 832 , 2589 , 9157 , 36707},</v>
      </c>
    </row>
    <row r="56" spans="2:45" x14ac:dyDescent="0.15">
      <c r="B56" s="13">
        <v>50</v>
      </c>
      <c r="C56" s="14">
        <f t="shared" si="1"/>
        <v>987</v>
      </c>
      <c r="D56" s="14">
        <f t="shared" si="2"/>
        <v>4594</v>
      </c>
      <c r="E56" s="14">
        <f t="shared" si="3"/>
        <v>14307</v>
      </c>
      <c r="F56" s="14">
        <f t="shared" si="4"/>
        <v>34786</v>
      </c>
      <c r="G56" s="14">
        <f t="shared" si="20"/>
        <v>54674</v>
      </c>
      <c r="N56" s="13">
        <v>50</v>
      </c>
      <c r="O56" s="14">
        <f t="shared" si="5"/>
        <v>1451</v>
      </c>
      <c r="P56" s="14">
        <f t="shared" si="6"/>
        <v>1462</v>
      </c>
      <c r="Q56" s="14">
        <f t="shared" si="7"/>
        <v>1490</v>
      </c>
      <c r="R56" s="14">
        <f t="shared" si="8"/>
        <v>1546</v>
      </c>
      <c r="S56" s="14">
        <f t="shared" si="9"/>
        <v>1637</v>
      </c>
      <c r="AA56" s="13">
        <v>50</v>
      </c>
      <c r="AB56" s="14">
        <f t="shared" si="10"/>
        <v>845</v>
      </c>
      <c r="AC56" s="14">
        <f t="shared" si="11"/>
        <v>1789</v>
      </c>
      <c r="AD56" s="14">
        <f t="shared" si="12"/>
        <v>3348</v>
      </c>
      <c r="AE56" s="14">
        <f t="shared" si="13"/>
        <v>5618</v>
      </c>
      <c r="AF56" s="14">
        <f t="shared" si="14"/>
        <v>11600</v>
      </c>
      <c r="AM56" s="13">
        <v>50</v>
      </c>
      <c r="AN56" s="13">
        <f t="shared" si="15"/>
        <v>845</v>
      </c>
      <c r="AO56" s="13">
        <f t="shared" si="16"/>
        <v>2634</v>
      </c>
      <c r="AP56" s="13">
        <f t="shared" si="17"/>
        <v>9330</v>
      </c>
      <c r="AQ56" s="13">
        <f t="shared" si="18"/>
        <v>37420</v>
      </c>
      <c r="AS56" s="10" t="str">
        <f t="shared" si="19"/>
        <v>{0 , 845 , 2634 , 9330 , 37420},</v>
      </c>
    </row>
  </sheetData>
  <mergeCells count="4">
    <mergeCell ref="AM2:AQ2"/>
    <mergeCell ref="B2:G2"/>
    <mergeCell ref="N2:S2"/>
    <mergeCell ref="AA2:AF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K57"/>
  <sheetViews>
    <sheetView workbookViewId="0">
      <selection activeCell="C3" sqref="C3:H3"/>
    </sheetView>
  </sheetViews>
  <sheetFormatPr defaultRowHeight="12" x14ac:dyDescent="0.15"/>
  <cols>
    <col min="1" max="7" width="9" style="2"/>
    <col min="8" max="8" width="8.5" style="2" bestFit="1" customWidth="1"/>
    <col min="9" max="16384" width="9" style="2"/>
  </cols>
  <sheetData>
    <row r="2" spans="3:11" x14ac:dyDescent="0.15">
      <c r="C2" s="1"/>
      <c r="D2" s="1"/>
      <c r="E2" s="1"/>
      <c r="F2" s="1"/>
      <c r="G2" s="1"/>
      <c r="H2" s="1"/>
      <c r="J2" s="1"/>
      <c r="K2" s="1"/>
    </row>
    <row r="3" spans="3:11" ht="39" customHeight="1" x14ac:dyDescent="0.15">
      <c r="C3" s="193" t="s">
        <v>910</v>
      </c>
      <c r="D3" s="195"/>
      <c r="E3" s="195"/>
      <c r="F3" s="195"/>
      <c r="G3" s="195"/>
      <c r="H3" s="195"/>
      <c r="J3" s="1"/>
      <c r="K3" s="1"/>
    </row>
    <row r="4" spans="3:11" x14ac:dyDescent="0.15">
      <c r="C4" s="1"/>
      <c r="D4" s="1"/>
      <c r="E4" s="1"/>
      <c r="F4" s="1"/>
      <c r="G4" s="1"/>
      <c r="H4" s="1"/>
      <c r="J4" s="1"/>
      <c r="K4" s="1"/>
    </row>
    <row r="5" spans="3:11" x14ac:dyDescent="0.15">
      <c r="C5" s="1"/>
      <c r="D5" s="1"/>
      <c r="E5" s="1"/>
      <c r="F5" s="1"/>
      <c r="G5" s="1"/>
      <c r="H5" s="1"/>
      <c r="J5" s="1"/>
      <c r="K5" s="1"/>
    </row>
    <row r="6" spans="3:11" x14ac:dyDescent="0.15">
      <c r="C6" s="1"/>
      <c r="D6" s="3">
        <v>1</v>
      </c>
      <c r="E6" s="3">
        <v>2</v>
      </c>
      <c r="F6" s="3">
        <v>3</v>
      </c>
      <c r="G6" s="3">
        <v>4</v>
      </c>
      <c r="H6" s="3">
        <v>5</v>
      </c>
      <c r="J6" s="4" t="s">
        <v>74</v>
      </c>
      <c r="K6" s="4">
        <v>49</v>
      </c>
    </row>
    <row r="7" spans="3:11" x14ac:dyDescent="0.15">
      <c r="C7" s="5" t="s">
        <v>65</v>
      </c>
      <c r="D7" s="6" t="s">
        <v>69</v>
      </c>
      <c r="E7" s="6" t="s">
        <v>70</v>
      </c>
      <c r="F7" s="6" t="s">
        <v>71</v>
      </c>
      <c r="G7" s="6" t="s">
        <v>72</v>
      </c>
      <c r="H7" s="6" t="s">
        <v>73</v>
      </c>
      <c r="J7" s="4" t="s">
        <v>58</v>
      </c>
      <c r="K7" s="4">
        <v>2.5</v>
      </c>
    </row>
    <row r="8" spans="3:11" x14ac:dyDescent="0.15">
      <c r="C8" s="7">
        <v>1</v>
      </c>
      <c r="D8" s="8">
        <f>INT(C8*$K$6/2+$D$6^$K$7*C8/$K$8)</f>
        <v>24</v>
      </c>
      <c r="E8" s="8">
        <f>INT(C8*$K$6/2+$E$6^$K$7*C8/$K$8)</f>
        <v>25</v>
      </c>
      <c r="F8" s="8">
        <f>INT(C8*$K$6/2+$F$6^$K$7*C8/$K$8)</f>
        <v>26</v>
      </c>
      <c r="G8" s="8">
        <f>INT(C8*$K$6/2+$G$6^$K$7*C8/$K$8)</f>
        <v>29</v>
      </c>
      <c r="H8" s="8">
        <f>INT(C8*$K$6/2+$H$6^$K$7*C8/$K$8)</f>
        <v>32</v>
      </c>
      <c r="J8" s="4" t="s">
        <v>59</v>
      </c>
      <c r="K8" s="4">
        <v>7</v>
      </c>
    </row>
    <row r="9" spans="3:11" x14ac:dyDescent="0.15">
      <c r="C9" s="1">
        <v>2</v>
      </c>
      <c r="D9" s="9">
        <f t="shared" ref="D9:D57" si="0">INT(C9*$K$6/2+$D$6^$K$7*C9/$K$8)</f>
        <v>49</v>
      </c>
      <c r="E9" s="9">
        <f t="shared" ref="E9:E57" si="1">INT(C9*$K$6/2+$E$6^$K$7*C9/$K$8)</f>
        <v>50</v>
      </c>
      <c r="F9" s="9">
        <f t="shared" ref="F9:F57" si="2">INT(C9*$K$6/2+$F$6^$K$7*C9/$K$8)</f>
        <v>53</v>
      </c>
      <c r="G9" s="9">
        <f t="shared" ref="G9:G57" si="3">INT(C9*$K$6/2+$G$6^$K$7*C9/$K$8)</f>
        <v>58</v>
      </c>
      <c r="H9" s="9">
        <f t="shared" ref="H9:H57" si="4">INT(C9*$K$6/2+$H$6^$K$7*C9/$K$8)</f>
        <v>64</v>
      </c>
      <c r="J9" s="1"/>
      <c r="K9" s="1"/>
    </row>
    <row r="10" spans="3:11" x14ac:dyDescent="0.15">
      <c r="C10" s="1">
        <v>3</v>
      </c>
      <c r="D10" s="9">
        <f t="shared" si="0"/>
        <v>73</v>
      </c>
      <c r="E10" s="9">
        <f t="shared" si="1"/>
        <v>75</v>
      </c>
      <c r="F10" s="9">
        <f t="shared" si="2"/>
        <v>80</v>
      </c>
      <c r="G10" s="9">
        <f t="shared" si="3"/>
        <v>87</v>
      </c>
      <c r="H10" s="9">
        <f t="shared" si="4"/>
        <v>97</v>
      </c>
      <c r="J10" s="1"/>
      <c r="K10" s="1"/>
    </row>
    <row r="11" spans="3:11" x14ac:dyDescent="0.15">
      <c r="C11" s="1">
        <v>4</v>
      </c>
      <c r="D11" s="9">
        <f t="shared" si="0"/>
        <v>98</v>
      </c>
      <c r="E11" s="9">
        <f t="shared" si="1"/>
        <v>101</v>
      </c>
      <c r="F11" s="9">
        <f t="shared" si="2"/>
        <v>106</v>
      </c>
      <c r="G11" s="9">
        <f t="shared" si="3"/>
        <v>116</v>
      </c>
      <c r="H11" s="9">
        <f t="shared" si="4"/>
        <v>129</v>
      </c>
      <c r="J11" s="1"/>
      <c r="K11" s="1"/>
    </row>
    <row r="12" spans="3:11" x14ac:dyDescent="0.15">
      <c r="C12" s="7">
        <v>5</v>
      </c>
      <c r="D12" s="8">
        <f t="shared" si="0"/>
        <v>123</v>
      </c>
      <c r="E12" s="8">
        <f t="shared" si="1"/>
        <v>126</v>
      </c>
      <c r="F12" s="8">
        <f t="shared" si="2"/>
        <v>133</v>
      </c>
      <c r="G12" s="8">
        <f t="shared" si="3"/>
        <v>145</v>
      </c>
      <c r="H12" s="8">
        <f t="shared" si="4"/>
        <v>162</v>
      </c>
      <c r="J12" s="1"/>
      <c r="K12" s="1"/>
    </row>
    <row r="13" spans="3:11" x14ac:dyDescent="0.15">
      <c r="C13" s="1">
        <v>6</v>
      </c>
      <c r="D13" s="9">
        <f t="shared" si="0"/>
        <v>147</v>
      </c>
      <c r="E13" s="9">
        <f t="shared" si="1"/>
        <v>151</v>
      </c>
      <c r="F13" s="9">
        <f t="shared" si="2"/>
        <v>160</v>
      </c>
      <c r="G13" s="9">
        <f t="shared" si="3"/>
        <v>174</v>
      </c>
      <c r="H13" s="9">
        <f t="shared" si="4"/>
        <v>194</v>
      </c>
      <c r="J13" s="1"/>
      <c r="K13" s="1"/>
    </row>
    <row r="14" spans="3:11" x14ac:dyDescent="0.15">
      <c r="C14" s="1">
        <v>7</v>
      </c>
      <c r="D14" s="9">
        <f t="shared" si="0"/>
        <v>172</v>
      </c>
      <c r="E14" s="9">
        <f t="shared" si="1"/>
        <v>177</v>
      </c>
      <c r="F14" s="9">
        <f t="shared" si="2"/>
        <v>187</v>
      </c>
      <c r="G14" s="9">
        <f t="shared" si="3"/>
        <v>203</v>
      </c>
      <c r="H14" s="9">
        <f t="shared" si="4"/>
        <v>227</v>
      </c>
      <c r="J14" s="1"/>
      <c r="K14" s="1"/>
    </row>
    <row r="15" spans="3:11" x14ac:dyDescent="0.15">
      <c r="C15" s="1">
        <v>8</v>
      </c>
      <c r="D15" s="9">
        <f t="shared" si="0"/>
        <v>197</v>
      </c>
      <c r="E15" s="9">
        <f t="shared" si="1"/>
        <v>202</v>
      </c>
      <c r="F15" s="9">
        <f t="shared" si="2"/>
        <v>213</v>
      </c>
      <c r="G15" s="9">
        <f t="shared" si="3"/>
        <v>232</v>
      </c>
      <c r="H15" s="9">
        <f t="shared" si="4"/>
        <v>259</v>
      </c>
      <c r="J15" s="1"/>
      <c r="K15" s="1"/>
    </row>
    <row r="16" spans="3:11" x14ac:dyDescent="0.15">
      <c r="C16" s="1">
        <v>9</v>
      </c>
      <c r="D16" s="9">
        <f t="shared" si="0"/>
        <v>221</v>
      </c>
      <c r="E16" s="9">
        <f t="shared" si="1"/>
        <v>227</v>
      </c>
      <c r="F16" s="9">
        <f t="shared" si="2"/>
        <v>240</v>
      </c>
      <c r="G16" s="9">
        <f t="shared" si="3"/>
        <v>261</v>
      </c>
      <c r="H16" s="9">
        <f t="shared" si="4"/>
        <v>292</v>
      </c>
      <c r="J16" s="1"/>
      <c r="K16" s="1"/>
    </row>
    <row r="17" spans="3:11" x14ac:dyDescent="0.15">
      <c r="C17" s="7">
        <v>10</v>
      </c>
      <c r="D17" s="8">
        <f t="shared" si="0"/>
        <v>246</v>
      </c>
      <c r="E17" s="8">
        <f t="shared" si="1"/>
        <v>253</v>
      </c>
      <c r="F17" s="8">
        <f t="shared" si="2"/>
        <v>267</v>
      </c>
      <c r="G17" s="8">
        <f t="shared" si="3"/>
        <v>290</v>
      </c>
      <c r="H17" s="8">
        <f t="shared" si="4"/>
        <v>324</v>
      </c>
      <c r="J17" s="1"/>
      <c r="K17" s="1"/>
    </row>
    <row r="18" spans="3:11" x14ac:dyDescent="0.15">
      <c r="C18" s="1">
        <v>11</v>
      </c>
      <c r="D18" s="9">
        <f t="shared" si="0"/>
        <v>271</v>
      </c>
      <c r="E18" s="9">
        <f t="shared" si="1"/>
        <v>278</v>
      </c>
      <c r="F18" s="9">
        <f t="shared" si="2"/>
        <v>293</v>
      </c>
      <c r="G18" s="9">
        <f t="shared" si="3"/>
        <v>319</v>
      </c>
      <c r="H18" s="9">
        <f t="shared" si="4"/>
        <v>357</v>
      </c>
      <c r="J18" s="1"/>
      <c r="K18" s="1"/>
    </row>
    <row r="19" spans="3:11" x14ac:dyDescent="0.15">
      <c r="C19" s="1">
        <v>12</v>
      </c>
      <c r="D19" s="9">
        <f t="shared" si="0"/>
        <v>295</v>
      </c>
      <c r="E19" s="9">
        <f t="shared" si="1"/>
        <v>303</v>
      </c>
      <c r="F19" s="9">
        <f t="shared" si="2"/>
        <v>320</v>
      </c>
      <c r="G19" s="9">
        <f t="shared" si="3"/>
        <v>348</v>
      </c>
      <c r="H19" s="9">
        <f t="shared" si="4"/>
        <v>389</v>
      </c>
      <c r="J19" s="1"/>
      <c r="K19" s="1"/>
    </row>
    <row r="20" spans="3:11" x14ac:dyDescent="0.15">
      <c r="C20" s="1">
        <v>13</v>
      </c>
      <c r="D20" s="9">
        <f t="shared" si="0"/>
        <v>320</v>
      </c>
      <c r="E20" s="9">
        <f t="shared" si="1"/>
        <v>329</v>
      </c>
      <c r="F20" s="9">
        <f t="shared" si="2"/>
        <v>347</v>
      </c>
      <c r="G20" s="9">
        <f t="shared" si="3"/>
        <v>377</v>
      </c>
      <c r="H20" s="9">
        <f t="shared" si="4"/>
        <v>422</v>
      </c>
      <c r="J20" s="1"/>
      <c r="K20" s="1"/>
    </row>
    <row r="21" spans="3:11" x14ac:dyDescent="0.15">
      <c r="C21" s="1">
        <v>14</v>
      </c>
      <c r="D21" s="9">
        <f t="shared" si="0"/>
        <v>345</v>
      </c>
      <c r="E21" s="9">
        <f t="shared" si="1"/>
        <v>354</v>
      </c>
      <c r="F21" s="9">
        <f t="shared" si="2"/>
        <v>374</v>
      </c>
      <c r="G21" s="9">
        <f t="shared" si="3"/>
        <v>407</v>
      </c>
      <c r="H21" s="9">
        <f t="shared" si="4"/>
        <v>454</v>
      </c>
      <c r="J21" s="1"/>
      <c r="K21" s="1"/>
    </row>
    <row r="22" spans="3:11" x14ac:dyDescent="0.15">
      <c r="C22" s="7">
        <v>15</v>
      </c>
      <c r="D22" s="8">
        <f t="shared" si="0"/>
        <v>369</v>
      </c>
      <c r="E22" s="8">
        <f t="shared" si="1"/>
        <v>379</v>
      </c>
      <c r="F22" s="8">
        <f t="shared" si="2"/>
        <v>400</v>
      </c>
      <c r="G22" s="8">
        <f t="shared" si="3"/>
        <v>436</v>
      </c>
      <c r="H22" s="8">
        <f t="shared" si="4"/>
        <v>487</v>
      </c>
      <c r="J22" s="1"/>
      <c r="K22" s="1"/>
    </row>
    <row r="23" spans="3:11" x14ac:dyDescent="0.15">
      <c r="C23" s="1">
        <v>16</v>
      </c>
      <c r="D23" s="9">
        <f t="shared" si="0"/>
        <v>394</v>
      </c>
      <c r="E23" s="9">
        <f t="shared" si="1"/>
        <v>404</v>
      </c>
      <c r="F23" s="9">
        <f t="shared" si="2"/>
        <v>427</v>
      </c>
      <c r="G23" s="9">
        <f t="shared" si="3"/>
        <v>465</v>
      </c>
      <c r="H23" s="9">
        <f t="shared" si="4"/>
        <v>519</v>
      </c>
      <c r="J23" s="1"/>
      <c r="K23" s="1"/>
    </row>
    <row r="24" spans="3:11" x14ac:dyDescent="0.15">
      <c r="C24" s="1">
        <v>17</v>
      </c>
      <c r="D24" s="9">
        <f t="shared" si="0"/>
        <v>418</v>
      </c>
      <c r="E24" s="9">
        <f t="shared" si="1"/>
        <v>430</v>
      </c>
      <c r="F24" s="9">
        <f t="shared" si="2"/>
        <v>454</v>
      </c>
      <c r="G24" s="9">
        <f t="shared" si="3"/>
        <v>494</v>
      </c>
      <c r="H24" s="9">
        <f t="shared" si="4"/>
        <v>552</v>
      </c>
      <c r="J24" s="1"/>
      <c r="K24" s="1"/>
    </row>
    <row r="25" spans="3:11" x14ac:dyDescent="0.15">
      <c r="C25" s="1">
        <v>18</v>
      </c>
      <c r="D25" s="9">
        <f t="shared" si="0"/>
        <v>443</v>
      </c>
      <c r="E25" s="9">
        <f t="shared" si="1"/>
        <v>455</v>
      </c>
      <c r="F25" s="9">
        <f t="shared" si="2"/>
        <v>481</v>
      </c>
      <c r="G25" s="9">
        <f t="shared" si="3"/>
        <v>523</v>
      </c>
      <c r="H25" s="9">
        <f t="shared" si="4"/>
        <v>584</v>
      </c>
      <c r="J25" s="1"/>
      <c r="K25" s="1"/>
    </row>
    <row r="26" spans="3:11" x14ac:dyDescent="0.15">
      <c r="C26" s="1">
        <v>19</v>
      </c>
      <c r="D26" s="9">
        <f t="shared" si="0"/>
        <v>468</v>
      </c>
      <c r="E26" s="9">
        <f t="shared" si="1"/>
        <v>480</v>
      </c>
      <c r="F26" s="9">
        <f t="shared" si="2"/>
        <v>507</v>
      </c>
      <c r="G26" s="9">
        <f t="shared" si="3"/>
        <v>552</v>
      </c>
      <c r="H26" s="9">
        <f t="shared" si="4"/>
        <v>617</v>
      </c>
      <c r="J26" s="1"/>
      <c r="K26" s="1"/>
    </row>
    <row r="27" spans="3:11" x14ac:dyDescent="0.15">
      <c r="C27" s="7">
        <v>20</v>
      </c>
      <c r="D27" s="8">
        <f t="shared" si="0"/>
        <v>492</v>
      </c>
      <c r="E27" s="8">
        <f t="shared" si="1"/>
        <v>506</v>
      </c>
      <c r="F27" s="8">
        <f t="shared" si="2"/>
        <v>534</v>
      </c>
      <c r="G27" s="8">
        <f t="shared" si="3"/>
        <v>581</v>
      </c>
      <c r="H27" s="8">
        <f t="shared" si="4"/>
        <v>649</v>
      </c>
      <c r="J27" s="1"/>
      <c r="K27" s="1"/>
    </row>
    <row r="28" spans="3:11" x14ac:dyDescent="0.15">
      <c r="C28" s="1">
        <v>21</v>
      </c>
      <c r="D28" s="9">
        <f t="shared" si="0"/>
        <v>517</v>
      </c>
      <c r="E28" s="9">
        <f t="shared" si="1"/>
        <v>531</v>
      </c>
      <c r="F28" s="9">
        <f t="shared" si="2"/>
        <v>561</v>
      </c>
      <c r="G28" s="9">
        <f t="shared" si="3"/>
        <v>610</v>
      </c>
      <c r="H28" s="9">
        <f t="shared" si="4"/>
        <v>682</v>
      </c>
      <c r="J28" s="1"/>
      <c r="K28" s="1"/>
    </row>
    <row r="29" spans="3:11" x14ac:dyDescent="0.15">
      <c r="C29" s="1">
        <v>22</v>
      </c>
      <c r="D29" s="9">
        <f t="shared" si="0"/>
        <v>542</v>
      </c>
      <c r="E29" s="9">
        <f t="shared" si="1"/>
        <v>556</v>
      </c>
      <c r="F29" s="9">
        <f t="shared" si="2"/>
        <v>587</v>
      </c>
      <c r="G29" s="9">
        <f t="shared" si="3"/>
        <v>639</v>
      </c>
      <c r="H29" s="9">
        <f t="shared" si="4"/>
        <v>714</v>
      </c>
      <c r="J29" s="1"/>
      <c r="K29" s="1"/>
    </row>
    <row r="30" spans="3:11" x14ac:dyDescent="0.15">
      <c r="C30" s="1">
        <v>23</v>
      </c>
      <c r="D30" s="9">
        <f t="shared" si="0"/>
        <v>566</v>
      </c>
      <c r="E30" s="9">
        <f t="shared" si="1"/>
        <v>582</v>
      </c>
      <c r="F30" s="9">
        <f t="shared" si="2"/>
        <v>614</v>
      </c>
      <c r="G30" s="9">
        <f t="shared" si="3"/>
        <v>668</v>
      </c>
      <c r="H30" s="9">
        <f t="shared" si="4"/>
        <v>747</v>
      </c>
      <c r="J30" s="1"/>
      <c r="K30" s="1"/>
    </row>
    <row r="31" spans="3:11" x14ac:dyDescent="0.15">
      <c r="C31" s="1">
        <v>24</v>
      </c>
      <c r="D31" s="9">
        <f t="shared" si="0"/>
        <v>591</v>
      </c>
      <c r="E31" s="9">
        <f t="shared" si="1"/>
        <v>607</v>
      </c>
      <c r="F31" s="9">
        <f t="shared" si="2"/>
        <v>641</v>
      </c>
      <c r="G31" s="9">
        <f t="shared" si="3"/>
        <v>697</v>
      </c>
      <c r="H31" s="9">
        <f t="shared" si="4"/>
        <v>779</v>
      </c>
      <c r="J31" s="1"/>
      <c r="K31" s="1"/>
    </row>
    <row r="32" spans="3:11" x14ac:dyDescent="0.15">
      <c r="C32" s="7">
        <v>25</v>
      </c>
      <c r="D32" s="8">
        <f t="shared" si="0"/>
        <v>616</v>
      </c>
      <c r="E32" s="8">
        <f t="shared" si="1"/>
        <v>632</v>
      </c>
      <c r="F32" s="8">
        <f t="shared" si="2"/>
        <v>668</v>
      </c>
      <c r="G32" s="8">
        <f t="shared" si="3"/>
        <v>726</v>
      </c>
      <c r="H32" s="8">
        <f t="shared" si="4"/>
        <v>812</v>
      </c>
      <c r="J32" s="1"/>
      <c r="K32" s="1"/>
    </row>
    <row r="33" spans="3:11" x14ac:dyDescent="0.15">
      <c r="C33" s="1">
        <v>26</v>
      </c>
      <c r="D33" s="9">
        <f t="shared" si="0"/>
        <v>640</v>
      </c>
      <c r="E33" s="9">
        <f t="shared" si="1"/>
        <v>658</v>
      </c>
      <c r="F33" s="9">
        <f t="shared" si="2"/>
        <v>694</v>
      </c>
      <c r="G33" s="9">
        <f t="shared" si="3"/>
        <v>755</v>
      </c>
      <c r="H33" s="9">
        <f t="shared" si="4"/>
        <v>844</v>
      </c>
      <c r="J33" s="1"/>
      <c r="K33" s="1"/>
    </row>
    <row r="34" spans="3:11" x14ac:dyDescent="0.15">
      <c r="C34" s="1">
        <v>27</v>
      </c>
      <c r="D34" s="9">
        <f t="shared" si="0"/>
        <v>665</v>
      </c>
      <c r="E34" s="9">
        <f t="shared" si="1"/>
        <v>683</v>
      </c>
      <c r="F34" s="9">
        <f t="shared" si="2"/>
        <v>721</v>
      </c>
      <c r="G34" s="9">
        <f t="shared" si="3"/>
        <v>784</v>
      </c>
      <c r="H34" s="9">
        <f t="shared" si="4"/>
        <v>877</v>
      </c>
      <c r="J34" s="1"/>
      <c r="K34" s="1"/>
    </row>
    <row r="35" spans="3:11" x14ac:dyDescent="0.15">
      <c r="C35" s="1">
        <v>28</v>
      </c>
      <c r="D35" s="9">
        <f t="shared" si="0"/>
        <v>690</v>
      </c>
      <c r="E35" s="9">
        <f t="shared" si="1"/>
        <v>708</v>
      </c>
      <c r="F35" s="9">
        <f t="shared" si="2"/>
        <v>748</v>
      </c>
      <c r="G35" s="9">
        <f t="shared" si="3"/>
        <v>814</v>
      </c>
      <c r="H35" s="9">
        <f t="shared" si="4"/>
        <v>909</v>
      </c>
      <c r="J35" s="1"/>
      <c r="K35" s="1"/>
    </row>
    <row r="36" spans="3:11" x14ac:dyDescent="0.15">
      <c r="C36" s="1">
        <v>29</v>
      </c>
      <c r="D36" s="9">
        <f t="shared" si="0"/>
        <v>714</v>
      </c>
      <c r="E36" s="9">
        <f t="shared" si="1"/>
        <v>733</v>
      </c>
      <c r="F36" s="9">
        <f t="shared" si="2"/>
        <v>775</v>
      </c>
      <c r="G36" s="9">
        <f t="shared" si="3"/>
        <v>843</v>
      </c>
      <c r="H36" s="9">
        <f t="shared" si="4"/>
        <v>942</v>
      </c>
      <c r="J36" s="1"/>
      <c r="K36" s="1"/>
    </row>
    <row r="37" spans="3:11" x14ac:dyDescent="0.15">
      <c r="C37" s="7">
        <v>30</v>
      </c>
      <c r="D37" s="8">
        <f t="shared" si="0"/>
        <v>739</v>
      </c>
      <c r="E37" s="8">
        <f t="shared" si="1"/>
        <v>759</v>
      </c>
      <c r="F37" s="8">
        <f t="shared" si="2"/>
        <v>801</v>
      </c>
      <c r="G37" s="8">
        <f t="shared" si="3"/>
        <v>872</v>
      </c>
      <c r="H37" s="8">
        <f t="shared" si="4"/>
        <v>974</v>
      </c>
      <c r="J37" s="1"/>
      <c r="K37" s="1"/>
    </row>
    <row r="38" spans="3:11" x14ac:dyDescent="0.15">
      <c r="C38" s="1">
        <v>31</v>
      </c>
      <c r="D38" s="9">
        <f t="shared" si="0"/>
        <v>763</v>
      </c>
      <c r="E38" s="9">
        <f t="shared" si="1"/>
        <v>784</v>
      </c>
      <c r="F38" s="9">
        <f t="shared" si="2"/>
        <v>828</v>
      </c>
      <c r="G38" s="9">
        <f t="shared" si="3"/>
        <v>901</v>
      </c>
      <c r="H38" s="9">
        <f t="shared" si="4"/>
        <v>1007</v>
      </c>
      <c r="J38" s="1"/>
      <c r="K38" s="1"/>
    </row>
    <row r="39" spans="3:11" x14ac:dyDescent="0.15">
      <c r="C39" s="1">
        <v>32</v>
      </c>
      <c r="D39" s="9">
        <f t="shared" si="0"/>
        <v>788</v>
      </c>
      <c r="E39" s="9">
        <f t="shared" si="1"/>
        <v>809</v>
      </c>
      <c r="F39" s="9">
        <f t="shared" si="2"/>
        <v>855</v>
      </c>
      <c r="G39" s="9">
        <f t="shared" si="3"/>
        <v>930</v>
      </c>
      <c r="H39" s="9">
        <f t="shared" si="4"/>
        <v>1039</v>
      </c>
      <c r="J39" s="1"/>
      <c r="K39" s="1"/>
    </row>
    <row r="40" spans="3:11" x14ac:dyDescent="0.15">
      <c r="C40" s="1">
        <v>33</v>
      </c>
      <c r="D40" s="9">
        <f t="shared" si="0"/>
        <v>813</v>
      </c>
      <c r="E40" s="9">
        <f t="shared" si="1"/>
        <v>835</v>
      </c>
      <c r="F40" s="9">
        <f t="shared" si="2"/>
        <v>881</v>
      </c>
      <c r="G40" s="9">
        <f t="shared" si="3"/>
        <v>959</v>
      </c>
      <c r="H40" s="9">
        <f t="shared" si="4"/>
        <v>1072</v>
      </c>
      <c r="J40" s="1"/>
      <c r="K40" s="1"/>
    </row>
    <row r="41" spans="3:11" x14ac:dyDescent="0.15">
      <c r="C41" s="1">
        <v>34</v>
      </c>
      <c r="D41" s="9">
        <f t="shared" si="0"/>
        <v>837</v>
      </c>
      <c r="E41" s="9">
        <f t="shared" si="1"/>
        <v>860</v>
      </c>
      <c r="F41" s="9">
        <f t="shared" si="2"/>
        <v>908</v>
      </c>
      <c r="G41" s="9">
        <f t="shared" si="3"/>
        <v>988</v>
      </c>
      <c r="H41" s="9">
        <f t="shared" si="4"/>
        <v>1104</v>
      </c>
      <c r="J41" s="1"/>
      <c r="K41" s="1"/>
    </row>
    <row r="42" spans="3:11" x14ac:dyDescent="0.15">
      <c r="C42" s="7">
        <v>35</v>
      </c>
      <c r="D42" s="8">
        <f t="shared" si="0"/>
        <v>862</v>
      </c>
      <c r="E42" s="8">
        <f t="shared" si="1"/>
        <v>885</v>
      </c>
      <c r="F42" s="8">
        <f t="shared" si="2"/>
        <v>935</v>
      </c>
      <c r="G42" s="8">
        <f t="shared" si="3"/>
        <v>1017</v>
      </c>
      <c r="H42" s="8">
        <f t="shared" si="4"/>
        <v>1137</v>
      </c>
      <c r="J42" s="1"/>
      <c r="K42" s="1"/>
    </row>
    <row r="43" spans="3:11" x14ac:dyDescent="0.15">
      <c r="C43" s="1">
        <v>36</v>
      </c>
      <c r="D43" s="9">
        <f t="shared" si="0"/>
        <v>887</v>
      </c>
      <c r="E43" s="9">
        <f t="shared" si="1"/>
        <v>911</v>
      </c>
      <c r="F43" s="9">
        <f t="shared" si="2"/>
        <v>962</v>
      </c>
      <c r="G43" s="9">
        <f t="shared" si="3"/>
        <v>1046</v>
      </c>
      <c r="H43" s="9">
        <f t="shared" si="4"/>
        <v>1169</v>
      </c>
      <c r="J43" s="1"/>
      <c r="K43" s="1"/>
    </row>
    <row r="44" spans="3:11" x14ac:dyDescent="0.15">
      <c r="C44" s="1">
        <v>37</v>
      </c>
      <c r="D44" s="9">
        <f t="shared" si="0"/>
        <v>911</v>
      </c>
      <c r="E44" s="9">
        <f t="shared" si="1"/>
        <v>936</v>
      </c>
      <c r="F44" s="9">
        <f t="shared" si="2"/>
        <v>988</v>
      </c>
      <c r="G44" s="9">
        <f t="shared" si="3"/>
        <v>1075</v>
      </c>
      <c r="H44" s="9">
        <f t="shared" si="4"/>
        <v>1201</v>
      </c>
      <c r="J44" s="1"/>
      <c r="K44" s="1"/>
    </row>
    <row r="45" spans="3:11" x14ac:dyDescent="0.15">
      <c r="C45" s="1">
        <v>38</v>
      </c>
      <c r="D45" s="9">
        <f t="shared" si="0"/>
        <v>936</v>
      </c>
      <c r="E45" s="9">
        <f t="shared" si="1"/>
        <v>961</v>
      </c>
      <c r="F45" s="9">
        <f t="shared" si="2"/>
        <v>1015</v>
      </c>
      <c r="G45" s="9">
        <f t="shared" si="3"/>
        <v>1104</v>
      </c>
      <c r="H45" s="9">
        <f t="shared" si="4"/>
        <v>1234</v>
      </c>
      <c r="J45" s="1"/>
      <c r="K45" s="1"/>
    </row>
    <row r="46" spans="3:11" x14ac:dyDescent="0.15">
      <c r="C46" s="1">
        <v>39</v>
      </c>
      <c r="D46" s="9">
        <f t="shared" si="0"/>
        <v>961</v>
      </c>
      <c r="E46" s="9">
        <f t="shared" si="1"/>
        <v>987</v>
      </c>
      <c r="F46" s="9">
        <f t="shared" si="2"/>
        <v>1042</v>
      </c>
      <c r="G46" s="9">
        <f t="shared" si="3"/>
        <v>1133</v>
      </c>
      <c r="H46" s="9">
        <f t="shared" si="4"/>
        <v>1266</v>
      </c>
      <c r="J46" s="1"/>
      <c r="K46" s="1"/>
    </row>
    <row r="47" spans="3:11" x14ac:dyDescent="0.15">
      <c r="C47" s="7">
        <v>40</v>
      </c>
      <c r="D47" s="8">
        <f t="shared" si="0"/>
        <v>985</v>
      </c>
      <c r="E47" s="8">
        <f t="shared" si="1"/>
        <v>1012</v>
      </c>
      <c r="F47" s="8">
        <f t="shared" si="2"/>
        <v>1069</v>
      </c>
      <c r="G47" s="8">
        <f t="shared" si="3"/>
        <v>1162</v>
      </c>
      <c r="H47" s="8">
        <f t="shared" si="4"/>
        <v>1299</v>
      </c>
      <c r="J47" s="1"/>
      <c r="K47" s="1"/>
    </row>
    <row r="48" spans="3:11" x14ac:dyDescent="0.15">
      <c r="C48" s="1">
        <v>41</v>
      </c>
      <c r="D48" s="9">
        <f t="shared" si="0"/>
        <v>1010</v>
      </c>
      <c r="E48" s="9">
        <f t="shared" si="1"/>
        <v>1037</v>
      </c>
      <c r="F48" s="9">
        <f t="shared" si="2"/>
        <v>1095</v>
      </c>
      <c r="G48" s="9">
        <f t="shared" si="3"/>
        <v>1191</v>
      </c>
      <c r="H48" s="9">
        <f t="shared" si="4"/>
        <v>1331</v>
      </c>
      <c r="J48" s="1"/>
      <c r="K48" s="1"/>
    </row>
    <row r="49" spans="3:11" x14ac:dyDescent="0.15">
      <c r="C49" s="1">
        <v>42</v>
      </c>
      <c r="D49" s="9">
        <f t="shared" si="0"/>
        <v>1035</v>
      </c>
      <c r="E49" s="9">
        <f t="shared" si="1"/>
        <v>1062</v>
      </c>
      <c r="F49" s="9">
        <f t="shared" si="2"/>
        <v>1122</v>
      </c>
      <c r="G49" s="9">
        <f t="shared" si="3"/>
        <v>1221</v>
      </c>
      <c r="H49" s="9">
        <f t="shared" si="4"/>
        <v>1364</v>
      </c>
      <c r="J49" s="1"/>
      <c r="K49" s="1"/>
    </row>
    <row r="50" spans="3:11" x14ac:dyDescent="0.15">
      <c r="C50" s="1">
        <v>43</v>
      </c>
      <c r="D50" s="9">
        <f t="shared" si="0"/>
        <v>1059</v>
      </c>
      <c r="E50" s="9">
        <f t="shared" si="1"/>
        <v>1088</v>
      </c>
      <c r="F50" s="9">
        <f t="shared" si="2"/>
        <v>1149</v>
      </c>
      <c r="G50" s="9">
        <f t="shared" si="3"/>
        <v>1250</v>
      </c>
      <c r="H50" s="9">
        <f t="shared" si="4"/>
        <v>1396</v>
      </c>
      <c r="J50" s="1"/>
      <c r="K50" s="1"/>
    </row>
    <row r="51" spans="3:11" x14ac:dyDescent="0.15">
      <c r="C51" s="1">
        <v>44</v>
      </c>
      <c r="D51" s="9">
        <f t="shared" si="0"/>
        <v>1084</v>
      </c>
      <c r="E51" s="9">
        <f t="shared" si="1"/>
        <v>1113</v>
      </c>
      <c r="F51" s="9">
        <f t="shared" si="2"/>
        <v>1175</v>
      </c>
      <c r="G51" s="9">
        <f t="shared" si="3"/>
        <v>1279</v>
      </c>
      <c r="H51" s="9">
        <f t="shared" si="4"/>
        <v>1429</v>
      </c>
      <c r="J51" s="1"/>
      <c r="K51" s="1"/>
    </row>
    <row r="52" spans="3:11" x14ac:dyDescent="0.15">
      <c r="C52" s="7">
        <v>45</v>
      </c>
      <c r="D52" s="8">
        <f t="shared" si="0"/>
        <v>1108</v>
      </c>
      <c r="E52" s="8">
        <f t="shared" si="1"/>
        <v>1138</v>
      </c>
      <c r="F52" s="8">
        <f t="shared" si="2"/>
        <v>1202</v>
      </c>
      <c r="G52" s="8">
        <f t="shared" si="3"/>
        <v>1308</v>
      </c>
      <c r="H52" s="8">
        <f t="shared" si="4"/>
        <v>1461</v>
      </c>
      <c r="J52" s="1"/>
      <c r="K52" s="1"/>
    </row>
    <row r="53" spans="3:11" x14ac:dyDescent="0.15">
      <c r="C53" s="1">
        <v>46</v>
      </c>
      <c r="D53" s="9">
        <f t="shared" si="0"/>
        <v>1133</v>
      </c>
      <c r="E53" s="9">
        <f t="shared" si="1"/>
        <v>1164</v>
      </c>
      <c r="F53" s="9">
        <f t="shared" si="2"/>
        <v>1229</v>
      </c>
      <c r="G53" s="9">
        <f t="shared" si="3"/>
        <v>1337</v>
      </c>
      <c r="H53" s="9">
        <f t="shared" si="4"/>
        <v>1494</v>
      </c>
      <c r="J53" s="1"/>
      <c r="K53" s="1"/>
    </row>
    <row r="54" spans="3:11" x14ac:dyDescent="0.15">
      <c r="C54" s="1">
        <v>47</v>
      </c>
      <c r="D54" s="9">
        <f t="shared" si="0"/>
        <v>1158</v>
      </c>
      <c r="E54" s="9">
        <f t="shared" si="1"/>
        <v>1189</v>
      </c>
      <c r="F54" s="9">
        <f t="shared" si="2"/>
        <v>1256</v>
      </c>
      <c r="G54" s="9">
        <f t="shared" si="3"/>
        <v>1366</v>
      </c>
      <c r="H54" s="9">
        <f t="shared" si="4"/>
        <v>1526</v>
      </c>
      <c r="J54" s="1"/>
      <c r="K54" s="1"/>
    </row>
    <row r="55" spans="3:11" x14ac:dyDescent="0.15">
      <c r="C55" s="1">
        <v>48</v>
      </c>
      <c r="D55" s="9">
        <f t="shared" si="0"/>
        <v>1182</v>
      </c>
      <c r="E55" s="9">
        <f t="shared" si="1"/>
        <v>1214</v>
      </c>
      <c r="F55" s="9">
        <f t="shared" si="2"/>
        <v>1282</v>
      </c>
      <c r="G55" s="9">
        <f t="shared" si="3"/>
        <v>1395</v>
      </c>
      <c r="H55" s="9">
        <f t="shared" si="4"/>
        <v>1559</v>
      </c>
      <c r="J55" s="1"/>
      <c r="K55" s="1"/>
    </row>
    <row r="56" spans="3:11" x14ac:dyDescent="0.15">
      <c r="C56" s="1">
        <v>49</v>
      </c>
      <c r="D56" s="9">
        <f t="shared" si="0"/>
        <v>1207</v>
      </c>
      <c r="E56" s="9">
        <f t="shared" si="1"/>
        <v>1240</v>
      </c>
      <c r="F56" s="9">
        <f t="shared" si="2"/>
        <v>1309</v>
      </c>
      <c r="G56" s="9">
        <f t="shared" si="3"/>
        <v>1424</v>
      </c>
      <c r="H56" s="9">
        <f t="shared" si="4"/>
        <v>1591</v>
      </c>
      <c r="J56" s="1"/>
      <c r="K56" s="1"/>
    </row>
    <row r="57" spans="3:11" x14ac:dyDescent="0.15">
      <c r="C57" s="7">
        <v>50</v>
      </c>
      <c r="D57" s="8">
        <f t="shared" si="0"/>
        <v>1232</v>
      </c>
      <c r="E57" s="8">
        <f t="shared" si="1"/>
        <v>1265</v>
      </c>
      <c r="F57" s="8">
        <f t="shared" si="2"/>
        <v>1336</v>
      </c>
      <c r="G57" s="8">
        <f t="shared" si="3"/>
        <v>1453</v>
      </c>
      <c r="H57" s="8">
        <f t="shared" si="4"/>
        <v>1624</v>
      </c>
      <c r="J57" s="1"/>
      <c r="K57" s="1"/>
    </row>
  </sheetData>
  <mergeCells count="1">
    <mergeCell ref="C3:H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AE57"/>
  <sheetViews>
    <sheetView workbookViewId="0">
      <pane ySplit="7" topLeftCell="A8" activePane="bottomLeft" state="frozen"/>
      <selection pane="bottomLeft" activeCell="D8" sqref="D8"/>
    </sheetView>
  </sheetViews>
  <sheetFormatPr defaultRowHeight="12" x14ac:dyDescent="0.15"/>
  <cols>
    <col min="1" max="1" width="9.625" style="36" bestFit="1" customWidth="1"/>
    <col min="2" max="8" width="9" style="36"/>
    <col min="9" max="9" width="13.375" style="36" bestFit="1" customWidth="1"/>
    <col min="10" max="10" width="8" style="36" bestFit="1" customWidth="1"/>
    <col min="11" max="16384" width="9" style="36"/>
  </cols>
  <sheetData>
    <row r="5" spans="1:31" x14ac:dyDescent="0.15">
      <c r="C5" s="36" t="s">
        <v>230</v>
      </c>
      <c r="D5" s="36">
        <f>SUM(G8:G57)*D6</f>
        <v>2728938</v>
      </c>
      <c r="I5" s="36" t="s">
        <v>230</v>
      </c>
      <c r="J5" s="36">
        <f>SUM(M8:M57)*J6</f>
        <v>13897840</v>
      </c>
      <c r="O5" s="36" t="s">
        <v>230</v>
      </c>
      <c r="P5" s="36">
        <f>SUM(S8:S57)*P6</f>
        <v>4022960</v>
      </c>
      <c r="U5" s="36" t="s">
        <v>230</v>
      </c>
      <c r="V5" s="36">
        <f>SUM(Y8:Y57)*V6</f>
        <v>4119288</v>
      </c>
      <c r="AA5" s="36" t="s">
        <v>230</v>
      </c>
      <c r="AB5" s="36">
        <f>SUM(AE8:AE57)*AB6</f>
        <v>4594478</v>
      </c>
    </row>
    <row r="6" spans="1:31" x14ac:dyDescent="0.15">
      <c r="C6" s="36" t="s">
        <v>216</v>
      </c>
      <c r="D6" s="36">
        <v>1</v>
      </c>
      <c r="I6" s="36" t="s">
        <v>216</v>
      </c>
      <c r="J6" s="36">
        <v>4</v>
      </c>
      <c r="O6" s="36" t="s">
        <v>216</v>
      </c>
      <c r="P6" s="36">
        <v>1</v>
      </c>
      <c r="U6" s="36" t="s">
        <v>216</v>
      </c>
      <c r="V6" s="36">
        <v>1</v>
      </c>
      <c r="AA6" s="36" t="s">
        <v>216</v>
      </c>
      <c r="AB6" s="36">
        <v>1</v>
      </c>
    </row>
    <row r="7" spans="1:31" x14ac:dyDescent="0.15">
      <c r="A7" s="41" t="s">
        <v>233</v>
      </c>
      <c r="B7" s="36" t="s">
        <v>214</v>
      </c>
      <c r="C7" s="36" t="s">
        <v>215</v>
      </c>
      <c r="D7" s="36" t="s">
        <v>231</v>
      </c>
      <c r="E7" s="36" t="s">
        <v>217</v>
      </c>
      <c r="F7" s="36" t="s">
        <v>218</v>
      </c>
      <c r="G7" s="36" t="s">
        <v>226</v>
      </c>
      <c r="I7" s="36" t="s">
        <v>225</v>
      </c>
      <c r="J7" s="36" t="s">
        <v>232</v>
      </c>
      <c r="K7" s="36" t="s">
        <v>217</v>
      </c>
      <c r="L7" s="36" t="s">
        <v>218</v>
      </c>
      <c r="M7" s="36" t="s">
        <v>227</v>
      </c>
      <c r="O7" s="36" t="s">
        <v>224</v>
      </c>
      <c r="P7" s="36" t="s">
        <v>232</v>
      </c>
      <c r="Q7" s="36" t="s">
        <v>217</v>
      </c>
      <c r="R7" s="36" t="s">
        <v>218</v>
      </c>
      <c r="S7" s="36" t="s">
        <v>228</v>
      </c>
      <c r="U7" s="36" t="s">
        <v>219</v>
      </c>
      <c r="V7" s="36" t="s">
        <v>232</v>
      </c>
      <c r="W7" s="36" t="s">
        <v>217</v>
      </c>
      <c r="X7" s="36" t="s">
        <v>218</v>
      </c>
      <c r="Y7" s="36" t="s">
        <v>229</v>
      </c>
      <c r="AA7" s="36" t="s">
        <v>220</v>
      </c>
      <c r="AB7" s="36" t="s">
        <v>232</v>
      </c>
      <c r="AC7" s="36" t="s">
        <v>217</v>
      </c>
      <c r="AD7" s="36" t="s">
        <v>218</v>
      </c>
      <c r="AE7" s="36" t="s">
        <v>228</v>
      </c>
    </row>
    <row r="8" spans="1:31" x14ac:dyDescent="0.15">
      <c r="A8" s="41">
        <f>G8+M8*4+S8+Y8+AE8</f>
        <v>1458</v>
      </c>
      <c r="B8" s="36">
        <v>1</v>
      </c>
      <c r="C8" s="36">
        <f>怪物属性!R11</f>
        <v>300</v>
      </c>
      <c r="D8" s="36">
        <v>1</v>
      </c>
      <c r="E8" s="36">
        <v>1</v>
      </c>
      <c r="F8" s="36">
        <v>0</v>
      </c>
      <c r="G8" s="36">
        <f>IFERROR(IF(E8=1,0,VLOOKUP(D8,装备升级!$AM$7:$AQ$56,E8,FALSE))+IF(F8=0,0,VLOOKUP(D8,装备强化!$AP$9:$AZ$58,F8+1,FALSE)),"0")</f>
        <v>0</v>
      </c>
      <c r="I8" s="36">
        <f>怪物属性!T11</f>
        <v>198</v>
      </c>
      <c r="J8" s="36">
        <v>1</v>
      </c>
      <c r="K8" s="36">
        <v>1</v>
      </c>
      <c r="L8" s="36">
        <v>0</v>
      </c>
      <c r="M8" s="36">
        <f>IFERROR(IF(K8=1,0,VLOOKUP(J8,装备升级!$AM$7:$AQ$56,K8,FALSE))+IF(L8=0,0,VLOOKUP(J8,装备强化!$AP$9:$AZ$58,L8+1,FALSE)),"0")</f>
        <v>0</v>
      </c>
      <c r="O8" s="36">
        <f>怪物属性!AF11</f>
        <v>324</v>
      </c>
      <c r="P8" s="36">
        <v>1</v>
      </c>
      <c r="Q8" s="36">
        <v>1</v>
      </c>
      <c r="R8" s="36">
        <v>3</v>
      </c>
      <c r="S8" s="36">
        <f>IFERROR(IF(Q8=1,0,VLOOKUP(P8,装备升级!$AM$7:$AQ$56,Q8,FALSE))+IF(R8=0,0,VLOOKUP(P8,装备强化!$AP$9:$AZ$58,R8+1,FALSE)),"0")</f>
        <v>614</v>
      </c>
      <c r="U8" s="36">
        <f>怪物属性!X11</f>
        <v>120</v>
      </c>
      <c r="V8" s="36">
        <v>1</v>
      </c>
      <c r="W8" s="36">
        <v>1</v>
      </c>
      <c r="X8" s="36">
        <v>0</v>
      </c>
      <c r="Y8" s="36">
        <f>IFERROR(IF(W8=1,0,VLOOKUP(V8,装备升级!$AM$7:$AQ$56,W8,FALSE))+IF(X8=0,0,VLOOKUP(V8,装备强化!$AP$9:$AZ$58,X8+1,FALSE)),"0")</f>
        <v>0</v>
      </c>
      <c r="AA8" s="36">
        <f>怪物属性!AB11</f>
        <v>220</v>
      </c>
      <c r="AB8" s="36">
        <v>1</v>
      </c>
      <c r="AC8" s="36">
        <v>1</v>
      </c>
      <c r="AD8" s="36">
        <v>4</v>
      </c>
      <c r="AE8" s="36">
        <f>IFERROR(IF(AC8=1,0,VLOOKUP(AB8,装备升级!$AM$7:$AQ$56,AC8,FALSE))+IF(AD8=0,0,VLOOKUP(AB8,装备强化!$AP$9:$AZ$58,AD8+1,FALSE)),"0")</f>
        <v>844</v>
      </c>
    </row>
    <row r="9" spans="1:31" x14ac:dyDescent="0.15">
      <c r="A9" s="41">
        <f t="shared" ref="A9:A57" si="0">G9+M9*4+S9+Y9+AE9</f>
        <v>2598</v>
      </c>
      <c r="B9" s="36">
        <v>2</v>
      </c>
      <c r="C9" s="36">
        <f>怪物属性!R12</f>
        <v>314</v>
      </c>
      <c r="D9" s="36">
        <v>1</v>
      </c>
      <c r="E9" s="36">
        <v>1</v>
      </c>
      <c r="F9" s="36">
        <v>2</v>
      </c>
      <c r="G9" s="36">
        <f>IFERROR(IF(E9=1,0,VLOOKUP(D9,装备升级!$AM$7:$AQ$56,E9,FALSE))+IF(F9=0,0,VLOOKUP(D9,装备强化!$AP$9:$AZ$58,F9+1,FALSE)),"0")</f>
        <v>402</v>
      </c>
      <c r="I9" s="36">
        <f>怪物属性!T12</f>
        <v>211</v>
      </c>
      <c r="J9" s="36">
        <v>1</v>
      </c>
      <c r="K9" s="36">
        <v>1</v>
      </c>
      <c r="L9" s="36">
        <v>0</v>
      </c>
      <c r="M9" s="36">
        <f>IFERROR(IF(K9=1,0,VLOOKUP(J9,装备升级!$AM$7:$AQ$56,K9,FALSE))+IF(L9=0,0,VLOOKUP(J9,装备强化!$AP$9:$AZ$58,L9+1,FALSE)),"0")</f>
        <v>0</v>
      </c>
      <c r="O9" s="36">
        <f>怪物属性!AF12</f>
        <v>338</v>
      </c>
      <c r="P9" s="36">
        <v>1</v>
      </c>
      <c r="Q9" s="36">
        <v>1</v>
      </c>
      <c r="R9" s="36">
        <v>5</v>
      </c>
      <c r="S9" s="36">
        <f>IFERROR(IF(Q9=1,0,VLOOKUP(P9,装备升级!$AM$7:$AQ$56,Q9,FALSE))+IF(R9=0,0,VLOOKUP(P9,装备强化!$AP$9:$AZ$58,R9+1,FALSE)),"0")</f>
        <v>1098</v>
      </c>
      <c r="U9" s="36">
        <f>怪物属性!X12</f>
        <v>133</v>
      </c>
      <c r="V9" s="36">
        <v>1</v>
      </c>
      <c r="W9" s="36">
        <v>1</v>
      </c>
      <c r="X9" s="36">
        <v>0</v>
      </c>
      <c r="Y9" s="36">
        <f>IFERROR(IF(W9=1,0,VLOOKUP(V9,装备升级!$AM$7:$AQ$56,W9,FALSE))+IF(X9=0,0,VLOOKUP(V9,装备强化!$AP$9:$AZ$58,X9+1,FALSE)),"0")</f>
        <v>0</v>
      </c>
      <c r="AA9" s="36">
        <f>怪物属性!AB12</f>
        <v>233</v>
      </c>
      <c r="AB9" s="36">
        <v>1</v>
      </c>
      <c r="AC9" s="36">
        <v>1</v>
      </c>
      <c r="AD9" s="36">
        <v>5</v>
      </c>
      <c r="AE9" s="36">
        <f>IFERROR(IF(AC9=1,0,VLOOKUP(AB9,装备升级!$AM$7:$AQ$56,AC9,FALSE))+IF(AD9=0,0,VLOOKUP(AB9,装备强化!$AP$9:$AZ$58,AD9+1,FALSE)),"0")</f>
        <v>1098</v>
      </c>
    </row>
    <row r="10" spans="1:31" x14ac:dyDescent="0.15">
      <c r="A10" s="41">
        <f t="shared" si="0"/>
        <v>3324</v>
      </c>
      <c r="B10" s="36">
        <v>3</v>
      </c>
      <c r="C10" s="36">
        <f>怪物属性!R13</f>
        <v>327</v>
      </c>
      <c r="D10" s="36">
        <v>1</v>
      </c>
      <c r="E10" s="36">
        <v>1</v>
      </c>
      <c r="F10" s="36">
        <v>4</v>
      </c>
      <c r="G10" s="36">
        <f>IFERROR(IF(E10=1,0,VLOOKUP(D10,装备升级!$AM$7:$AQ$56,E10,FALSE))+IF(F10=0,0,VLOOKUP(D10,装备强化!$AP$9:$AZ$58,F10+1,FALSE)),"0")</f>
        <v>844</v>
      </c>
      <c r="I10" s="36">
        <f>怪物属性!T13</f>
        <v>224</v>
      </c>
      <c r="J10" s="36">
        <v>1</v>
      </c>
      <c r="K10" s="36">
        <v>1</v>
      </c>
      <c r="L10" s="36">
        <v>0</v>
      </c>
      <c r="M10" s="36">
        <f>IFERROR(IF(K10=1,0,VLOOKUP(J10,装备升级!$AM$7:$AQ$56,K10,FALSE))+IF(L10=0,0,VLOOKUP(J10,装备强化!$AP$9:$AZ$58,L10+1,FALSE)),"0")</f>
        <v>0</v>
      </c>
      <c r="O10" s="36">
        <f>怪物属性!AF13</f>
        <v>351</v>
      </c>
      <c r="P10" s="36">
        <v>1</v>
      </c>
      <c r="Q10" s="36">
        <v>1</v>
      </c>
      <c r="R10" s="36">
        <v>5</v>
      </c>
      <c r="S10" s="36">
        <f>IFERROR(IF(Q10=1,0,VLOOKUP(P10,装备升级!$AM$7:$AQ$56,Q10,FALSE))+IF(R10=0,0,VLOOKUP(P10,装备强化!$AP$9:$AZ$58,R10+1,FALSE)),"0")</f>
        <v>1098</v>
      </c>
      <c r="U10" s="36">
        <f>怪物属性!X13</f>
        <v>146</v>
      </c>
      <c r="V10" s="36">
        <v>1</v>
      </c>
      <c r="W10" s="36">
        <v>1</v>
      </c>
      <c r="X10" s="36">
        <v>0</v>
      </c>
      <c r="Y10" s="36">
        <f>IFERROR(IF(W10=1,0,VLOOKUP(V10,装备升级!$AM$7:$AQ$56,W10,FALSE))+IF(X10=0,0,VLOOKUP(V10,装备强化!$AP$9:$AZ$58,X10+1,FALSE)),"0")</f>
        <v>0</v>
      </c>
      <c r="AA10" s="36">
        <f>怪物属性!AB13</f>
        <v>246</v>
      </c>
      <c r="AB10" s="36">
        <v>1</v>
      </c>
      <c r="AC10" s="36">
        <v>1</v>
      </c>
      <c r="AD10" s="36">
        <v>6</v>
      </c>
      <c r="AE10" s="36">
        <f>IFERROR(IF(AC10=1,0,VLOOKUP(AB10,装备升级!$AM$7:$AQ$56,AC10,FALSE))+IF(AD10=0,0,VLOOKUP(AB10,装备强化!$AP$9:$AZ$58,AD10+1,FALSE)),"0")</f>
        <v>1382</v>
      </c>
    </row>
    <row r="11" spans="1:31" x14ac:dyDescent="0.15">
      <c r="A11" s="41">
        <f t="shared" si="0"/>
        <v>6640</v>
      </c>
      <c r="B11" s="36">
        <v>4</v>
      </c>
      <c r="C11" s="36">
        <f>怪物属性!R14</f>
        <v>341</v>
      </c>
      <c r="D11" s="36">
        <v>1</v>
      </c>
      <c r="E11" s="36">
        <v>1</v>
      </c>
      <c r="F11" s="36">
        <v>5</v>
      </c>
      <c r="G11" s="36">
        <f>IFERROR(IF(E11=1,0,VLOOKUP(D11,装备升级!$AM$7:$AQ$56,E11,FALSE))+IF(F11=0,0,VLOOKUP(D11,装备强化!$AP$9:$AZ$58,F11+1,FALSE)),"0")</f>
        <v>1098</v>
      </c>
      <c r="I11" s="36">
        <f>怪物属性!T14</f>
        <v>237</v>
      </c>
      <c r="J11" s="36">
        <v>1</v>
      </c>
      <c r="K11" s="36">
        <v>1</v>
      </c>
      <c r="L11" s="36">
        <v>3</v>
      </c>
      <c r="M11" s="36">
        <f>IFERROR(IF(K11=1,0,VLOOKUP(J11,装备升级!$AM$7:$AQ$56,K11,FALSE))+IF(L11=0,0,VLOOKUP(J11,装备强化!$AP$9:$AZ$58,L11+1,FALSE)),"0")</f>
        <v>614</v>
      </c>
      <c r="O11" s="36">
        <f>怪物属性!AF14</f>
        <v>365</v>
      </c>
      <c r="P11" s="36">
        <v>1</v>
      </c>
      <c r="Q11" s="36">
        <v>1</v>
      </c>
      <c r="R11" s="36">
        <v>6</v>
      </c>
      <c r="S11" s="36">
        <f>IFERROR(IF(Q11=1,0,VLOOKUP(P11,装备升级!$AM$7:$AQ$56,Q11,FALSE))+IF(R11=0,0,VLOOKUP(P11,装备强化!$AP$9:$AZ$58,R11+1,FALSE)),"0")</f>
        <v>1382</v>
      </c>
      <c r="U11" s="36">
        <f>怪物属性!X14</f>
        <v>159</v>
      </c>
      <c r="V11" s="36">
        <v>1</v>
      </c>
      <c r="W11" s="36">
        <v>1</v>
      </c>
      <c r="X11" s="36">
        <v>0</v>
      </c>
      <c r="Y11" s="36">
        <f>IFERROR(IF(W11=1,0,VLOOKUP(V11,装备升级!$AM$7:$AQ$56,W11,FALSE))+IF(X11=0,0,VLOOKUP(V11,装备强化!$AP$9:$AZ$58,X11+1,FALSE)),"0")</f>
        <v>0</v>
      </c>
      <c r="AA11" s="36">
        <f>怪物属性!AB14</f>
        <v>259</v>
      </c>
      <c r="AB11" s="36">
        <v>1</v>
      </c>
      <c r="AC11" s="36">
        <v>1</v>
      </c>
      <c r="AD11" s="36">
        <v>7</v>
      </c>
      <c r="AE11" s="36">
        <f>IFERROR(IF(AC11=1,0,VLOOKUP(AB11,装备升级!$AM$7:$AQ$56,AC11,FALSE))+IF(AD11=0,0,VLOOKUP(AB11,装备强化!$AP$9:$AZ$58,AD11+1,FALSE)),"0")</f>
        <v>1704</v>
      </c>
    </row>
    <row r="12" spans="1:31" x14ac:dyDescent="0.15">
      <c r="A12" s="41">
        <f t="shared" si="0"/>
        <v>8248</v>
      </c>
      <c r="B12" s="36">
        <v>5</v>
      </c>
      <c r="C12" s="36">
        <f>怪物属性!R15</f>
        <v>354</v>
      </c>
      <c r="D12" s="36">
        <v>1</v>
      </c>
      <c r="E12" s="36">
        <v>1</v>
      </c>
      <c r="F12" s="36">
        <v>5</v>
      </c>
      <c r="G12" s="36">
        <f>IFERROR(IF(E12=1,0,VLOOKUP(D12,装备升级!$AM$7:$AQ$56,E12,FALSE))+IF(F12=0,0,VLOOKUP(D12,装备强化!$AP$9:$AZ$58,F12+1,FALSE)),"0")</f>
        <v>1098</v>
      </c>
      <c r="I12" s="36">
        <f>怪物属性!T15</f>
        <v>251</v>
      </c>
      <c r="J12" s="36">
        <v>1</v>
      </c>
      <c r="K12" s="36">
        <v>1</v>
      </c>
      <c r="L12" s="36">
        <v>4</v>
      </c>
      <c r="M12" s="36">
        <f>IFERROR(IF(K12=1,0,VLOOKUP(J12,装备升级!$AM$7:$AQ$56,K12,FALSE))+IF(L12=0,0,VLOOKUP(J12,装备强化!$AP$9:$AZ$58,L12+1,FALSE)),"0")</f>
        <v>844</v>
      </c>
      <c r="O12" s="36">
        <f>怪物属性!AF15</f>
        <v>379</v>
      </c>
      <c r="P12" s="36">
        <v>1</v>
      </c>
      <c r="Q12" s="36">
        <v>1</v>
      </c>
      <c r="R12" s="36">
        <v>7</v>
      </c>
      <c r="S12" s="36">
        <f>IFERROR(IF(Q12=1,0,VLOOKUP(P12,装备升级!$AM$7:$AQ$56,Q12,FALSE))+IF(R12=0,0,VLOOKUP(P12,装备强化!$AP$9:$AZ$58,R12+1,FALSE)),"0")</f>
        <v>1704</v>
      </c>
      <c r="U12" s="36">
        <f>怪物属性!X15</f>
        <v>172</v>
      </c>
      <c r="V12" s="36">
        <v>1</v>
      </c>
      <c r="W12" s="36">
        <v>1</v>
      </c>
      <c r="X12" s="36">
        <v>0</v>
      </c>
      <c r="Y12" s="36">
        <f>IFERROR(IF(W12=1,0,VLOOKUP(V12,装备升级!$AM$7:$AQ$56,W12,FALSE))+IF(X12=0,0,VLOOKUP(V12,装备强化!$AP$9:$AZ$58,X12+1,FALSE)),"0")</f>
        <v>0</v>
      </c>
      <c r="AA12" s="36">
        <f>怪物属性!AB15</f>
        <v>272</v>
      </c>
      <c r="AB12" s="36">
        <v>1</v>
      </c>
      <c r="AC12" s="36">
        <v>1</v>
      </c>
      <c r="AD12" s="36">
        <v>8</v>
      </c>
      <c r="AE12" s="36">
        <f>IFERROR(IF(AC12=1,0,VLOOKUP(AB12,装备升级!$AM$7:$AQ$56,AC12,FALSE))+IF(AD12=0,0,VLOOKUP(AB12,装备强化!$AP$9:$AZ$58,AD12+1,FALSE)),"0")</f>
        <v>2070</v>
      </c>
    </row>
    <row r="13" spans="1:31" x14ac:dyDescent="0.15">
      <c r="A13" s="41">
        <f t="shared" si="0"/>
        <v>9964</v>
      </c>
      <c r="B13" s="36">
        <v>6</v>
      </c>
      <c r="C13" s="36">
        <f>怪物属性!R16</f>
        <v>368</v>
      </c>
      <c r="D13" s="36">
        <v>1</v>
      </c>
      <c r="E13" s="36">
        <v>1</v>
      </c>
      <c r="F13" s="36">
        <v>6</v>
      </c>
      <c r="G13" s="36">
        <f>IFERROR(IF(E13=1,0,VLOOKUP(D13,装备升级!$AM$7:$AQ$56,E13,FALSE))+IF(F13=0,0,VLOOKUP(D13,装备强化!$AP$9:$AZ$58,F13+1,FALSE)),"0")</f>
        <v>1382</v>
      </c>
      <c r="I13" s="36">
        <f>怪物属性!T16</f>
        <v>264</v>
      </c>
      <c r="J13" s="36">
        <v>1</v>
      </c>
      <c r="K13" s="36">
        <v>1</v>
      </c>
      <c r="L13" s="36">
        <v>5</v>
      </c>
      <c r="M13" s="36">
        <f>IFERROR(IF(K13=1,0,VLOOKUP(J13,装备升级!$AM$7:$AQ$56,K13,FALSE))+IF(L13=0,0,VLOOKUP(J13,装备强化!$AP$9:$AZ$58,L13+1,FALSE)),"0")</f>
        <v>1098</v>
      </c>
      <c r="O13" s="36">
        <f>怪物属性!AF16</f>
        <v>393</v>
      </c>
      <c r="P13" s="36">
        <v>1</v>
      </c>
      <c r="Q13" s="36">
        <v>1</v>
      </c>
      <c r="R13" s="36">
        <v>7</v>
      </c>
      <c r="S13" s="36">
        <f>IFERROR(IF(Q13=1,0,VLOOKUP(P13,装备升级!$AM$7:$AQ$56,Q13,FALSE))+IF(R13=0,0,VLOOKUP(P13,装备强化!$AP$9:$AZ$58,R13+1,FALSE)),"0")</f>
        <v>1704</v>
      </c>
      <c r="U13" s="36">
        <f>怪物属性!X16</f>
        <v>185</v>
      </c>
      <c r="V13" s="36">
        <v>1</v>
      </c>
      <c r="W13" s="36">
        <v>1</v>
      </c>
      <c r="X13" s="36">
        <v>0</v>
      </c>
      <c r="Y13" s="36">
        <f>IFERROR(IF(W13=1,0,VLOOKUP(V13,装备升级!$AM$7:$AQ$56,W13,FALSE))+IF(X13=0,0,VLOOKUP(V13,装备强化!$AP$9:$AZ$58,X13+1,FALSE)),"0")</f>
        <v>0</v>
      </c>
      <c r="AA13" s="36">
        <f>怪物属性!AB16</f>
        <v>286</v>
      </c>
      <c r="AB13" s="36">
        <v>1</v>
      </c>
      <c r="AC13" s="36">
        <v>1</v>
      </c>
      <c r="AD13" s="36">
        <v>9</v>
      </c>
      <c r="AE13" s="36">
        <f>IFERROR(IF(AC13=1,0,VLOOKUP(AB13,装备升级!$AM$7:$AQ$56,AC13,FALSE))+IF(AD13=0,0,VLOOKUP(AB13,装备强化!$AP$9:$AZ$58,AD13+1,FALSE)),"0")</f>
        <v>2486</v>
      </c>
    </row>
    <row r="14" spans="1:31" x14ac:dyDescent="0.15">
      <c r="A14" s="41">
        <f t="shared" si="0"/>
        <v>11788</v>
      </c>
      <c r="B14" s="36">
        <v>7</v>
      </c>
      <c r="C14" s="36">
        <f>怪物属性!R17</f>
        <v>383</v>
      </c>
      <c r="D14" s="36">
        <v>1</v>
      </c>
      <c r="E14" s="36">
        <v>1</v>
      </c>
      <c r="F14" s="36">
        <v>7</v>
      </c>
      <c r="G14" s="36">
        <f>IFERROR(IF(E14=1,0,VLOOKUP(D14,装备升级!$AM$7:$AQ$56,E14,FALSE))+IF(F14=0,0,VLOOKUP(D14,装备强化!$AP$9:$AZ$58,F14+1,FALSE)),"0")</f>
        <v>1704</v>
      </c>
      <c r="I14" s="36">
        <f>怪物属性!T17</f>
        <v>278</v>
      </c>
      <c r="J14" s="36">
        <v>1</v>
      </c>
      <c r="K14" s="36">
        <v>1</v>
      </c>
      <c r="L14" s="36">
        <v>6</v>
      </c>
      <c r="M14" s="36">
        <f>IFERROR(IF(K14=1,0,VLOOKUP(J14,装备升级!$AM$7:$AQ$56,K14,FALSE))+IF(L14=0,0,VLOOKUP(J14,装备强化!$AP$9:$AZ$58,L14+1,FALSE)),"0")</f>
        <v>1382</v>
      </c>
      <c r="O14" s="36">
        <f>怪物属性!AF17</f>
        <v>408</v>
      </c>
      <c r="P14" s="36">
        <v>1</v>
      </c>
      <c r="Q14" s="36">
        <v>1</v>
      </c>
      <c r="R14" s="36">
        <v>8</v>
      </c>
      <c r="S14" s="36">
        <f>IFERROR(IF(Q14=1,0,VLOOKUP(P14,装备升级!$AM$7:$AQ$56,Q14,FALSE))+IF(R14=0,0,VLOOKUP(P14,装备强化!$AP$9:$AZ$58,R14+1,FALSE)),"0")</f>
        <v>2070</v>
      </c>
      <c r="U14" s="36">
        <f>怪物属性!X17</f>
        <v>199</v>
      </c>
      <c r="V14" s="36">
        <v>1</v>
      </c>
      <c r="W14" s="36">
        <v>1</v>
      </c>
      <c r="X14" s="36">
        <v>0</v>
      </c>
      <c r="Y14" s="36">
        <f>IFERROR(IF(W14=1,0,VLOOKUP(V14,装备升级!$AM$7:$AQ$56,W14,FALSE))+IF(X14=0,0,VLOOKUP(V14,装备强化!$AP$9:$AZ$58,X14+1,FALSE)),"0")</f>
        <v>0</v>
      </c>
      <c r="AA14" s="36">
        <f>怪物属性!AB17</f>
        <v>299</v>
      </c>
      <c r="AB14" s="36">
        <v>1</v>
      </c>
      <c r="AC14" s="36">
        <v>1</v>
      </c>
      <c r="AD14" s="36">
        <v>9</v>
      </c>
      <c r="AE14" s="36">
        <f>IFERROR(IF(AC14=1,0,VLOOKUP(AB14,装备升级!$AM$7:$AQ$56,AC14,FALSE))+IF(AD14=0,0,VLOOKUP(AB14,装备强化!$AP$9:$AZ$58,AD14+1,FALSE)),"0")</f>
        <v>2486</v>
      </c>
    </row>
    <row r="15" spans="1:31" x14ac:dyDescent="0.15">
      <c r="A15" s="41">
        <f t="shared" si="0"/>
        <v>14164</v>
      </c>
      <c r="B15" s="36">
        <v>8</v>
      </c>
      <c r="C15" s="36">
        <f>怪物属性!R18</f>
        <v>397</v>
      </c>
      <c r="D15" s="36">
        <v>1</v>
      </c>
      <c r="E15" s="36">
        <v>1</v>
      </c>
      <c r="F15" s="36">
        <v>7</v>
      </c>
      <c r="G15" s="36">
        <f>IFERROR(IF(E15=1,0,VLOOKUP(D15,装备升级!$AM$7:$AQ$56,E15,FALSE))+IF(F15=0,0,VLOOKUP(D15,装备强化!$AP$9:$AZ$58,F15+1,FALSE)),"0")</f>
        <v>1704</v>
      </c>
      <c r="I15" s="36">
        <f>怪物属性!T18</f>
        <v>292</v>
      </c>
      <c r="J15" s="36">
        <v>1</v>
      </c>
      <c r="K15" s="36">
        <v>1</v>
      </c>
      <c r="L15" s="36">
        <v>7</v>
      </c>
      <c r="M15" s="36">
        <f>IFERROR(IF(K15=1,0,VLOOKUP(J15,装备升级!$AM$7:$AQ$56,K15,FALSE))+IF(L15=0,0,VLOOKUP(J15,装备强化!$AP$9:$AZ$58,L15+1,FALSE)),"0")</f>
        <v>1704</v>
      </c>
      <c r="O15" s="36">
        <f>怪物属性!AF18</f>
        <v>422</v>
      </c>
      <c r="P15" s="36">
        <v>1</v>
      </c>
      <c r="Q15" s="36">
        <v>1</v>
      </c>
      <c r="R15" s="36">
        <v>8</v>
      </c>
      <c r="S15" s="36">
        <f>IFERROR(IF(Q15=1,0,VLOOKUP(P15,装备升级!$AM$7:$AQ$56,Q15,FALSE))+IF(R15=0,0,VLOOKUP(P15,装备强化!$AP$9:$AZ$58,R15+1,FALSE)),"0")</f>
        <v>2070</v>
      </c>
      <c r="U15" s="36">
        <f>怪物属性!X18</f>
        <v>213</v>
      </c>
      <c r="V15" s="36">
        <v>1</v>
      </c>
      <c r="W15" s="36">
        <v>1</v>
      </c>
      <c r="X15" s="36">
        <v>3</v>
      </c>
      <c r="Y15" s="36">
        <f>IFERROR(IF(W15=1,0,VLOOKUP(V15,装备升级!$AM$7:$AQ$56,W15,FALSE))+IF(X15=0,0,VLOOKUP(V15,装备强化!$AP$9:$AZ$58,X15+1,FALSE)),"0")</f>
        <v>614</v>
      </c>
      <c r="AA15" s="36">
        <f>怪物属性!AB18</f>
        <v>313</v>
      </c>
      <c r="AB15" s="36">
        <v>1</v>
      </c>
      <c r="AC15" s="36">
        <v>1</v>
      </c>
      <c r="AD15" s="36">
        <v>10</v>
      </c>
      <c r="AE15" s="36">
        <f>IFERROR(IF(AC15=1,0,VLOOKUP(AB15,装备升级!$AM$7:$AQ$56,AC15,FALSE))+IF(AD15=0,0,VLOOKUP(AB15,装备强化!$AP$9:$AZ$58,AD15+1,FALSE)),"0")</f>
        <v>2960</v>
      </c>
    </row>
    <row r="16" spans="1:31" x14ac:dyDescent="0.15">
      <c r="A16" s="41">
        <f t="shared" si="0"/>
        <v>16894</v>
      </c>
      <c r="B16" s="36">
        <v>9</v>
      </c>
      <c r="C16" s="36">
        <f>怪物属性!R19</f>
        <v>412</v>
      </c>
      <c r="D16" s="36">
        <v>1</v>
      </c>
      <c r="E16" s="36">
        <v>1</v>
      </c>
      <c r="F16" s="36">
        <v>8</v>
      </c>
      <c r="G16" s="36">
        <f>IFERROR(IF(E16=1,0,VLOOKUP(D16,装备升级!$AM$7:$AQ$56,E16,FALSE))+IF(F16=0,0,VLOOKUP(D16,装备强化!$AP$9:$AZ$58,F16+1,FALSE)),"0")</f>
        <v>2070</v>
      </c>
      <c r="I16" s="36">
        <f>怪物属性!T19</f>
        <v>306</v>
      </c>
      <c r="J16" s="36">
        <v>1</v>
      </c>
      <c r="K16" s="36">
        <v>1</v>
      </c>
      <c r="L16" s="36">
        <v>8</v>
      </c>
      <c r="M16" s="36">
        <f>IFERROR(IF(K16=1,0,VLOOKUP(J16,装备升级!$AM$7:$AQ$56,K16,FALSE))+IF(L16=0,0,VLOOKUP(J16,装备强化!$AP$9:$AZ$58,L16+1,FALSE)),"0")</f>
        <v>2070</v>
      </c>
      <c r="O16" s="36">
        <f>怪物属性!AF19</f>
        <v>437</v>
      </c>
      <c r="P16" s="36">
        <v>1</v>
      </c>
      <c r="Q16" s="36">
        <v>1</v>
      </c>
      <c r="R16" s="36">
        <v>9</v>
      </c>
      <c r="S16" s="36">
        <f>IFERROR(IF(Q16=1,0,VLOOKUP(P16,装备升级!$AM$7:$AQ$56,Q16,FALSE))+IF(R16=0,0,VLOOKUP(P16,装备强化!$AP$9:$AZ$58,R16+1,FALSE)),"0")</f>
        <v>2486</v>
      </c>
      <c r="U16" s="36">
        <f>怪物属性!X19</f>
        <v>227</v>
      </c>
      <c r="V16" s="36">
        <v>1</v>
      </c>
      <c r="W16" s="36">
        <v>1</v>
      </c>
      <c r="X16" s="36">
        <v>5</v>
      </c>
      <c r="Y16" s="36">
        <f>IFERROR(IF(W16=1,0,VLOOKUP(V16,装备升级!$AM$7:$AQ$56,W16,FALSE))+IF(X16=0,0,VLOOKUP(V16,装备强化!$AP$9:$AZ$58,X16+1,FALSE)),"0")</f>
        <v>1098</v>
      </c>
      <c r="AA16" s="36">
        <f>怪物属性!AB19</f>
        <v>327</v>
      </c>
      <c r="AB16" s="36">
        <v>1</v>
      </c>
      <c r="AC16" s="36">
        <v>1</v>
      </c>
      <c r="AD16" s="36">
        <v>10</v>
      </c>
      <c r="AE16" s="36">
        <f>IFERROR(IF(AC16=1,0,VLOOKUP(AB16,装备升级!$AM$7:$AQ$56,AC16,FALSE))+IF(AD16=0,0,VLOOKUP(AB16,装备强化!$AP$9:$AZ$58,AD16+1,FALSE)),"0")</f>
        <v>2960</v>
      </c>
    </row>
    <row r="17" spans="1:31" x14ac:dyDescent="0.15">
      <c r="A17" s="41">
        <f t="shared" si="0"/>
        <v>17178</v>
      </c>
      <c r="B17" s="36">
        <v>10</v>
      </c>
      <c r="C17" s="36">
        <f>怪物属性!R20</f>
        <v>427</v>
      </c>
      <c r="D17" s="36">
        <v>1</v>
      </c>
      <c r="E17" s="36">
        <v>1</v>
      </c>
      <c r="F17" s="36">
        <v>8</v>
      </c>
      <c r="G17" s="36">
        <f>IFERROR(IF(E17=1,0,VLOOKUP(D17,装备升级!$AM$7:$AQ$56,E17,FALSE))+IF(F17=0,0,VLOOKUP(D17,装备强化!$AP$9:$AZ$58,F17+1,FALSE)),"0")</f>
        <v>2070</v>
      </c>
      <c r="I17" s="36">
        <f>怪物属性!T20</f>
        <v>320</v>
      </c>
      <c r="J17" s="36">
        <v>1</v>
      </c>
      <c r="K17" s="36">
        <v>1</v>
      </c>
      <c r="L17" s="36">
        <v>8</v>
      </c>
      <c r="M17" s="36">
        <f>IFERROR(IF(K17=1,0,VLOOKUP(J17,装备升级!$AM$7:$AQ$56,K17,FALSE))+IF(L17=0,0,VLOOKUP(J17,装备强化!$AP$9:$AZ$58,L17+1,FALSE)),"0")</f>
        <v>2070</v>
      </c>
      <c r="O17" s="36">
        <f>怪物属性!AF20</f>
        <v>453</v>
      </c>
      <c r="P17" s="36">
        <v>1</v>
      </c>
      <c r="Q17" s="36">
        <v>1</v>
      </c>
      <c r="R17" s="36">
        <v>9</v>
      </c>
      <c r="S17" s="36">
        <f>IFERROR(IF(Q17=1,0,VLOOKUP(P17,装备升级!$AM$7:$AQ$56,Q17,FALSE))+IF(R17=0,0,VLOOKUP(P17,装备强化!$AP$9:$AZ$58,R17+1,FALSE)),"0")</f>
        <v>2486</v>
      </c>
      <c r="U17" s="36">
        <f>怪物属性!X20</f>
        <v>241</v>
      </c>
      <c r="V17" s="36">
        <v>1</v>
      </c>
      <c r="W17" s="36">
        <v>1</v>
      </c>
      <c r="X17" s="36">
        <v>6</v>
      </c>
      <c r="Y17" s="36">
        <f>IFERROR(IF(W17=1,0,VLOOKUP(V17,装备升级!$AM$7:$AQ$56,W17,FALSE))+IF(X17=0,0,VLOOKUP(V17,装备强化!$AP$9:$AZ$58,X17+1,FALSE)),"0")</f>
        <v>1382</v>
      </c>
      <c r="AA17" s="36">
        <f>怪物属性!AB20</f>
        <v>341</v>
      </c>
      <c r="AB17" s="36">
        <v>1</v>
      </c>
      <c r="AC17" s="36">
        <v>1</v>
      </c>
      <c r="AD17" s="36">
        <v>10</v>
      </c>
      <c r="AE17" s="36">
        <f>IFERROR(IF(AC17=1,0,VLOOKUP(AB17,装备升级!$AM$7:$AQ$56,AC17,FALSE))+IF(AD17=0,0,VLOOKUP(AB17,装备强化!$AP$9:$AZ$58,AD17+1,FALSE)),"0")</f>
        <v>2960</v>
      </c>
    </row>
    <row r="18" spans="1:31" x14ac:dyDescent="0.15">
      <c r="A18" s="41">
        <f t="shared" si="0"/>
        <v>21028</v>
      </c>
      <c r="B18" s="36">
        <v>11</v>
      </c>
      <c r="C18" s="36">
        <f>怪物属性!R21</f>
        <v>443</v>
      </c>
      <c r="D18" s="36">
        <v>1</v>
      </c>
      <c r="E18" s="36">
        <v>1</v>
      </c>
      <c r="F18" s="36">
        <v>9</v>
      </c>
      <c r="G18" s="36">
        <f>IFERROR(IF(E18=1,0,VLOOKUP(D18,装备升级!$AM$7:$AQ$56,E18,FALSE))+IF(F18=0,0,VLOOKUP(D18,装备强化!$AP$9:$AZ$58,F18+1,FALSE)),"0")</f>
        <v>2486</v>
      </c>
      <c r="I18" s="36">
        <f>怪物属性!T21</f>
        <v>335</v>
      </c>
      <c r="J18" s="36">
        <v>1</v>
      </c>
      <c r="K18" s="36">
        <v>1</v>
      </c>
      <c r="L18" s="36">
        <v>9</v>
      </c>
      <c r="M18" s="36">
        <f>IFERROR(IF(K18=1,0,VLOOKUP(J18,装备升级!$AM$7:$AQ$56,K18,FALSE))+IF(L18=0,0,VLOOKUP(J18,装备强化!$AP$9:$AZ$58,L18+1,FALSE)),"0")</f>
        <v>2486</v>
      </c>
      <c r="O18" s="36">
        <f>怪物属性!AF21</f>
        <v>468</v>
      </c>
      <c r="P18" s="36">
        <v>1</v>
      </c>
      <c r="Q18" s="36">
        <v>1</v>
      </c>
      <c r="R18" s="36">
        <v>9</v>
      </c>
      <c r="S18" s="36">
        <f>IFERROR(IF(Q18=1,0,VLOOKUP(P18,装备升级!$AM$7:$AQ$56,Q18,FALSE))+IF(R18=0,0,VLOOKUP(P18,装备强化!$AP$9:$AZ$58,R18+1,FALSE)),"0")</f>
        <v>2486</v>
      </c>
      <c r="U18" s="36">
        <f>怪物属性!X21</f>
        <v>255</v>
      </c>
      <c r="V18" s="36">
        <v>1</v>
      </c>
      <c r="W18" s="36">
        <v>1</v>
      </c>
      <c r="X18" s="36">
        <v>7</v>
      </c>
      <c r="Y18" s="36">
        <f>IFERROR(IF(W18=1,0,VLOOKUP(V18,装备升级!$AM$7:$AQ$56,W18,FALSE))+IF(X18=0,0,VLOOKUP(V18,装备强化!$AP$9:$AZ$58,X18+1,FALSE)),"0")</f>
        <v>1704</v>
      </c>
      <c r="AA18" s="36">
        <f>怪物属性!AB21</f>
        <v>356</v>
      </c>
      <c r="AB18" s="36">
        <v>1</v>
      </c>
      <c r="AC18" s="36">
        <v>4</v>
      </c>
      <c r="AD18" s="36">
        <v>10</v>
      </c>
      <c r="AE18" s="36">
        <f>IFERROR(IF(AC18=1,0,VLOOKUP(AB18,装备升级!$AM$7:$AQ$56,AC18,FALSE))+IF(AD18=0,0,VLOOKUP(AB18,装备强化!$AP$9:$AZ$58,AD18+1,FALSE)),"0")</f>
        <v>4408</v>
      </c>
    </row>
    <row r="19" spans="1:31" x14ac:dyDescent="0.15">
      <c r="A19" s="41">
        <f t="shared" si="0"/>
        <v>22898</v>
      </c>
      <c r="B19" s="36">
        <v>12</v>
      </c>
      <c r="C19" s="36">
        <f>怪物属性!R22</f>
        <v>459</v>
      </c>
      <c r="D19" s="36">
        <v>1</v>
      </c>
      <c r="E19" s="36">
        <v>1</v>
      </c>
      <c r="F19" s="36">
        <v>9</v>
      </c>
      <c r="G19" s="36">
        <f>IFERROR(IF(E19=1,0,VLOOKUP(D19,装备升级!$AM$7:$AQ$56,E19,FALSE))+IF(F19=0,0,VLOOKUP(D19,装备强化!$AP$9:$AZ$58,F19+1,FALSE)),"0")</f>
        <v>2486</v>
      </c>
      <c r="I19" s="36">
        <f>怪物属性!T22</f>
        <v>350</v>
      </c>
      <c r="J19" s="36">
        <v>1</v>
      </c>
      <c r="K19" s="36">
        <v>1</v>
      </c>
      <c r="L19" s="36">
        <v>9</v>
      </c>
      <c r="M19" s="36">
        <f>IFERROR(IF(K19=1,0,VLOOKUP(J19,装备升级!$AM$7:$AQ$56,K19,FALSE))+IF(L19=0,0,VLOOKUP(J19,装备强化!$AP$9:$AZ$58,L19+1,FALSE)),"0")</f>
        <v>2486</v>
      </c>
      <c r="O19" s="36">
        <f>怪物属性!AF22</f>
        <v>484</v>
      </c>
      <c r="P19" s="36">
        <v>1</v>
      </c>
      <c r="Q19" s="36">
        <v>1</v>
      </c>
      <c r="R19" s="36">
        <v>10</v>
      </c>
      <c r="S19" s="36">
        <f>IFERROR(IF(Q19=1,0,VLOOKUP(P19,装备升级!$AM$7:$AQ$56,Q19,FALSE))+IF(R19=0,0,VLOOKUP(P19,装备强化!$AP$9:$AZ$58,R19+1,FALSE)),"0")</f>
        <v>2960</v>
      </c>
      <c r="U19" s="36">
        <f>怪物属性!X22</f>
        <v>270</v>
      </c>
      <c r="V19" s="36">
        <v>1</v>
      </c>
      <c r="W19" s="36">
        <v>1</v>
      </c>
      <c r="X19" s="36">
        <v>8</v>
      </c>
      <c r="Y19" s="36">
        <f>IFERROR(IF(W19=1,0,VLOOKUP(V19,装备升级!$AM$7:$AQ$56,W19,FALSE))+IF(X19=0,0,VLOOKUP(V19,装备强化!$AP$9:$AZ$58,X19+1,FALSE)),"0")</f>
        <v>2070</v>
      </c>
      <c r="AA19" s="36">
        <f>怪物属性!AB22</f>
        <v>370</v>
      </c>
      <c r="AB19" s="36">
        <v>2</v>
      </c>
      <c r="AC19" s="36">
        <v>4</v>
      </c>
      <c r="AD19" s="36">
        <v>10</v>
      </c>
      <c r="AE19" s="36">
        <f>IFERROR(IF(AC19=1,0,VLOOKUP(AB19,装备升级!$AM$7:$AQ$56,AC19,FALSE))+IF(AD19=0,0,VLOOKUP(AB19,装备强化!$AP$9:$AZ$58,AD19+1,FALSE)),"0")</f>
        <v>5438</v>
      </c>
    </row>
    <row r="20" spans="1:31" x14ac:dyDescent="0.15">
      <c r="A20" s="41">
        <f t="shared" si="0"/>
        <v>26568</v>
      </c>
      <c r="B20" s="36">
        <v>13</v>
      </c>
      <c r="C20" s="36">
        <f>怪物属性!R23</f>
        <v>475</v>
      </c>
      <c r="D20" s="36">
        <v>1</v>
      </c>
      <c r="E20" s="36">
        <v>1</v>
      </c>
      <c r="F20" s="36">
        <v>10</v>
      </c>
      <c r="G20" s="36">
        <f>IFERROR(IF(E20=1,0,VLOOKUP(D20,装备升级!$AM$7:$AQ$56,E20,FALSE))+IF(F20=0,0,VLOOKUP(D20,装备强化!$AP$9:$AZ$58,F20+1,FALSE)),"0")</f>
        <v>2960</v>
      </c>
      <c r="I20" s="36">
        <f>怪物属性!T23</f>
        <v>365</v>
      </c>
      <c r="J20" s="36">
        <v>1</v>
      </c>
      <c r="K20" s="36">
        <v>1</v>
      </c>
      <c r="L20" s="36">
        <v>10</v>
      </c>
      <c r="M20" s="36">
        <f>IFERROR(IF(K20=1,0,VLOOKUP(J20,装备升级!$AM$7:$AQ$56,K20,FALSE))+IF(L20=0,0,VLOOKUP(J20,装备强化!$AP$9:$AZ$58,L20+1,FALSE)),"0")</f>
        <v>2960</v>
      </c>
      <c r="O20" s="36">
        <f>怪物属性!AF23</f>
        <v>501</v>
      </c>
      <c r="P20" s="36">
        <v>1</v>
      </c>
      <c r="Q20" s="36">
        <v>1</v>
      </c>
      <c r="R20" s="36">
        <v>10</v>
      </c>
      <c r="S20" s="36">
        <f>IFERROR(IF(Q20=1,0,VLOOKUP(P20,装备升级!$AM$7:$AQ$56,Q20,FALSE))+IF(R20=0,0,VLOOKUP(P20,装备强化!$AP$9:$AZ$58,R20+1,FALSE)),"0")</f>
        <v>2960</v>
      </c>
      <c r="U20" s="36">
        <f>怪物属性!X23</f>
        <v>284</v>
      </c>
      <c r="V20" s="36">
        <v>1</v>
      </c>
      <c r="W20" s="36">
        <v>1</v>
      </c>
      <c r="X20" s="36">
        <v>8</v>
      </c>
      <c r="Y20" s="36">
        <f>IFERROR(IF(W20=1,0,VLOOKUP(V20,装备升级!$AM$7:$AQ$56,W20,FALSE))+IF(X20=0,0,VLOOKUP(V20,装备强化!$AP$9:$AZ$58,X20+1,FALSE)),"0")</f>
        <v>2070</v>
      </c>
      <c r="AA20" s="36">
        <f>怪物属性!AB23</f>
        <v>385</v>
      </c>
      <c r="AB20" s="36">
        <v>3</v>
      </c>
      <c r="AC20" s="36">
        <v>4</v>
      </c>
      <c r="AD20" s="36">
        <v>10</v>
      </c>
      <c r="AE20" s="36">
        <f>IFERROR(IF(AC20=1,0,VLOOKUP(AB20,装备升级!$AM$7:$AQ$56,AC20,FALSE))+IF(AD20=0,0,VLOOKUP(AB20,装备强化!$AP$9:$AZ$58,AD20+1,FALSE)),"0")</f>
        <v>6738</v>
      </c>
    </row>
    <row r="21" spans="1:31" x14ac:dyDescent="0.15">
      <c r="A21" s="41">
        <f t="shared" si="0"/>
        <v>29799</v>
      </c>
      <c r="B21" s="36">
        <v>14</v>
      </c>
      <c r="C21" s="36">
        <f>怪物属性!R24</f>
        <v>492</v>
      </c>
      <c r="D21" s="36">
        <v>1</v>
      </c>
      <c r="E21" s="36">
        <v>1</v>
      </c>
      <c r="F21" s="36">
        <v>10</v>
      </c>
      <c r="G21" s="36">
        <f>IFERROR(IF(E21=1,0,VLOOKUP(D21,装备升级!$AM$7:$AQ$56,E21,FALSE))+IF(F21=0,0,VLOOKUP(D21,装备强化!$AP$9:$AZ$58,F21+1,FALSE)),"0")</f>
        <v>2960</v>
      </c>
      <c r="I21" s="36">
        <f>怪物属性!T24</f>
        <v>381</v>
      </c>
      <c r="J21" s="36">
        <v>1</v>
      </c>
      <c r="K21" s="36">
        <v>1</v>
      </c>
      <c r="L21" s="36">
        <v>10</v>
      </c>
      <c r="M21" s="36">
        <f>IFERROR(IF(K21=1,0,VLOOKUP(J21,装备升级!$AM$7:$AQ$56,K21,FALSE))+IF(L21=0,0,VLOOKUP(J21,装备强化!$AP$9:$AZ$58,L21+1,FALSE)),"0")</f>
        <v>2960</v>
      </c>
      <c r="O21" s="36">
        <f>怪物属性!AF24</f>
        <v>518</v>
      </c>
      <c r="P21" s="36">
        <v>1</v>
      </c>
      <c r="Q21" s="36">
        <v>2</v>
      </c>
      <c r="R21" s="36">
        <v>10</v>
      </c>
      <c r="S21" s="36">
        <f>IFERROR(IF(Q21=1,0,VLOOKUP(P21,装备升级!$AM$7:$AQ$56,Q21,FALSE))+IF(R21=0,0,VLOOKUP(P21,装备强化!$AP$9:$AZ$58,R21+1,FALSE)),"0")</f>
        <v>3170</v>
      </c>
      <c r="U21" s="36">
        <f>怪物属性!X24</f>
        <v>299</v>
      </c>
      <c r="V21" s="36">
        <v>1</v>
      </c>
      <c r="W21" s="36">
        <v>1</v>
      </c>
      <c r="X21" s="36">
        <v>9</v>
      </c>
      <c r="Y21" s="36">
        <f>IFERROR(IF(W21=1,0,VLOOKUP(V21,装备升级!$AM$7:$AQ$56,W21,FALSE))+IF(X21=0,0,VLOOKUP(V21,装备强化!$AP$9:$AZ$58,X21+1,FALSE)),"0")</f>
        <v>2486</v>
      </c>
      <c r="AA21" s="36">
        <f>怪物属性!AB24</f>
        <v>401</v>
      </c>
      <c r="AB21" s="36">
        <v>3</v>
      </c>
      <c r="AC21" s="36">
        <v>5</v>
      </c>
      <c r="AD21" s="36">
        <v>10</v>
      </c>
      <c r="AE21" s="36">
        <f>IFERROR(IF(AC21=1,0,VLOOKUP(AB21,装备升级!$AM$7:$AQ$56,AC21,FALSE))+IF(AD21=0,0,VLOOKUP(AB21,装备强化!$AP$9:$AZ$58,AD21+1,FALSE)),"0")</f>
        <v>9343</v>
      </c>
    </row>
    <row r="22" spans="1:31" x14ac:dyDescent="0.15">
      <c r="A22" s="41">
        <f t="shared" si="0"/>
        <v>36063</v>
      </c>
      <c r="B22" s="36">
        <v>15</v>
      </c>
      <c r="C22" s="36">
        <f>怪物属性!R25</f>
        <v>510</v>
      </c>
      <c r="D22" s="36">
        <v>1</v>
      </c>
      <c r="E22" s="36">
        <v>1</v>
      </c>
      <c r="F22" s="36">
        <v>10</v>
      </c>
      <c r="G22" s="36">
        <f>IFERROR(IF(E22=1,0,VLOOKUP(D22,装备升级!$AM$7:$AQ$56,E22,FALSE))+IF(F22=0,0,VLOOKUP(D22,装备强化!$AP$9:$AZ$58,F22+1,FALSE)),"0")</f>
        <v>2960</v>
      </c>
      <c r="I22" s="36">
        <f>怪物属性!T25</f>
        <v>397</v>
      </c>
      <c r="J22" s="36">
        <v>1</v>
      </c>
      <c r="K22" s="36">
        <v>3</v>
      </c>
      <c r="L22" s="36">
        <v>10</v>
      </c>
      <c r="M22" s="36">
        <f>IFERROR(IF(K22=1,0,VLOOKUP(J22,装备升级!$AM$7:$AQ$56,K22,FALSE))+IF(L22=0,0,VLOOKUP(J22,装备强化!$AP$9:$AZ$58,L22+1,FALSE)),"0")</f>
        <v>3628</v>
      </c>
      <c r="O22" s="36">
        <f>怪物属性!AF25</f>
        <v>535</v>
      </c>
      <c r="P22" s="36">
        <v>1</v>
      </c>
      <c r="Q22" s="36">
        <v>4</v>
      </c>
      <c r="R22" s="36">
        <v>10</v>
      </c>
      <c r="S22" s="36">
        <f>IFERROR(IF(Q22=1,0,VLOOKUP(P22,装备升级!$AM$7:$AQ$56,Q22,FALSE))+IF(R22=0,0,VLOOKUP(P22,装备强化!$AP$9:$AZ$58,R22+1,FALSE)),"0")</f>
        <v>4408</v>
      </c>
      <c r="U22" s="36">
        <f>怪物属性!X25</f>
        <v>315</v>
      </c>
      <c r="V22" s="36">
        <v>1</v>
      </c>
      <c r="W22" s="36">
        <v>1</v>
      </c>
      <c r="X22" s="36">
        <v>10</v>
      </c>
      <c r="Y22" s="36">
        <f>IFERROR(IF(W22=1,0,VLOOKUP(V22,装备升级!$AM$7:$AQ$56,W22,FALSE))+IF(X22=0,0,VLOOKUP(V22,装备强化!$AP$9:$AZ$58,X22+1,FALSE)),"0")</f>
        <v>2960</v>
      </c>
      <c r="AA22" s="36">
        <f>怪物属性!AB25</f>
        <v>416</v>
      </c>
      <c r="AB22" s="36">
        <v>4</v>
      </c>
      <c r="AC22" s="36">
        <v>5</v>
      </c>
      <c r="AD22" s="36">
        <v>10</v>
      </c>
      <c r="AE22" s="36">
        <f>IFERROR(IF(AC22=1,0,VLOOKUP(AB22,装备升级!$AM$7:$AQ$56,AC22,FALSE))+IF(AD22=0,0,VLOOKUP(AB22,装备强化!$AP$9:$AZ$58,AD22+1,FALSE)),"0")</f>
        <v>11223</v>
      </c>
    </row>
    <row r="23" spans="1:31" x14ac:dyDescent="0.15">
      <c r="A23" s="41">
        <f t="shared" si="0"/>
        <v>49683</v>
      </c>
      <c r="B23" s="36">
        <v>16</v>
      </c>
      <c r="C23" s="36">
        <f>怪物属性!R26</f>
        <v>528</v>
      </c>
      <c r="D23" s="36">
        <v>1</v>
      </c>
      <c r="E23" s="36">
        <v>2</v>
      </c>
      <c r="F23" s="36">
        <v>10</v>
      </c>
      <c r="G23" s="36">
        <f>IFERROR(IF(E23=1,0,VLOOKUP(D23,装备升级!$AM$7:$AQ$56,E23,FALSE))+IF(F23=0,0,VLOOKUP(D23,装备强化!$AP$9:$AZ$58,F23+1,FALSE)),"0")</f>
        <v>3170</v>
      </c>
      <c r="I23" s="36">
        <f>怪物属性!T26</f>
        <v>413</v>
      </c>
      <c r="J23" s="36">
        <v>1</v>
      </c>
      <c r="K23" s="36">
        <v>5</v>
      </c>
      <c r="L23" s="36">
        <v>10</v>
      </c>
      <c r="M23" s="36">
        <f>IFERROR(IF(K23=1,0,VLOOKUP(J23,装备升级!$AM$7:$AQ$56,K23,FALSE))+IF(L23=0,0,VLOOKUP(J23,装备强化!$AP$9:$AZ$58,L23+1,FALSE)),"0")</f>
        <v>6244</v>
      </c>
      <c r="O23" s="36">
        <f>怪物属性!AF26</f>
        <v>553</v>
      </c>
      <c r="P23" s="36">
        <v>2</v>
      </c>
      <c r="Q23" s="36">
        <v>4</v>
      </c>
      <c r="R23" s="36">
        <v>10</v>
      </c>
      <c r="S23" s="36">
        <f>IFERROR(IF(Q23=1,0,VLOOKUP(P23,装备升级!$AM$7:$AQ$56,Q23,FALSE))+IF(R23=0,0,VLOOKUP(P23,装备强化!$AP$9:$AZ$58,R23+1,FALSE)),"0")</f>
        <v>5438</v>
      </c>
      <c r="U23" s="36">
        <f>怪物属性!X26</f>
        <v>331</v>
      </c>
      <c r="V23" s="36">
        <v>1</v>
      </c>
      <c r="W23" s="36">
        <v>1</v>
      </c>
      <c r="X23" s="36">
        <v>10</v>
      </c>
      <c r="Y23" s="36">
        <f>IFERROR(IF(W23=1,0,VLOOKUP(V23,装备升级!$AM$7:$AQ$56,W23,FALSE))+IF(X23=0,0,VLOOKUP(V23,装备强化!$AP$9:$AZ$58,X23+1,FALSE)),"0")</f>
        <v>2960</v>
      </c>
      <c r="AA23" s="36">
        <f>怪物属性!AB26</f>
        <v>432</v>
      </c>
      <c r="AB23" s="36">
        <v>5</v>
      </c>
      <c r="AC23" s="36">
        <v>5</v>
      </c>
      <c r="AD23" s="36">
        <v>10</v>
      </c>
      <c r="AE23" s="36">
        <f>IFERROR(IF(AC23=1,0,VLOOKUP(AB23,装备升级!$AM$7:$AQ$56,AC23,FALSE))+IF(AD23=0,0,VLOOKUP(AB23,装备强化!$AP$9:$AZ$58,AD23+1,FALSE)),"0")</f>
        <v>13139</v>
      </c>
    </row>
    <row r="24" spans="1:31" x14ac:dyDescent="0.15">
      <c r="A24" s="41">
        <f t="shared" si="0"/>
        <v>52803</v>
      </c>
      <c r="B24" s="36">
        <v>17</v>
      </c>
      <c r="C24" s="36">
        <f>怪物属性!R27</f>
        <v>546</v>
      </c>
      <c r="D24" s="36">
        <v>1</v>
      </c>
      <c r="E24" s="36">
        <v>4</v>
      </c>
      <c r="F24" s="36">
        <v>10</v>
      </c>
      <c r="G24" s="36">
        <f>IFERROR(IF(E24=1,0,VLOOKUP(D24,装备升级!$AM$7:$AQ$56,E24,FALSE))+IF(F24=0,0,VLOOKUP(D24,装备强化!$AP$9:$AZ$58,F24+1,FALSE)),"0")</f>
        <v>4408</v>
      </c>
      <c r="I24" s="36">
        <f>怪物属性!T27</f>
        <v>431</v>
      </c>
      <c r="J24" s="36">
        <v>2</v>
      </c>
      <c r="K24" s="36">
        <v>4</v>
      </c>
      <c r="L24" s="36">
        <v>10</v>
      </c>
      <c r="M24" s="36">
        <f>IFERROR(IF(K24=1,0,VLOOKUP(J24,装备升级!$AM$7:$AQ$56,K24,FALSE))+IF(L24=0,0,VLOOKUP(J24,装备强化!$AP$9:$AZ$58,L24+1,FALSE)),"0")</f>
        <v>5438</v>
      </c>
      <c r="O24" s="36">
        <f>怪物属性!AF27</f>
        <v>572</v>
      </c>
      <c r="P24" s="36">
        <v>2</v>
      </c>
      <c r="Q24" s="36">
        <v>5</v>
      </c>
      <c r="R24" s="36">
        <v>10</v>
      </c>
      <c r="S24" s="36">
        <f>IFERROR(IF(Q24=1,0,VLOOKUP(P24,装备升级!$AM$7:$AQ$56,Q24,FALSE))+IF(R24=0,0,VLOOKUP(P24,装备强化!$AP$9:$AZ$58,R24+1,FALSE)),"0")</f>
        <v>7916</v>
      </c>
      <c r="U24" s="36">
        <f>怪物属性!X27</f>
        <v>347</v>
      </c>
      <c r="V24" s="36">
        <v>1</v>
      </c>
      <c r="W24" s="36">
        <v>3</v>
      </c>
      <c r="X24" s="36">
        <v>10</v>
      </c>
      <c r="Y24" s="36">
        <f>IFERROR(IF(W24=1,0,VLOOKUP(V24,装备升级!$AM$7:$AQ$56,W24,FALSE))+IF(X24=0,0,VLOOKUP(V24,装备强化!$AP$9:$AZ$58,X24+1,FALSE)),"0")</f>
        <v>3628</v>
      </c>
      <c r="AA24" s="36">
        <f>怪物属性!AB27</f>
        <v>448</v>
      </c>
      <c r="AB24" s="36">
        <v>6</v>
      </c>
      <c r="AC24" s="36">
        <v>5</v>
      </c>
      <c r="AD24" s="36">
        <v>10</v>
      </c>
      <c r="AE24" s="36">
        <f>IFERROR(IF(AC24=1,0,VLOOKUP(AB24,装备升级!$AM$7:$AQ$56,AC24,FALSE))+IF(AD24=0,0,VLOOKUP(AB24,装备强化!$AP$9:$AZ$58,AD24+1,FALSE)),"0")</f>
        <v>15099</v>
      </c>
    </row>
    <row r="25" spans="1:31" x14ac:dyDescent="0.15">
      <c r="A25" s="41">
        <f t="shared" si="0"/>
        <v>66016</v>
      </c>
      <c r="B25" s="36">
        <v>18</v>
      </c>
      <c r="C25" s="36">
        <f>怪物属性!R28</f>
        <v>566</v>
      </c>
      <c r="D25" s="36">
        <v>2</v>
      </c>
      <c r="E25" s="36">
        <v>3</v>
      </c>
      <c r="F25" s="36">
        <v>10</v>
      </c>
      <c r="G25" s="36">
        <f>IFERROR(IF(E25=1,0,VLOOKUP(D25,装备升级!$AM$7:$AQ$56,E25,FALSE))+IF(F25=0,0,VLOOKUP(D25,装备强化!$AP$9:$AZ$58,F25+1,FALSE)),"0")</f>
        <v>4472</v>
      </c>
      <c r="I25" s="36">
        <f>怪物属性!T28</f>
        <v>448</v>
      </c>
      <c r="J25" s="36">
        <v>2</v>
      </c>
      <c r="K25" s="36">
        <v>5</v>
      </c>
      <c r="L25" s="36">
        <v>10</v>
      </c>
      <c r="M25" s="36">
        <f>IFERROR(IF(K25=1,0,VLOOKUP(J25,装备升级!$AM$7:$AQ$56,K25,FALSE))+IF(L25=0,0,VLOOKUP(J25,装备强化!$AP$9:$AZ$58,L25+1,FALSE)),"0")</f>
        <v>7916</v>
      </c>
      <c r="O25" s="36">
        <f>怪物属性!AF28</f>
        <v>591</v>
      </c>
      <c r="P25" s="36">
        <v>3</v>
      </c>
      <c r="Q25" s="36">
        <v>5</v>
      </c>
      <c r="R25" s="36">
        <v>10</v>
      </c>
      <c r="S25" s="36">
        <f>IFERROR(IF(Q25=1,0,VLOOKUP(P25,装备升级!$AM$7:$AQ$56,Q25,FALSE))+IF(R25=0,0,VLOOKUP(P25,装备强化!$AP$9:$AZ$58,R25+1,FALSE)),"0")</f>
        <v>9343</v>
      </c>
      <c r="U25" s="36">
        <f>怪物属性!X28</f>
        <v>363</v>
      </c>
      <c r="V25" s="36">
        <v>2</v>
      </c>
      <c r="W25" s="36">
        <v>4</v>
      </c>
      <c r="X25" s="36">
        <v>10</v>
      </c>
      <c r="Y25" s="36">
        <f>IFERROR(IF(W25=1,0,VLOOKUP(V25,装备升级!$AM$7:$AQ$56,W25,FALSE))+IF(X25=0,0,VLOOKUP(V25,装备强化!$AP$9:$AZ$58,X25+1,FALSE)),"0")</f>
        <v>5438</v>
      </c>
      <c r="AA25" s="36">
        <f>怪物属性!AB28</f>
        <v>465</v>
      </c>
      <c r="AB25" s="36">
        <v>6</v>
      </c>
      <c r="AC25" s="36">
        <v>5</v>
      </c>
      <c r="AD25" s="36">
        <v>10</v>
      </c>
      <c r="AE25" s="36">
        <f>IFERROR(IF(AC25=1,0,VLOOKUP(AB25,装备升级!$AM$7:$AQ$56,AC25,FALSE))+IF(AD25=0,0,VLOOKUP(AB25,装备强化!$AP$9:$AZ$58,AD25+1,FALSE)),"0")</f>
        <v>15099</v>
      </c>
    </row>
    <row r="26" spans="1:31" x14ac:dyDescent="0.15">
      <c r="A26" s="41">
        <f t="shared" si="0"/>
        <v>64302</v>
      </c>
      <c r="B26" s="36">
        <v>19</v>
      </c>
      <c r="C26" s="36">
        <f>怪物属性!R29</f>
        <v>586</v>
      </c>
      <c r="D26" s="36">
        <v>2</v>
      </c>
      <c r="E26" s="36">
        <v>4</v>
      </c>
      <c r="F26" s="36">
        <v>10</v>
      </c>
      <c r="G26" s="36">
        <f>IFERROR(IF(E26=1,0,VLOOKUP(D26,装备升级!$AM$7:$AQ$56,E26,FALSE))+IF(F26=0,0,VLOOKUP(D26,装备强化!$AP$9:$AZ$58,F26+1,FALSE)),"0")</f>
        <v>5438</v>
      </c>
      <c r="I26" s="36">
        <f>怪物属性!T29</f>
        <v>466</v>
      </c>
      <c r="J26" s="36">
        <v>3</v>
      </c>
      <c r="K26" s="36">
        <v>4</v>
      </c>
      <c r="L26" s="36">
        <v>10</v>
      </c>
      <c r="M26" s="36">
        <f>IFERROR(IF(K26=1,0,VLOOKUP(J26,装备升级!$AM$7:$AQ$56,K26,FALSE))+IF(L26=0,0,VLOOKUP(J26,装备强化!$AP$9:$AZ$58,L26+1,FALSE)),"0")</f>
        <v>6738</v>
      </c>
      <c r="O26" s="36">
        <f>怪物属性!AF29</f>
        <v>612</v>
      </c>
      <c r="P26" s="36">
        <v>4</v>
      </c>
      <c r="Q26" s="36">
        <v>4</v>
      </c>
      <c r="R26" s="36">
        <v>10</v>
      </c>
      <c r="S26" s="36">
        <f>IFERROR(IF(Q26=1,0,VLOOKUP(P26,装备升级!$AM$7:$AQ$56,Q26,FALSE))+IF(R26=0,0,VLOOKUP(P26,装备强化!$AP$9:$AZ$58,R26+1,FALSE)),"0")</f>
        <v>8078</v>
      </c>
      <c r="U26" s="36">
        <f>怪物属性!X29</f>
        <v>380</v>
      </c>
      <c r="V26" s="36">
        <v>3</v>
      </c>
      <c r="W26" s="36">
        <v>4</v>
      </c>
      <c r="X26" s="36">
        <v>10</v>
      </c>
      <c r="Y26" s="36">
        <f>IFERROR(IF(W26=1,0,VLOOKUP(V26,装备升级!$AM$7:$AQ$56,W26,FALSE))+IF(X26=0,0,VLOOKUP(V26,装备强化!$AP$9:$AZ$58,X26+1,FALSE)),"0")</f>
        <v>6738</v>
      </c>
      <c r="AA26" s="36">
        <f>怪物属性!AB29</f>
        <v>482</v>
      </c>
      <c r="AB26" s="36">
        <v>7</v>
      </c>
      <c r="AC26" s="36">
        <v>5</v>
      </c>
      <c r="AD26" s="36">
        <v>10</v>
      </c>
      <c r="AE26" s="36">
        <f>IFERROR(IF(AC26=1,0,VLOOKUP(AB26,装备升级!$AM$7:$AQ$56,AC26,FALSE))+IF(AD26=0,0,VLOOKUP(AB26,装备强化!$AP$9:$AZ$58,AD26+1,FALSE)),"0")</f>
        <v>17096</v>
      </c>
    </row>
    <row r="27" spans="1:31" x14ac:dyDescent="0.15">
      <c r="A27" s="41">
        <f t="shared" si="0"/>
        <v>86874</v>
      </c>
      <c r="B27" s="36">
        <v>20</v>
      </c>
      <c r="C27" s="36">
        <f>怪物属性!R30</f>
        <v>607</v>
      </c>
      <c r="D27" s="36">
        <v>2</v>
      </c>
      <c r="E27" s="36">
        <v>5</v>
      </c>
      <c r="F27" s="36">
        <v>10</v>
      </c>
      <c r="G27" s="36">
        <f>IFERROR(IF(E27=1,0,VLOOKUP(D27,装备升级!$AM$7:$AQ$56,E27,FALSE))+IF(F27=0,0,VLOOKUP(D27,装备强化!$AP$9:$AZ$58,F27+1,FALSE)),"0")</f>
        <v>7916</v>
      </c>
      <c r="I27" s="36">
        <f>怪物属性!T30</f>
        <v>485</v>
      </c>
      <c r="J27" s="36">
        <v>3</v>
      </c>
      <c r="K27" s="36">
        <v>5</v>
      </c>
      <c r="L27" s="36">
        <v>10</v>
      </c>
      <c r="M27" s="36">
        <f>IFERROR(IF(K27=1,0,VLOOKUP(J27,装备升级!$AM$7:$AQ$56,K27,FALSE))+IF(L27=0,0,VLOOKUP(J27,装备强化!$AP$9:$AZ$58,L27+1,FALSE)),"0")</f>
        <v>9343</v>
      </c>
      <c r="O27" s="36">
        <f>怪物属性!AF30</f>
        <v>633</v>
      </c>
      <c r="P27" s="36">
        <v>4</v>
      </c>
      <c r="Q27" s="36">
        <v>5</v>
      </c>
      <c r="R27" s="36">
        <v>10</v>
      </c>
      <c r="S27" s="36">
        <f>IFERROR(IF(Q27=1,0,VLOOKUP(P27,装备升级!$AM$7:$AQ$56,Q27,FALSE))+IF(R27=0,0,VLOOKUP(P27,装备强化!$AP$9:$AZ$58,R27+1,FALSE)),"0")</f>
        <v>11223</v>
      </c>
      <c r="U27" s="36">
        <f>怪物属性!X30</f>
        <v>398</v>
      </c>
      <c r="V27" s="36">
        <v>4</v>
      </c>
      <c r="W27" s="36">
        <v>5</v>
      </c>
      <c r="X27" s="36">
        <v>10</v>
      </c>
      <c r="Y27" s="36">
        <f>IFERROR(IF(W27=1,0,VLOOKUP(V27,装备升级!$AM$7:$AQ$56,W27,FALSE))+IF(X27=0,0,VLOOKUP(V27,装备强化!$AP$9:$AZ$58,X27+1,FALSE)),"0")</f>
        <v>11223</v>
      </c>
      <c r="AA27" s="36">
        <f>怪物属性!AB30</f>
        <v>500</v>
      </c>
      <c r="AB27" s="36">
        <v>8</v>
      </c>
      <c r="AC27" s="36">
        <v>5</v>
      </c>
      <c r="AD27" s="36">
        <v>10</v>
      </c>
      <c r="AE27" s="36">
        <f>IFERROR(IF(AC27=1,0,VLOOKUP(AB27,装备升级!$AM$7:$AQ$56,AC27,FALSE))+IF(AD27=0,0,VLOOKUP(AB27,装备强化!$AP$9:$AZ$58,AD27+1,FALSE)),"0")</f>
        <v>19140</v>
      </c>
    </row>
    <row r="28" spans="1:31" x14ac:dyDescent="0.15">
      <c r="A28" s="41">
        <f t="shared" si="0"/>
        <v>99128</v>
      </c>
      <c r="B28" s="36">
        <v>21</v>
      </c>
      <c r="C28" s="36">
        <f>怪物属性!R31</f>
        <v>630</v>
      </c>
      <c r="D28" s="36">
        <v>3</v>
      </c>
      <c r="E28" s="36">
        <v>4</v>
      </c>
      <c r="F28" s="36">
        <v>10</v>
      </c>
      <c r="G28" s="36">
        <f>IFERROR(IF(E28=1,0,VLOOKUP(D28,装备升级!$AM$7:$AQ$56,E28,FALSE))+IF(F28=0,0,VLOOKUP(D28,装备强化!$AP$9:$AZ$58,F28+1,FALSE)),"0")</f>
        <v>6738</v>
      </c>
      <c r="I28" s="36">
        <f>怪物属性!T31</f>
        <v>505</v>
      </c>
      <c r="J28" s="36">
        <v>4</v>
      </c>
      <c r="K28" s="36">
        <v>5</v>
      </c>
      <c r="L28" s="36">
        <v>10</v>
      </c>
      <c r="M28" s="36">
        <f>IFERROR(IF(K28=1,0,VLOOKUP(J28,装备升级!$AM$7:$AQ$56,K28,FALSE))+IF(L28=0,0,VLOOKUP(J28,装备强化!$AP$9:$AZ$58,L28+1,FALSE)),"0")</f>
        <v>11223</v>
      </c>
      <c r="O28" s="36">
        <f>怪物属性!AF31</f>
        <v>655</v>
      </c>
      <c r="P28" s="36">
        <v>5</v>
      </c>
      <c r="Q28" s="36">
        <v>5</v>
      </c>
      <c r="R28" s="36">
        <v>10</v>
      </c>
      <c r="S28" s="36">
        <f>IFERROR(IF(Q28=1,0,VLOOKUP(P28,装备升级!$AM$7:$AQ$56,Q28,FALSE))+IF(R28=0,0,VLOOKUP(P28,装备强化!$AP$9:$AZ$58,R28+1,FALSE)),"0")</f>
        <v>13139</v>
      </c>
      <c r="U28" s="36">
        <f>怪物属性!X31</f>
        <v>415</v>
      </c>
      <c r="V28" s="36">
        <v>5</v>
      </c>
      <c r="W28" s="36">
        <v>5</v>
      </c>
      <c r="X28" s="36">
        <v>10</v>
      </c>
      <c r="Y28" s="36">
        <f>IFERROR(IF(W28=1,0,VLOOKUP(V28,装备升级!$AM$7:$AQ$56,W28,FALSE))+IF(X28=0,0,VLOOKUP(V28,装备强化!$AP$9:$AZ$58,X28+1,FALSE)),"0")</f>
        <v>13139</v>
      </c>
      <c r="AA28" s="36">
        <f>怪物属性!AB31</f>
        <v>518</v>
      </c>
      <c r="AB28" s="36">
        <v>9</v>
      </c>
      <c r="AC28" s="36">
        <v>5</v>
      </c>
      <c r="AD28" s="36">
        <v>10</v>
      </c>
      <c r="AE28" s="36">
        <f>IFERROR(IF(AC28=1,0,VLOOKUP(AB28,装备升级!$AM$7:$AQ$56,AC28,FALSE))+IF(AD28=0,0,VLOOKUP(AB28,装备强化!$AP$9:$AZ$58,AD28+1,FALSE)),"0")</f>
        <v>21220</v>
      </c>
    </row>
    <row r="29" spans="1:31" x14ac:dyDescent="0.15">
      <c r="A29" s="41">
        <f t="shared" si="0"/>
        <v>107782</v>
      </c>
      <c r="B29" s="36">
        <v>22</v>
      </c>
      <c r="C29" s="36">
        <f>怪物属性!R32</f>
        <v>653</v>
      </c>
      <c r="D29" s="36">
        <v>3</v>
      </c>
      <c r="E29" s="36">
        <v>5</v>
      </c>
      <c r="F29" s="36">
        <v>10</v>
      </c>
      <c r="G29" s="36">
        <f>IFERROR(IF(E29=1,0,VLOOKUP(D29,装备升级!$AM$7:$AQ$56,E29,FALSE))+IF(F29=0,0,VLOOKUP(D29,装备强化!$AP$9:$AZ$58,F29+1,FALSE)),"0")</f>
        <v>9343</v>
      </c>
      <c r="I29" s="36">
        <f>怪物属性!T32</f>
        <v>525</v>
      </c>
      <c r="J29" s="36">
        <v>4</v>
      </c>
      <c r="K29" s="36">
        <v>5</v>
      </c>
      <c r="L29" s="36">
        <v>10</v>
      </c>
      <c r="M29" s="36">
        <f>IFERROR(IF(K29=1,0,VLOOKUP(J29,装备升级!$AM$7:$AQ$56,K29,FALSE))+IF(L29=0,0,VLOOKUP(J29,装备强化!$AP$9:$AZ$58,L29+1,FALSE)),"0")</f>
        <v>11223</v>
      </c>
      <c r="O29" s="36">
        <f>怪物属性!AF32</f>
        <v>678</v>
      </c>
      <c r="P29" s="36">
        <v>6</v>
      </c>
      <c r="Q29" s="36">
        <v>5</v>
      </c>
      <c r="R29" s="36">
        <v>10</v>
      </c>
      <c r="S29" s="36">
        <f>IFERROR(IF(Q29=1,0,VLOOKUP(P29,装备升级!$AM$7:$AQ$56,Q29,FALSE))+IF(R29=0,0,VLOOKUP(P29,装备强化!$AP$9:$AZ$58,R29+1,FALSE)),"0")</f>
        <v>15099</v>
      </c>
      <c r="U29" s="36">
        <f>怪物属性!X32</f>
        <v>434</v>
      </c>
      <c r="V29" s="36">
        <v>6</v>
      </c>
      <c r="W29" s="36">
        <v>5</v>
      </c>
      <c r="X29" s="36">
        <v>10</v>
      </c>
      <c r="Y29" s="36">
        <f>IFERROR(IF(W29=1,0,VLOOKUP(V29,装备升级!$AM$7:$AQ$56,W29,FALSE))+IF(X29=0,0,VLOOKUP(V29,装备强化!$AP$9:$AZ$58,X29+1,FALSE)),"0")</f>
        <v>15099</v>
      </c>
      <c r="AA29" s="36">
        <f>怪物属性!AB32</f>
        <v>537</v>
      </c>
      <c r="AB29" s="36">
        <v>10</v>
      </c>
      <c r="AC29" s="36">
        <v>5</v>
      </c>
      <c r="AD29" s="36">
        <v>10</v>
      </c>
      <c r="AE29" s="36">
        <f>IFERROR(IF(AC29=1,0,VLOOKUP(AB29,装备升级!$AM$7:$AQ$56,AC29,FALSE))+IF(AD29=0,0,VLOOKUP(AB29,装备强化!$AP$9:$AZ$58,AD29+1,FALSE)),"0")</f>
        <v>23349</v>
      </c>
    </row>
    <row r="30" spans="1:31" x14ac:dyDescent="0.15">
      <c r="A30" s="41">
        <f t="shared" si="0"/>
        <v>121480</v>
      </c>
      <c r="B30" s="36">
        <v>23</v>
      </c>
      <c r="C30" s="36">
        <f>怪物属性!R33</f>
        <v>677</v>
      </c>
      <c r="D30" s="36">
        <v>4</v>
      </c>
      <c r="E30" s="36">
        <v>5</v>
      </c>
      <c r="F30" s="36">
        <v>10</v>
      </c>
      <c r="G30" s="36">
        <f>IFERROR(IF(E30=1,0,VLOOKUP(D30,装备升级!$AM$7:$AQ$56,E30,FALSE))+IF(F30=0,0,VLOOKUP(D30,装备强化!$AP$9:$AZ$58,F30+1,FALSE)),"0")</f>
        <v>11223</v>
      </c>
      <c r="I30" s="36">
        <f>怪物属性!T33</f>
        <v>547</v>
      </c>
      <c r="J30" s="36">
        <v>5</v>
      </c>
      <c r="K30" s="36">
        <v>5</v>
      </c>
      <c r="L30" s="36">
        <v>10</v>
      </c>
      <c r="M30" s="36">
        <f>IFERROR(IF(K30=1,0,VLOOKUP(J30,装备升级!$AM$7:$AQ$56,K30,FALSE))+IF(L30=0,0,VLOOKUP(J30,装备强化!$AP$9:$AZ$58,L30+1,FALSE)),"0")</f>
        <v>13139</v>
      </c>
      <c r="O30" s="36">
        <f>怪物属性!AF33</f>
        <v>702</v>
      </c>
      <c r="P30" s="36">
        <v>6</v>
      </c>
      <c r="Q30" s="36">
        <v>5</v>
      </c>
      <c r="R30" s="36">
        <v>10</v>
      </c>
      <c r="S30" s="36">
        <f>IFERROR(IF(Q30=1,0,VLOOKUP(P30,装备升级!$AM$7:$AQ$56,Q30,FALSE))+IF(R30=0,0,VLOOKUP(P30,装备强化!$AP$9:$AZ$58,R30+1,FALSE)),"0")</f>
        <v>15099</v>
      </c>
      <c r="U30" s="36">
        <f>怪物属性!X33</f>
        <v>453</v>
      </c>
      <c r="V30" s="36">
        <v>7</v>
      </c>
      <c r="W30" s="36">
        <v>5</v>
      </c>
      <c r="X30" s="36">
        <v>10</v>
      </c>
      <c r="Y30" s="36">
        <f>IFERROR(IF(W30=1,0,VLOOKUP(V30,装备升级!$AM$7:$AQ$56,W30,FALSE))+IF(X30=0,0,VLOOKUP(V30,装备强化!$AP$9:$AZ$58,X30+1,FALSE)),"0")</f>
        <v>17096</v>
      </c>
      <c r="AA30" s="36">
        <f>怪物属性!AB33</f>
        <v>557</v>
      </c>
      <c r="AB30" s="36">
        <v>11</v>
      </c>
      <c r="AC30" s="36">
        <v>5</v>
      </c>
      <c r="AD30" s="36">
        <v>10</v>
      </c>
      <c r="AE30" s="36">
        <f>IFERROR(IF(AC30=1,0,VLOOKUP(AB30,装备升级!$AM$7:$AQ$56,AC30,FALSE))+IF(AD30=0,0,VLOOKUP(AB30,装备强化!$AP$9:$AZ$58,AD30+1,FALSE)),"0")</f>
        <v>25506</v>
      </c>
    </row>
    <row r="31" spans="1:31" x14ac:dyDescent="0.15">
      <c r="A31" s="41">
        <f t="shared" si="0"/>
        <v>131168</v>
      </c>
      <c r="B31" s="36">
        <v>24</v>
      </c>
      <c r="C31" s="36">
        <f>怪物属性!R34</f>
        <v>703</v>
      </c>
      <c r="D31" s="36">
        <v>4</v>
      </c>
      <c r="E31" s="36">
        <v>5</v>
      </c>
      <c r="F31" s="36">
        <v>10</v>
      </c>
      <c r="G31" s="36">
        <f>IFERROR(IF(E31=1,0,VLOOKUP(D31,装备升级!$AM$7:$AQ$56,E31,FALSE))+IF(F31=0,0,VLOOKUP(D31,装备强化!$AP$9:$AZ$58,F31+1,FALSE)),"0")</f>
        <v>11223</v>
      </c>
      <c r="I31" s="36">
        <f>怪物属性!T34</f>
        <v>569</v>
      </c>
      <c r="J31" s="36">
        <v>5</v>
      </c>
      <c r="K31" s="36">
        <v>5</v>
      </c>
      <c r="L31" s="36">
        <v>10</v>
      </c>
      <c r="M31" s="36">
        <f>IFERROR(IF(K31=1,0,VLOOKUP(J31,装备升级!$AM$7:$AQ$56,K31,FALSE))+IF(L31=0,0,VLOOKUP(J31,装备强化!$AP$9:$AZ$58,L31+1,FALSE)),"0")</f>
        <v>13139</v>
      </c>
      <c r="O31" s="36">
        <f>怪物属性!AF34</f>
        <v>727</v>
      </c>
      <c r="P31" s="36">
        <v>7</v>
      </c>
      <c r="Q31" s="36">
        <v>5</v>
      </c>
      <c r="R31" s="36">
        <v>10</v>
      </c>
      <c r="S31" s="36">
        <f>IFERROR(IF(Q31=1,0,VLOOKUP(P31,装备升级!$AM$7:$AQ$56,Q31,FALSE))+IF(R31=0,0,VLOOKUP(P31,装备强化!$AP$9:$AZ$58,R31+1,FALSE)),"0")</f>
        <v>17096</v>
      </c>
      <c r="U31" s="36">
        <f>怪物属性!X34</f>
        <v>473</v>
      </c>
      <c r="V31" s="36">
        <v>8</v>
      </c>
      <c r="W31" s="36">
        <v>5</v>
      </c>
      <c r="X31" s="36">
        <v>10</v>
      </c>
      <c r="Y31" s="36">
        <f>IFERROR(IF(W31=1,0,VLOOKUP(V31,装备升级!$AM$7:$AQ$56,W31,FALSE))+IF(X31=0,0,VLOOKUP(V31,装备强化!$AP$9:$AZ$58,X31+1,FALSE)),"0")</f>
        <v>19140</v>
      </c>
      <c r="AA31" s="36">
        <f>怪物属性!AB34</f>
        <v>577</v>
      </c>
      <c r="AB31" s="36">
        <v>12</v>
      </c>
      <c r="AC31" s="36">
        <v>5</v>
      </c>
      <c r="AD31" s="36">
        <v>10</v>
      </c>
      <c r="AE31" s="36">
        <f>IFERROR(IF(AC31=1,0,VLOOKUP(AB31,装备升级!$AM$7:$AQ$56,AC31,FALSE))+IF(AD31=0,0,VLOOKUP(AB31,装备强化!$AP$9:$AZ$58,AD31+1,FALSE)),"0")</f>
        <v>31153</v>
      </c>
    </row>
    <row r="32" spans="1:31" x14ac:dyDescent="0.15">
      <c r="A32" s="41">
        <f t="shared" si="0"/>
        <v>147586</v>
      </c>
      <c r="B32" s="36">
        <v>25</v>
      </c>
      <c r="C32" s="36">
        <f>怪物属性!R35</f>
        <v>730</v>
      </c>
      <c r="D32" s="36">
        <v>5</v>
      </c>
      <c r="E32" s="36">
        <v>5</v>
      </c>
      <c r="F32" s="36">
        <v>10</v>
      </c>
      <c r="G32" s="36">
        <f>IFERROR(IF(E32=1,0,VLOOKUP(D32,装备升级!$AM$7:$AQ$56,E32,FALSE))+IF(F32=0,0,VLOOKUP(D32,装备强化!$AP$9:$AZ$58,F32+1,FALSE)),"0")</f>
        <v>13139</v>
      </c>
      <c r="I32" s="36">
        <f>怪物属性!T35</f>
        <v>593</v>
      </c>
      <c r="J32" s="36">
        <v>6</v>
      </c>
      <c r="K32" s="36">
        <v>5</v>
      </c>
      <c r="L32" s="36">
        <v>10</v>
      </c>
      <c r="M32" s="36">
        <f>IFERROR(IF(K32=1,0,VLOOKUP(J32,装备升级!$AM$7:$AQ$56,K32,FALSE))+IF(L32=0,0,VLOOKUP(J32,装备强化!$AP$9:$AZ$58,L32+1,FALSE)),"0")</f>
        <v>15099</v>
      </c>
      <c r="O32" s="36">
        <f>怪物属性!AF35</f>
        <v>754</v>
      </c>
      <c r="P32" s="36">
        <v>8</v>
      </c>
      <c r="Q32" s="36">
        <v>5</v>
      </c>
      <c r="R32" s="36">
        <v>10</v>
      </c>
      <c r="S32" s="36">
        <f>IFERROR(IF(Q32=1,0,VLOOKUP(P32,装备升级!$AM$7:$AQ$56,Q32,FALSE))+IF(R32=0,0,VLOOKUP(P32,装备强化!$AP$9:$AZ$58,R32+1,FALSE)),"0")</f>
        <v>19140</v>
      </c>
      <c r="U32" s="36">
        <f>怪物属性!X35</f>
        <v>494</v>
      </c>
      <c r="V32" s="36">
        <v>9</v>
      </c>
      <c r="W32" s="36">
        <v>5</v>
      </c>
      <c r="X32" s="36">
        <v>10</v>
      </c>
      <c r="Y32" s="36">
        <f>IFERROR(IF(W32=1,0,VLOOKUP(V32,装备升级!$AM$7:$AQ$56,W32,FALSE))+IF(X32=0,0,VLOOKUP(V32,装备强化!$AP$9:$AZ$58,X32+1,FALSE)),"0")</f>
        <v>21220</v>
      </c>
      <c r="AA32" s="36">
        <f>怪物属性!AB35</f>
        <v>599</v>
      </c>
      <c r="AB32" s="36">
        <v>13</v>
      </c>
      <c r="AC32" s="36">
        <v>5</v>
      </c>
      <c r="AD32" s="36">
        <v>10</v>
      </c>
      <c r="AE32" s="36">
        <f>IFERROR(IF(AC32=1,0,VLOOKUP(AB32,装备升级!$AM$7:$AQ$56,AC32,FALSE))+IF(AD32=0,0,VLOOKUP(AB32,装备强化!$AP$9:$AZ$58,AD32+1,FALSE)),"0")</f>
        <v>33691</v>
      </c>
    </row>
    <row r="33" spans="1:31" x14ac:dyDescent="0.15">
      <c r="A33" s="41">
        <f t="shared" si="0"/>
        <v>155837</v>
      </c>
      <c r="B33" s="36">
        <v>26</v>
      </c>
      <c r="C33" s="36">
        <f>怪物属性!R36</f>
        <v>760</v>
      </c>
      <c r="D33" s="36">
        <v>5</v>
      </c>
      <c r="E33" s="36">
        <v>5</v>
      </c>
      <c r="F33" s="36">
        <v>10</v>
      </c>
      <c r="G33" s="36">
        <f>IFERROR(IF(E33=1,0,VLOOKUP(D33,装备升级!$AM$7:$AQ$56,E33,FALSE))+IF(F33=0,0,VLOOKUP(D33,装备强化!$AP$9:$AZ$58,F33+1,FALSE)),"0")</f>
        <v>13139</v>
      </c>
      <c r="I33" s="36">
        <f>怪物属性!T36</f>
        <v>617</v>
      </c>
      <c r="J33" s="36">
        <v>6</v>
      </c>
      <c r="K33" s="36">
        <v>5</v>
      </c>
      <c r="L33" s="36">
        <v>10</v>
      </c>
      <c r="M33" s="36">
        <f>IFERROR(IF(K33=1,0,VLOOKUP(J33,装备升级!$AM$7:$AQ$56,K33,FALSE))+IF(L33=0,0,VLOOKUP(J33,装备强化!$AP$9:$AZ$58,L33+1,FALSE)),"0")</f>
        <v>15099</v>
      </c>
      <c r="O33" s="36">
        <f>怪物属性!AF36</f>
        <v>782</v>
      </c>
      <c r="P33" s="36">
        <v>9</v>
      </c>
      <c r="Q33" s="36">
        <v>5</v>
      </c>
      <c r="R33" s="36">
        <v>10</v>
      </c>
      <c r="S33" s="36">
        <f>IFERROR(IF(Q33=1,0,VLOOKUP(P33,装备升级!$AM$7:$AQ$56,Q33,FALSE))+IF(R33=0,0,VLOOKUP(P33,装备强化!$AP$9:$AZ$58,R33+1,FALSE)),"0")</f>
        <v>21220</v>
      </c>
      <c r="U33" s="36">
        <f>怪物属性!X36</f>
        <v>515</v>
      </c>
      <c r="V33" s="36">
        <v>10</v>
      </c>
      <c r="W33" s="36">
        <v>5</v>
      </c>
      <c r="X33" s="36">
        <v>10</v>
      </c>
      <c r="Y33" s="36">
        <f>IFERROR(IF(W33=1,0,VLOOKUP(V33,装备升级!$AM$7:$AQ$56,W33,FALSE))+IF(X33=0,0,VLOOKUP(V33,装备强化!$AP$9:$AZ$58,X33+1,FALSE)),"0")</f>
        <v>23349</v>
      </c>
      <c r="AA33" s="36">
        <f>怪物属性!AB36</f>
        <v>621</v>
      </c>
      <c r="AB33" s="36">
        <v>14</v>
      </c>
      <c r="AC33" s="36">
        <v>5</v>
      </c>
      <c r="AD33" s="36">
        <v>10</v>
      </c>
      <c r="AE33" s="36">
        <f>IFERROR(IF(AC33=1,0,VLOOKUP(AB33,装备升级!$AM$7:$AQ$56,AC33,FALSE))+IF(AD33=0,0,VLOOKUP(AB33,装备强化!$AP$9:$AZ$58,AD33+1,FALSE)),"0")</f>
        <v>37733</v>
      </c>
    </row>
    <row r="34" spans="1:31" x14ac:dyDescent="0.15">
      <c r="A34" s="41">
        <f t="shared" si="0"/>
        <v>179703</v>
      </c>
      <c r="B34" s="36">
        <v>27</v>
      </c>
      <c r="C34" s="36">
        <f>怪物属性!R37</f>
        <v>790</v>
      </c>
      <c r="D34" s="36">
        <v>6</v>
      </c>
      <c r="E34" s="36">
        <v>5</v>
      </c>
      <c r="F34" s="36">
        <v>10</v>
      </c>
      <c r="G34" s="36">
        <f>IFERROR(IF(E34=1,0,VLOOKUP(D34,装备升级!$AM$7:$AQ$56,E34,FALSE))+IF(F34=0,0,VLOOKUP(D34,装备强化!$AP$9:$AZ$58,F34+1,FALSE)),"0")</f>
        <v>15099</v>
      </c>
      <c r="I34" s="36">
        <f>怪物属性!T37</f>
        <v>643</v>
      </c>
      <c r="J34" s="36">
        <v>7</v>
      </c>
      <c r="K34" s="36">
        <v>5</v>
      </c>
      <c r="L34" s="36">
        <v>10</v>
      </c>
      <c r="M34" s="36">
        <f>IFERROR(IF(K34=1,0,VLOOKUP(J34,装备升级!$AM$7:$AQ$56,K34,FALSE))+IF(L34=0,0,VLOOKUP(J34,装备强化!$AP$9:$AZ$58,L34+1,FALSE)),"0")</f>
        <v>17096</v>
      </c>
      <c r="O34" s="36">
        <f>怪物属性!AF37</f>
        <v>812</v>
      </c>
      <c r="P34" s="36">
        <v>10</v>
      </c>
      <c r="Q34" s="36">
        <v>5</v>
      </c>
      <c r="R34" s="36">
        <v>10</v>
      </c>
      <c r="S34" s="36">
        <f>IFERROR(IF(Q34=1,0,VLOOKUP(P34,装备升级!$AM$7:$AQ$56,Q34,FALSE))+IF(R34=0,0,VLOOKUP(P34,装备强化!$AP$9:$AZ$58,R34+1,FALSE)),"0")</f>
        <v>23349</v>
      </c>
      <c r="U34" s="36">
        <f>怪物属性!X37</f>
        <v>538</v>
      </c>
      <c r="V34" s="36">
        <v>12</v>
      </c>
      <c r="W34" s="36">
        <v>5</v>
      </c>
      <c r="X34" s="36">
        <v>10</v>
      </c>
      <c r="Y34" s="36">
        <f>IFERROR(IF(W34=1,0,VLOOKUP(V34,装备升级!$AM$7:$AQ$56,W34,FALSE))+IF(X34=0,0,VLOOKUP(V34,装备强化!$AP$9:$AZ$58,X34+1,FALSE)),"0")</f>
        <v>31153</v>
      </c>
      <c r="AA34" s="36">
        <f>怪物属性!AB37</f>
        <v>644</v>
      </c>
      <c r="AB34" s="36">
        <v>15</v>
      </c>
      <c r="AC34" s="36">
        <v>5</v>
      </c>
      <c r="AD34" s="36">
        <v>10</v>
      </c>
      <c r="AE34" s="36">
        <f>IFERROR(IF(AC34=1,0,VLOOKUP(AB34,装备升级!$AM$7:$AQ$56,AC34,FALSE))+IF(AD34=0,0,VLOOKUP(AB34,装备强化!$AP$9:$AZ$58,AD34+1,FALSE)),"0")</f>
        <v>41718</v>
      </c>
    </row>
    <row r="35" spans="1:31" x14ac:dyDescent="0.15">
      <c r="A35" s="41">
        <f t="shared" si="0"/>
        <v>195287</v>
      </c>
      <c r="B35" s="36">
        <v>28</v>
      </c>
      <c r="C35" s="36">
        <f>怪物属性!R38</f>
        <v>823</v>
      </c>
      <c r="D35" s="36">
        <v>6</v>
      </c>
      <c r="E35" s="36">
        <v>5</v>
      </c>
      <c r="F35" s="36">
        <v>10</v>
      </c>
      <c r="G35" s="36">
        <f>IFERROR(IF(E35=1,0,VLOOKUP(D35,装备升级!$AM$7:$AQ$56,E35,FALSE))+IF(F35=0,0,VLOOKUP(D35,装备强化!$AP$9:$AZ$58,F35+1,FALSE)),"0")</f>
        <v>15099</v>
      </c>
      <c r="I35" s="36">
        <f>怪物属性!T38</f>
        <v>671</v>
      </c>
      <c r="J35" s="36">
        <v>8</v>
      </c>
      <c r="K35" s="36">
        <v>5</v>
      </c>
      <c r="L35" s="36">
        <v>10</v>
      </c>
      <c r="M35" s="36">
        <f>IFERROR(IF(K35=1,0,VLOOKUP(J35,装备升级!$AM$7:$AQ$56,K35,FALSE))+IF(L35=0,0,VLOOKUP(J35,装备强化!$AP$9:$AZ$58,L35+1,FALSE)),"0")</f>
        <v>19140</v>
      </c>
      <c r="O35" s="36">
        <f>怪物属性!AF38</f>
        <v>844</v>
      </c>
      <c r="P35" s="36">
        <v>11</v>
      </c>
      <c r="Q35" s="36">
        <v>5</v>
      </c>
      <c r="R35" s="36">
        <v>10</v>
      </c>
      <c r="S35" s="36">
        <f>IFERROR(IF(Q35=1,0,VLOOKUP(P35,装备升级!$AM$7:$AQ$56,Q35,FALSE))+IF(R35=0,0,VLOOKUP(P35,装备强化!$AP$9:$AZ$58,R35+1,FALSE)),"0")</f>
        <v>25506</v>
      </c>
      <c r="U35" s="36">
        <f>怪物属性!X38</f>
        <v>561</v>
      </c>
      <c r="V35" s="36">
        <v>13</v>
      </c>
      <c r="W35" s="36">
        <v>5</v>
      </c>
      <c r="X35" s="36">
        <v>10</v>
      </c>
      <c r="Y35" s="36">
        <f>IFERROR(IF(W35=1,0,VLOOKUP(V35,装备升级!$AM$7:$AQ$56,W35,FALSE))+IF(X35=0,0,VLOOKUP(V35,装备强化!$AP$9:$AZ$58,X35+1,FALSE)),"0")</f>
        <v>33691</v>
      </c>
      <c r="AA35" s="36">
        <f>怪物属性!AB38</f>
        <v>669</v>
      </c>
      <c r="AB35" s="36">
        <v>16</v>
      </c>
      <c r="AC35" s="36">
        <v>5</v>
      </c>
      <c r="AD35" s="36">
        <v>10</v>
      </c>
      <c r="AE35" s="36">
        <f>IFERROR(IF(AC35=1,0,VLOOKUP(AB35,装备升级!$AM$7:$AQ$56,AC35,FALSE))+IF(AD35=0,0,VLOOKUP(AB35,装备强化!$AP$9:$AZ$58,AD35+1,FALSE)),"0")</f>
        <v>44431</v>
      </c>
    </row>
    <row r="36" spans="1:31" x14ac:dyDescent="0.15">
      <c r="A36" s="41">
        <f t="shared" si="0"/>
        <v>216713</v>
      </c>
      <c r="B36" s="36">
        <v>29</v>
      </c>
      <c r="C36" s="36">
        <f>怪物属性!R39</f>
        <v>858</v>
      </c>
      <c r="D36" s="36">
        <v>7</v>
      </c>
      <c r="E36" s="36">
        <v>5</v>
      </c>
      <c r="F36" s="36">
        <v>10</v>
      </c>
      <c r="G36" s="36">
        <f>IFERROR(IF(E36=1,0,VLOOKUP(D36,装备升级!$AM$7:$AQ$56,E36,FALSE))+IF(F36=0,0,VLOOKUP(D36,装备强化!$AP$9:$AZ$58,F36+1,FALSE)),"0")</f>
        <v>17096</v>
      </c>
      <c r="I36" s="36">
        <f>怪物属性!T39</f>
        <v>700</v>
      </c>
      <c r="J36" s="36">
        <v>8</v>
      </c>
      <c r="K36" s="36">
        <v>5</v>
      </c>
      <c r="L36" s="36">
        <v>10</v>
      </c>
      <c r="M36" s="36">
        <f>IFERROR(IF(K36=1,0,VLOOKUP(J36,装备升级!$AM$7:$AQ$56,K36,FALSE))+IF(L36=0,0,VLOOKUP(J36,装备强化!$AP$9:$AZ$58,L36+1,FALSE)),"0")</f>
        <v>19140</v>
      </c>
      <c r="O36" s="36">
        <f>怪物属性!AF39</f>
        <v>878</v>
      </c>
      <c r="P36" s="36">
        <v>12</v>
      </c>
      <c r="Q36" s="36">
        <v>5</v>
      </c>
      <c r="R36" s="36">
        <v>10</v>
      </c>
      <c r="S36" s="36">
        <f>IFERROR(IF(Q36=1,0,VLOOKUP(P36,装备升级!$AM$7:$AQ$56,Q36,FALSE))+IF(R36=0,0,VLOOKUP(P36,装备强化!$AP$9:$AZ$58,R36+1,FALSE)),"0")</f>
        <v>31153</v>
      </c>
      <c r="U36" s="36">
        <f>怪物属性!X39</f>
        <v>586</v>
      </c>
      <c r="V36" s="36">
        <v>14</v>
      </c>
      <c r="W36" s="36">
        <v>5</v>
      </c>
      <c r="X36" s="36">
        <v>10</v>
      </c>
      <c r="Y36" s="36">
        <f>IFERROR(IF(W36=1,0,VLOOKUP(V36,装备升级!$AM$7:$AQ$56,W36,FALSE))+IF(X36=0,0,VLOOKUP(V36,装备强化!$AP$9:$AZ$58,X36+1,FALSE)),"0")</f>
        <v>37733</v>
      </c>
      <c r="AA36" s="36">
        <f>怪物属性!AB39</f>
        <v>694</v>
      </c>
      <c r="AB36" s="36">
        <v>18</v>
      </c>
      <c r="AC36" s="36">
        <v>5</v>
      </c>
      <c r="AD36" s="36">
        <v>10</v>
      </c>
      <c r="AE36" s="36">
        <f>IFERROR(IF(AC36=1,0,VLOOKUP(AB36,装备升级!$AM$7:$AQ$56,AC36,FALSE))+IF(AD36=0,0,VLOOKUP(AB36,装备强化!$AP$9:$AZ$58,AD36+1,FALSE)),"0")</f>
        <v>54171</v>
      </c>
    </row>
    <row r="37" spans="1:31" x14ac:dyDescent="0.15">
      <c r="A37" s="41">
        <f t="shared" si="0"/>
        <v>242120</v>
      </c>
      <c r="B37" s="36">
        <v>30</v>
      </c>
      <c r="C37" s="36">
        <f>怪物属性!R40</f>
        <v>896</v>
      </c>
      <c r="D37" s="36">
        <v>8</v>
      </c>
      <c r="E37" s="36">
        <v>5</v>
      </c>
      <c r="F37" s="36">
        <v>10</v>
      </c>
      <c r="G37" s="36">
        <f>IFERROR(IF(E37=1,0,VLOOKUP(D37,装备升级!$AM$7:$AQ$56,E37,FALSE))+IF(F37=0,0,VLOOKUP(D37,装备强化!$AP$9:$AZ$58,F37+1,FALSE)),"0")</f>
        <v>19140</v>
      </c>
      <c r="I37" s="36">
        <f>怪物属性!T40</f>
        <v>731</v>
      </c>
      <c r="J37" s="36">
        <v>9</v>
      </c>
      <c r="K37" s="36">
        <v>5</v>
      </c>
      <c r="L37" s="36">
        <v>10</v>
      </c>
      <c r="M37" s="36">
        <f>IFERROR(IF(K37=1,0,VLOOKUP(J37,装备升级!$AM$7:$AQ$56,K37,FALSE))+IF(L37=0,0,VLOOKUP(J37,装备强化!$AP$9:$AZ$58,L37+1,FALSE)),"0")</f>
        <v>21220</v>
      </c>
      <c r="O37" s="36">
        <f>怪物属性!AF40</f>
        <v>915</v>
      </c>
      <c r="P37" s="36">
        <v>13</v>
      </c>
      <c r="Q37" s="36">
        <v>5</v>
      </c>
      <c r="R37" s="36">
        <v>10</v>
      </c>
      <c r="S37" s="36">
        <f>IFERROR(IF(Q37=1,0,VLOOKUP(P37,装备升级!$AM$7:$AQ$56,Q37,FALSE))+IF(R37=0,0,VLOOKUP(P37,装备强化!$AP$9:$AZ$58,R37+1,FALSE)),"0")</f>
        <v>33691</v>
      </c>
      <c r="U37" s="36">
        <f>怪物属性!X40</f>
        <v>612</v>
      </c>
      <c r="V37" s="36">
        <v>16</v>
      </c>
      <c r="W37" s="36">
        <v>5</v>
      </c>
      <c r="X37" s="36">
        <v>10</v>
      </c>
      <c r="Y37" s="36">
        <f>IFERROR(IF(W37=1,0,VLOOKUP(V37,装备升级!$AM$7:$AQ$56,W37,FALSE))+IF(X37=0,0,VLOOKUP(V37,装备强化!$AP$9:$AZ$58,X37+1,FALSE)),"0")</f>
        <v>44431</v>
      </c>
      <c r="AA37" s="36">
        <f>怪物属性!AB40</f>
        <v>721</v>
      </c>
      <c r="AB37" s="36">
        <v>19</v>
      </c>
      <c r="AC37" s="36">
        <v>5</v>
      </c>
      <c r="AD37" s="36">
        <v>10</v>
      </c>
      <c r="AE37" s="36">
        <f>IFERROR(IF(AC37=1,0,VLOOKUP(AB37,装备升级!$AM$7:$AQ$56,AC37,FALSE))+IF(AD37=0,0,VLOOKUP(AB37,装备强化!$AP$9:$AZ$58,AD37+1,FALSE)),"0")</f>
        <v>59978</v>
      </c>
    </row>
    <row r="38" spans="1:31" x14ac:dyDescent="0.15">
      <c r="A38" s="41">
        <f t="shared" si="0"/>
        <v>266000</v>
      </c>
      <c r="B38" s="36">
        <v>31</v>
      </c>
      <c r="C38" s="36">
        <f>怪物属性!R41</f>
        <v>936</v>
      </c>
      <c r="D38" s="36">
        <v>8</v>
      </c>
      <c r="E38" s="36">
        <v>5</v>
      </c>
      <c r="F38" s="36">
        <v>10</v>
      </c>
      <c r="G38" s="36">
        <f>IFERROR(IF(E38=1,0,VLOOKUP(D38,装备升级!$AM$7:$AQ$56,E38,FALSE))+IF(F38=0,0,VLOOKUP(D38,装备强化!$AP$9:$AZ$58,F38+1,FALSE)),"0")</f>
        <v>19140</v>
      </c>
      <c r="I38" s="36">
        <f>怪物属性!T41</f>
        <v>764</v>
      </c>
      <c r="J38" s="36">
        <v>10</v>
      </c>
      <c r="K38" s="36">
        <v>5</v>
      </c>
      <c r="L38" s="36">
        <v>10</v>
      </c>
      <c r="M38" s="36">
        <f>IFERROR(IF(K38=1,0,VLOOKUP(J38,装备升级!$AM$7:$AQ$56,K38,FALSE))+IF(L38=0,0,VLOOKUP(J38,装备强化!$AP$9:$AZ$58,L38+1,FALSE)),"0")</f>
        <v>23349</v>
      </c>
      <c r="O38" s="36">
        <f>怪物属性!AF41</f>
        <v>954</v>
      </c>
      <c r="P38" s="36">
        <v>14</v>
      </c>
      <c r="Q38" s="36">
        <v>5</v>
      </c>
      <c r="R38" s="36">
        <v>10</v>
      </c>
      <c r="S38" s="36">
        <f>IFERROR(IF(Q38=1,0,VLOOKUP(P38,装备升级!$AM$7:$AQ$56,Q38,FALSE))+IF(R38=0,0,VLOOKUP(P38,装备强化!$AP$9:$AZ$58,R38+1,FALSE)),"0")</f>
        <v>37733</v>
      </c>
      <c r="U38" s="36">
        <f>怪物属性!X41</f>
        <v>639</v>
      </c>
      <c r="V38" s="36">
        <v>17</v>
      </c>
      <c r="W38" s="36">
        <v>5</v>
      </c>
      <c r="X38" s="36">
        <v>10</v>
      </c>
      <c r="Y38" s="36">
        <f>IFERROR(IF(W38=1,0,VLOOKUP(V38,装备升级!$AM$7:$AQ$56,W38,FALSE))+IF(X38=0,0,VLOOKUP(V38,装备强化!$AP$9:$AZ$58,X38+1,FALSE)),"0")</f>
        <v>50096</v>
      </c>
      <c r="AA38" s="36">
        <f>怪物属性!AB41</f>
        <v>749</v>
      </c>
      <c r="AB38" s="36">
        <v>20</v>
      </c>
      <c r="AC38" s="36">
        <v>5</v>
      </c>
      <c r="AD38" s="36">
        <v>10</v>
      </c>
      <c r="AE38" s="36">
        <f>IFERROR(IF(AC38=1,0,VLOOKUP(AB38,装备升级!$AM$7:$AQ$56,AC38,FALSE))+IF(AD38=0,0,VLOOKUP(AB38,装备强化!$AP$9:$AZ$58,AD38+1,FALSE)),"0")</f>
        <v>65635</v>
      </c>
    </row>
    <row r="39" spans="1:31" x14ac:dyDescent="0.15">
      <c r="A39" s="41">
        <f t="shared" si="0"/>
        <v>304405</v>
      </c>
      <c r="B39" s="36">
        <v>32</v>
      </c>
      <c r="C39" s="36">
        <f>怪物属性!R42</f>
        <v>979</v>
      </c>
      <c r="D39" s="36">
        <v>9</v>
      </c>
      <c r="E39" s="36">
        <v>5</v>
      </c>
      <c r="F39" s="36">
        <v>10</v>
      </c>
      <c r="G39" s="36">
        <f>IFERROR(IF(E39=1,0,VLOOKUP(D39,装备升级!$AM$7:$AQ$56,E39,FALSE))+IF(F39=0,0,VLOOKUP(D39,装备强化!$AP$9:$AZ$58,F39+1,FALSE)),"0")</f>
        <v>21220</v>
      </c>
      <c r="I39" s="36">
        <f>怪物属性!T42</f>
        <v>799</v>
      </c>
      <c r="J39" s="36">
        <v>11</v>
      </c>
      <c r="K39" s="36">
        <v>5</v>
      </c>
      <c r="L39" s="36">
        <v>10</v>
      </c>
      <c r="M39" s="36">
        <f>IFERROR(IF(K39=1,0,VLOOKUP(J39,装备升级!$AM$7:$AQ$56,K39,FALSE))+IF(L39=0,0,VLOOKUP(J39,装备强化!$AP$9:$AZ$58,L39+1,FALSE)),"0")</f>
        <v>25506</v>
      </c>
      <c r="O39" s="36">
        <f>怪物属性!AF42</f>
        <v>995</v>
      </c>
      <c r="P39" s="36">
        <v>15</v>
      </c>
      <c r="Q39" s="36">
        <v>5</v>
      </c>
      <c r="R39" s="36">
        <v>10</v>
      </c>
      <c r="S39" s="36">
        <f>IFERROR(IF(Q39=1,0,VLOOKUP(P39,装备升级!$AM$7:$AQ$56,Q39,FALSE))+IF(R39=0,0,VLOOKUP(P39,装备强化!$AP$9:$AZ$58,R39+1,FALSE)),"0")</f>
        <v>41718</v>
      </c>
      <c r="U39" s="36">
        <f>怪物属性!X42</f>
        <v>668</v>
      </c>
      <c r="V39" s="36">
        <v>19</v>
      </c>
      <c r="W39" s="36">
        <v>5</v>
      </c>
      <c r="X39" s="36">
        <v>10</v>
      </c>
      <c r="Y39" s="36">
        <f>IFERROR(IF(W39=1,0,VLOOKUP(V39,装备升级!$AM$7:$AQ$56,W39,FALSE))+IF(X39=0,0,VLOOKUP(V39,装备强化!$AP$9:$AZ$58,X39+1,FALSE)),"0")</f>
        <v>59978</v>
      </c>
      <c r="AA39" s="36">
        <f>怪物属性!AB42</f>
        <v>779</v>
      </c>
      <c r="AB39" s="36">
        <v>22</v>
      </c>
      <c r="AC39" s="36">
        <v>5</v>
      </c>
      <c r="AD39" s="36">
        <v>10</v>
      </c>
      <c r="AE39" s="36">
        <f>IFERROR(IF(AC39=1,0,VLOOKUP(AB39,装备升级!$AM$7:$AQ$56,AC39,FALSE))+IF(AD39=0,0,VLOOKUP(AB39,装备强化!$AP$9:$AZ$58,AD39+1,FALSE)),"0")</f>
        <v>79465</v>
      </c>
    </row>
    <row r="40" spans="1:31" x14ac:dyDescent="0.15">
      <c r="A40" s="41">
        <f t="shared" si="0"/>
        <v>358353</v>
      </c>
      <c r="B40" s="36">
        <v>33</v>
      </c>
      <c r="C40" s="36">
        <f>怪物属性!R43</f>
        <v>1024</v>
      </c>
      <c r="D40" s="36">
        <v>10</v>
      </c>
      <c r="E40" s="36">
        <v>5</v>
      </c>
      <c r="F40" s="36">
        <v>10</v>
      </c>
      <c r="G40" s="36">
        <f>IFERROR(IF(E40=1,0,VLOOKUP(D40,装备升级!$AM$7:$AQ$56,E40,FALSE))+IF(F40=0,0,VLOOKUP(D40,装备强化!$AP$9:$AZ$58,F40+1,FALSE)),"0")</f>
        <v>23349</v>
      </c>
      <c r="I40" s="36">
        <f>怪物属性!T43</f>
        <v>837</v>
      </c>
      <c r="J40" s="36">
        <v>12</v>
      </c>
      <c r="K40" s="36">
        <v>5</v>
      </c>
      <c r="L40" s="36">
        <v>10</v>
      </c>
      <c r="M40" s="36">
        <f>IFERROR(IF(K40=1,0,VLOOKUP(J40,装备升级!$AM$7:$AQ$56,K40,FALSE))+IF(L40=0,0,VLOOKUP(J40,装备强化!$AP$9:$AZ$58,L40+1,FALSE)),"0")</f>
        <v>31153</v>
      </c>
      <c r="O40" s="36">
        <f>怪物属性!AF43</f>
        <v>1040</v>
      </c>
      <c r="P40" s="36">
        <v>17</v>
      </c>
      <c r="Q40" s="36">
        <v>5</v>
      </c>
      <c r="R40" s="36">
        <v>10</v>
      </c>
      <c r="S40" s="36">
        <f>IFERROR(IF(Q40=1,0,VLOOKUP(P40,装备升级!$AM$7:$AQ$56,Q40,FALSE))+IF(R40=0,0,VLOOKUP(P40,装备强化!$AP$9:$AZ$58,R40+1,FALSE)),"0")</f>
        <v>50096</v>
      </c>
      <c r="U40" s="36">
        <f>怪物属性!X43</f>
        <v>698</v>
      </c>
      <c r="V40" s="36">
        <v>21</v>
      </c>
      <c r="W40" s="36">
        <v>5</v>
      </c>
      <c r="X40" s="36">
        <v>10</v>
      </c>
      <c r="Y40" s="36">
        <f>IFERROR(IF(W40=1,0,VLOOKUP(V40,装备升级!$AM$7:$AQ$56,W40,FALSE))+IF(X40=0,0,VLOOKUP(V40,装备强化!$AP$9:$AZ$58,X40+1,FALSE)),"0")</f>
        <v>73578</v>
      </c>
      <c r="AA40" s="36">
        <f>怪物属性!AB43</f>
        <v>810</v>
      </c>
      <c r="AB40" s="36">
        <v>23</v>
      </c>
      <c r="AC40" s="36">
        <v>5</v>
      </c>
      <c r="AD40" s="36">
        <v>10</v>
      </c>
      <c r="AE40" s="36">
        <f>IFERROR(IF(AC40=1,0,VLOOKUP(AB40,装备升级!$AM$7:$AQ$56,AC40,FALSE))+IF(AD40=0,0,VLOOKUP(AB40,装备强化!$AP$9:$AZ$58,AD40+1,FALSE)),"0")</f>
        <v>86718</v>
      </c>
    </row>
    <row r="41" spans="1:31" x14ac:dyDescent="0.15">
      <c r="A41" s="41">
        <f t="shared" si="0"/>
        <v>399043</v>
      </c>
      <c r="B41" s="36">
        <v>34</v>
      </c>
      <c r="C41" s="36">
        <f>怪物属性!R44</f>
        <v>1074</v>
      </c>
      <c r="D41" s="36">
        <v>11</v>
      </c>
      <c r="E41" s="36">
        <v>5</v>
      </c>
      <c r="F41" s="36">
        <v>10</v>
      </c>
      <c r="G41" s="36">
        <f>IFERROR(IF(E41=1,0,VLOOKUP(D41,装备升级!$AM$7:$AQ$56,E41,FALSE))+IF(F41=0,0,VLOOKUP(D41,装备强化!$AP$9:$AZ$58,F41+1,FALSE)),"0")</f>
        <v>25506</v>
      </c>
      <c r="I41" s="36">
        <f>怪物属性!T44</f>
        <v>878</v>
      </c>
      <c r="J41" s="36">
        <v>13</v>
      </c>
      <c r="K41" s="36">
        <v>5</v>
      </c>
      <c r="L41" s="36">
        <v>10</v>
      </c>
      <c r="M41" s="36">
        <f>IFERROR(IF(K41=1,0,VLOOKUP(J41,装备升级!$AM$7:$AQ$56,K41,FALSE))+IF(L41=0,0,VLOOKUP(J41,装备强化!$AP$9:$AZ$58,L41+1,FALSE)),"0")</f>
        <v>33691</v>
      </c>
      <c r="O41" s="36">
        <f>怪物属性!AF44</f>
        <v>1087</v>
      </c>
      <c r="P41" s="36">
        <v>18</v>
      </c>
      <c r="Q41" s="36">
        <v>5</v>
      </c>
      <c r="R41" s="36">
        <v>10</v>
      </c>
      <c r="S41" s="36">
        <f>IFERROR(IF(Q41=1,0,VLOOKUP(P41,装备升级!$AM$7:$AQ$56,Q41,FALSE))+IF(R41=0,0,VLOOKUP(P41,装备强化!$AP$9:$AZ$58,R41+1,FALSE)),"0")</f>
        <v>54171</v>
      </c>
      <c r="U41" s="36">
        <f>怪物属性!X44</f>
        <v>730</v>
      </c>
      <c r="V41" s="36">
        <v>22</v>
      </c>
      <c r="W41" s="36">
        <v>5</v>
      </c>
      <c r="X41" s="36">
        <v>10</v>
      </c>
      <c r="Y41" s="36">
        <f>IFERROR(IF(W41=1,0,VLOOKUP(V41,装备升级!$AM$7:$AQ$56,W41,FALSE))+IF(X41=0,0,VLOOKUP(V41,装备强化!$AP$9:$AZ$58,X41+1,FALSE)),"0")</f>
        <v>79465</v>
      </c>
      <c r="AA41" s="36">
        <f>怪物属性!AB44</f>
        <v>845</v>
      </c>
      <c r="AB41" s="36">
        <v>25</v>
      </c>
      <c r="AC41" s="36">
        <v>5</v>
      </c>
      <c r="AD41" s="36">
        <v>10</v>
      </c>
      <c r="AE41" s="36">
        <f>IFERROR(IF(AC41=1,0,VLOOKUP(AB41,装备升级!$AM$7:$AQ$56,AC41,FALSE))+IF(AD41=0,0,VLOOKUP(AB41,装备强化!$AP$9:$AZ$58,AD41+1,FALSE)),"0")</f>
        <v>105137</v>
      </c>
    </row>
    <row r="42" spans="1:31" x14ac:dyDescent="0.15">
      <c r="A42" s="41">
        <f t="shared" si="0"/>
        <v>472762</v>
      </c>
      <c r="B42" s="36">
        <v>35</v>
      </c>
      <c r="C42" s="36">
        <f>怪物属性!R45</f>
        <v>1128</v>
      </c>
      <c r="D42" s="36">
        <v>12</v>
      </c>
      <c r="E42" s="36">
        <v>5</v>
      </c>
      <c r="F42" s="36">
        <v>10</v>
      </c>
      <c r="G42" s="36">
        <f>IFERROR(IF(E42=1,0,VLOOKUP(D42,装备升级!$AM$7:$AQ$56,E42,FALSE))+IF(F42=0,0,VLOOKUP(D42,装备强化!$AP$9:$AZ$58,F42+1,FALSE)),"0")</f>
        <v>31153</v>
      </c>
      <c r="I42" s="36">
        <f>怪物属性!T45</f>
        <v>920</v>
      </c>
      <c r="J42" s="36">
        <v>14</v>
      </c>
      <c r="K42" s="36">
        <v>5</v>
      </c>
      <c r="L42" s="36">
        <v>10</v>
      </c>
      <c r="M42" s="36">
        <f>IFERROR(IF(K42=1,0,VLOOKUP(J42,装备升级!$AM$7:$AQ$56,K42,FALSE))+IF(L42=0,0,VLOOKUP(J42,装备强化!$AP$9:$AZ$58,L42+1,FALSE)),"0")</f>
        <v>37733</v>
      </c>
      <c r="O42" s="36">
        <f>怪物属性!AF45</f>
        <v>1139</v>
      </c>
      <c r="P42" s="36">
        <v>20</v>
      </c>
      <c r="Q42" s="36">
        <v>5</v>
      </c>
      <c r="R42" s="36">
        <v>10</v>
      </c>
      <c r="S42" s="36">
        <f>IFERROR(IF(Q42=1,0,VLOOKUP(P42,装备升级!$AM$7:$AQ$56,Q42,FALSE))+IF(R42=0,0,VLOOKUP(P42,装备强化!$AP$9:$AZ$58,R42+1,FALSE)),"0")</f>
        <v>65635</v>
      </c>
      <c r="U42" s="36">
        <f>怪物属性!X45</f>
        <v>764</v>
      </c>
      <c r="V42" s="36">
        <v>24</v>
      </c>
      <c r="W42" s="36">
        <v>5</v>
      </c>
      <c r="X42" s="36">
        <v>10</v>
      </c>
      <c r="Y42" s="36">
        <f>IFERROR(IF(W42=1,0,VLOOKUP(V42,装备升级!$AM$7:$AQ$56,W42,FALSE))+IF(X42=0,0,VLOOKUP(V42,装备强化!$AP$9:$AZ$58,X42+1,FALSE)),"0")</f>
        <v>97581</v>
      </c>
      <c r="AA42" s="36">
        <f>怪物属性!AB45</f>
        <v>880</v>
      </c>
      <c r="AB42" s="36">
        <v>27</v>
      </c>
      <c r="AC42" s="36">
        <v>5</v>
      </c>
      <c r="AD42" s="36">
        <v>10</v>
      </c>
      <c r="AE42" s="36">
        <f>IFERROR(IF(AC42=1,0,VLOOKUP(AB42,装备升级!$AM$7:$AQ$56,AC42,FALSE))+IF(AD42=0,0,VLOOKUP(AB42,装备强化!$AP$9:$AZ$58,AD42+1,FALSE)),"0")</f>
        <v>127461</v>
      </c>
    </row>
    <row r="43" spans="1:31" x14ac:dyDescent="0.15">
      <c r="A43" s="41">
        <f t="shared" si="0"/>
        <v>524167</v>
      </c>
      <c r="B43" s="36">
        <v>36</v>
      </c>
      <c r="C43" s="36">
        <f>怪物属性!R46</f>
        <v>1186</v>
      </c>
      <c r="D43" s="36">
        <v>13</v>
      </c>
      <c r="E43" s="36">
        <v>5</v>
      </c>
      <c r="F43" s="36">
        <v>10</v>
      </c>
      <c r="G43" s="36">
        <f>IFERROR(IF(E43=1,0,VLOOKUP(D43,装备升级!$AM$7:$AQ$56,E43,FALSE))+IF(F43=0,0,VLOOKUP(D43,装备强化!$AP$9:$AZ$58,F43+1,FALSE)),"0")</f>
        <v>33691</v>
      </c>
      <c r="I43" s="36">
        <f>怪物属性!T46</f>
        <v>967</v>
      </c>
      <c r="J43" s="36">
        <v>15</v>
      </c>
      <c r="K43" s="36">
        <v>5</v>
      </c>
      <c r="L43" s="36">
        <v>10</v>
      </c>
      <c r="M43" s="36">
        <f>IFERROR(IF(K43=1,0,VLOOKUP(J43,装备升级!$AM$7:$AQ$56,K43,FALSE))+IF(L43=0,0,VLOOKUP(J43,装备强化!$AP$9:$AZ$58,L43+1,FALSE)),"0")</f>
        <v>41718</v>
      </c>
      <c r="O43" s="36">
        <f>怪物属性!AF46</f>
        <v>1195</v>
      </c>
      <c r="P43" s="36">
        <v>21</v>
      </c>
      <c r="Q43" s="36">
        <v>5</v>
      </c>
      <c r="R43" s="36">
        <v>10</v>
      </c>
      <c r="S43" s="36">
        <f>IFERROR(IF(Q43=1,0,VLOOKUP(P43,装备升级!$AM$7:$AQ$56,Q43,FALSE))+IF(R43=0,0,VLOOKUP(P43,装备强化!$AP$9:$AZ$58,R43+1,FALSE)),"0")</f>
        <v>73578</v>
      </c>
      <c r="U43" s="36">
        <f>怪物属性!X46</f>
        <v>800</v>
      </c>
      <c r="V43" s="36">
        <v>26</v>
      </c>
      <c r="W43" s="36">
        <v>5</v>
      </c>
      <c r="X43" s="36">
        <v>10</v>
      </c>
      <c r="Y43" s="36">
        <f>IFERROR(IF(W43=1,0,VLOOKUP(V43,装备升级!$AM$7:$AQ$56,W43,FALSE))+IF(X43=0,0,VLOOKUP(V43,装备强化!$AP$9:$AZ$58,X43+1,FALSE)),"0")</f>
        <v>113689</v>
      </c>
      <c r="AA43" s="36">
        <f>怪物属性!AB46</f>
        <v>919</v>
      </c>
      <c r="AB43" s="36">
        <v>28</v>
      </c>
      <c r="AC43" s="36">
        <v>5</v>
      </c>
      <c r="AD43" s="36">
        <v>10</v>
      </c>
      <c r="AE43" s="36">
        <f>IFERROR(IF(AC43=1,0,VLOOKUP(AB43,装备升级!$AM$7:$AQ$56,AC43,FALSE))+IF(AD43=0,0,VLOOKUP(AB43,装备强化!$AP$9:$AZ$58,AD43+1,FALSE)),"0")</f>
        <v>136337</v>
      </c>
    </row>
    <row r="44" spans="1:31" x14ac:dyDescent="0.15">
      <c r="A44" s="41">
        <f t="shared" si="0"/>
        <v>615325</v>
      </c>
      <c r="B44" s="36">
        <v>37</v>
      </c>
      <c r="C44" s="36">
        <f>怪物属性!R47</f>
        <v>1249</v>
      </c>
      <c r="D44" s="36">
        <v>14</v>
      </c>
      <c r="E44" s="36">
        <v>5</v>
      </c>
      <c r="F44" s="36">
        <v>10</v>
      </c>
      <c r="G44" s="36">
        <f>IFERROR(IF(E44=1,0,VLOOKUP(D44,装备升级!$AM$7:$AQ$56,E44,FALSE))+IF(F44=0,0,VLOOKUP(D44,装备强化!$AP$9:$AZ$58,F44+1,FALSE)),"0")</f>
        <v>37733</v>
      </c>
      <c r="I44" s="36">
        <f>怪物属性!T47</f>
        <v>1017</v>
      </c>
      <c r="J44" s="36">
        <v>16</v>
      </c>
      <c r="K44" s="36">
        <v>5</v>
      </c>
      <c r="L44" s="36">
        <v>10</v>
      </c>
      <c r="M44" s="36">
        <f>IFERROR(IF(K44=1,0,VLOOKUP(J44,装备升级!$AM$7:$AQ$56,K44,FALSE))+IF(L44=0,0,VLOOKUP(J44,装备强化!$AP$9:$AZ$58,L44+1,FALSE)),"0")</f>
        <v>44431</v>
      </c>
      <c r="O44" s="36">
        <f>怪物属性!AF47</f>
        <v>1255</v>
      </c>
      <c r="P44" s="36">
        <v>23</v>
      </c>
      <c r="Q44" s="36">
        <v>5</v>
      </c>
      <c r="R44" s="36">
        <v>10</v>
      </c>
      <c r="S44" s="36">
        <f>IFERROR(IF(Q44=1,0,VLOOKUP(P44,装备升级!$AM$7:$AQ$56,Q44,FALSE))+IF(R44=0,0,VLOOKUP(P44,装备强化!$AP$9:$AZ$58,R44+1,FALSE)),"0")</f>
        <v>86718</v>
      </c>
      <c r="U44" s="36">
        <f>怪物属性!X47</f>
        <v>839</v>
      </c>
      <c r="V44" s="36">
        <v>29</v>
      </c>
      <c r="W44" s="36">
        <v>5</v>
      </c>
      <c r="X44" s="36">
        <v>10</v>
      </c>
      <c r="Y44" s="36">
        <f>IFERROR(IF(W44=1,0,VLOOKUP(V44,装备升级!$AM$7:$AQ$56,W44,FALSE))+IF(X44=0,0,VLOOKUP(V44,装备强化!$AP$9:$AZ$58,X44+1,FALSE)),"0")</f>
        <v>152235</v>
      </c>
      <c r="AA44" s="36">
        <f>怪物属性!AB47</f>
        <v>959</v>
      </c>
      <c r="AB44" s="36">
        <v>30</v>
      </c>
      <c r="AC44" s="36">
        <v>5</v>
      </c>
      <c r="AD44" s="36">
        <v>10</v>
      </c>
      <c r="AE44" s="36">
        <f>IFERROR(IF(AC44=1,0,VLOOKUP(AB44,装备升级!$AM$7:$AQ$56,AC44,FALSE))+IF(AD44=0,0,VLOOKUP(AB44,装备强化!$AP$9:$AZ$58,AD44+1,FALSE)),"0")</f>
        <v>160915</v>
      </c>
    </row>
    <row r="45" spans="1:31" x14ac:dyDescent="0.15">
      <c r="A45" s="41">
        <f t="shared" si="0"/>
        <v>749914</v>
      </c>
      <c r="B45" s="36">
        <v>38</v>
      </c>
      <c r="C45" s="36">
        <f>怪物属性!R48</f>
        <v>1317</v>
      </c>
      <c r="D45" s="36">
        <v>16</v>
      </c>
      <c r="E45" s="36">
        <v>5</v>
      </c>
      <c r="F45" s="36">
        <v>10</v>
      </c>
      <c r="G45" s="36">
        <f>IFERROR(IF(E45=1,0,VLOOKUP(D45,装备升级!$AM$7:$AQ$56,E45,FALSE))+IF(F45=0,0,VLOOKUP(D45,装备强化!$AP$9:$AZ$58,F45+1,FALSE)),"0")</f>
        <v>44431</v>
      </c>
      <c r="I45" s="36">
        <f>怪物属性!T48</f>
        <v>1071</v>
      </c>
      <c r="J45" s="36">
        <v>18</v>
      </c>
      <c r="K45" s="36">
        <v>5</v>
      </c>
      <c r="L45" s="36">
        <v>10</v>
      </c>
      <c r="M45" s="36">
        <f>IFERROR(IF(K45=1,0,VLOOKUP(J45,装备升级!$AM$7:$AQ$56,K45,FALSE))+IF(L45=0,0,VLOOKUP(J45,装备强化!$AP$9:$AZ$58,L45+1,FALSE)),"0")</f>
        <v>54171</v>
      </c>
      <c r="O45" s="36">
        <f>怪物属性!AF48</f>
        <v>1321</v>
      </c>
      <c r="P45" s="36">
        <v>25</v>
      </c>
      <c r="Q45" s="36">
        <v>5</v>
      </c>
      <c r="R45" s="36">
        <v>10</v>
      </c>
      <c r="S45" s="36">
        <f>IFERROR(IF(Q45=1,0,VLOOKUP(P45,装备升级!$AM$7:$AQ$56,Q45,FALSE))+IF(R45=0,0,VLOOKUP(P45,装备强化!$AP$9:$AZ$58,R45+1,FALSE)),"0")</f>
        <v>105137</v>
      </c>
      <c r="U45" s="36">
        <f>怪物属性!X48</f>
        <v>880</v>
      </c>
      <c r="V45" s="36">
        <v>31</v>
      </c>
      <c r="W45" s="36">
        <v>5</v>
      </c>
      <c r="X45" s="36">
        <v>10</v>
      </c>
      <c r="Y45" s="36">
        <f>IFERROR(IF(W45=1,0,VLOOKUP(V45,装备升级!$AM$7:$AQ$56,W45,FALSE))+IF(X45=0,0,VLOOKUP(V45,装备强化!$AP$9:$AZ$58,X45+1,FALSE)),"0")</f>
        <v>185369</v>
      </c>
      <c r="AA45" s="36">
        <f>怪物属性!AB48</f>
        <v>1002</v>
      </c>
      <c r="AB45" s="36">
        <v>32</v>
      </c>
      <c r="AC45" s="36">
        <v>5</v>
      </c>
      <c r="AD45" s="36">
        <v>10</v>
      </c>
      <c r="AE45" s="36">
        <f>IFERROR(IF(AC45=1,0,VLOOKUP(AB45,装备升级!$AM$7:$AQ$56,AC45,FALSE))+IF(AD45=0,0,VLOOKUP(AB45,装备强化!$AP$9:$AZ$58,AD45+1,FALSE)),"0")</f>
        <v>198293</v>
      </c>
    </row>
    <row r="46" spans="1:31" x14ac:dyDescent="0.15">
      <c r="A46" s="41">
        <f t="shared" si="0"/>
        <v>898445</v>
      </c>
      <c r="B46" s="36">
        <v>39</v>
      </c>
      <c r="C46" s="36">
        <f>怪物属性!R49</f>
        <v>1391</v>
      </c>
      <c r="D46" s="36">
        <v>17</v>
      </c>
      <c r="E46" s="36">
        <v>5</v>
      </c>
      <c r="F46" s="36">
        <v>10</v>
      </c>
      <c r="G46" s="36">
        <f>IFERROR(IF(E46=1,0,VLOOKUP(D46,装备升级!$AM$7:$AQ$56,E46,FALSE))+IF(F46=0,0,VLOOKUP(D46,装备强化!$AP$9:$AZ$58,F46+1,FALSE)),"0")</f>
        <v>50096</v>
      </c>
      <c r="I46" s="36">
        <f>怪物属性!T49</f>
        <v>1129</v>
      </c>
      <c r="J46" s="36">
        <v>19</v>
      </c>
      <c r="K46" s="36">
        <v>5</v>
      </c>
      <c r="L46" s="36">
        <v>10</v>
      </c>
      <c r="M46" s="36">
        <f>IFERROR(IF(K46=1,0,VLOOKUP(J46,装备升级!$AM$7:$AQ$56,K46,FALSE))+IF(L46=0,0,VLOOKUP(J46,装备强化!$AP$9:$AZ$58,L46+1,FALSE)),"0")</f>
        <v>59978</v>
      </c>
      <c r="O46" s="36">
        <f>怪物属性!AF49</f>
        <v>1391</v>
      </c>
      <c r="P46" s="36">
        <v>27</v>
      </c>
      <c r="Q46" s="36">
        <v>5</v>
      </c>
      <c r="R46" s="36">
        <v>10</v>
      </c>
      <c r="S46" s="36">
        <f>IFERROR(IF(Q46=1,0,VLOOKUP(P46,装备升级!$AM$7:$AQ$56,Q46,FALSE))+IF(R46=0,0,VLOOKUP(P46,装备强化!$AP$9:$AZ$58,R46+1,FALSE)),"0")</f>
        <v>127461</v>
      </c>
      <c r="U46" s="36">
        <f>怪物属性!X49</f>
        <v>924</v>
      </c>
      <c r="V46" s="36">
        <v>33</v>
      </c>
      <c r="W46" s="36">
        <v>5</v>
      </c>
      <c r="X46" s="36">
        <v>10</v>
      </c>
      <c r="Y46" s="36">
        <f>IFERROR(IF(W46=1,0,VLOOKUP(V46,装备升级!$AM$7:$AQ$56,W46,FALSE))+IF(X46=0,0,VLOOKUP(V46,装备强化!$AP$9:$AZ$58,X46+1,FALSE)),"0")</f>
        <v>216793</v>
      </c>
      <c r="AA46" s="36">
        <f>怪物属性!AB49</f>
        <v>1049</v>
      </c>
      <c r="AB46" s="36">
        <v>35</v>
      </c>
      <c r="AC46" s="36">
        <v>5</v>
      </c>
      <c r="AD46" s="36">
        <v>10</v>
      </c>
      <c r="AE46" s="36">
        <f>IFERROR(IF(AC46=1,0,VLOOKUP(AB46,装备升级!$AM$7:$AQ$56,AC46,FALSE))+IF(AD46=0,0,VLOOKUP(AB46,装备强化!$AP$9:$AZ$58,AD46+1,FALSE)),"0")</f>
        <v>264183</v>
      </c>
    </row>
    <row r="47" spans="1:31" x14ac:dyDescent="0.15">
      <c r="A47" s="41">
        <f t="shared" si="0"/>
        <v>1127651</v>
      </c>
      <c r="B47" s="36">
        <v>40</v>
      </c>
      <c r="C47" s="36">
        <f>怪物属性!R50</f>
        <v>1471</v>
      </c>
      <c r="D47" s="36">
        <v>19</v>
      </c>
      <c r="E47" s="36">
        <v>5</v>
      </c>
      <c r="F47" s="36">
        <v>10</v>
      </c>
      <c r="G47" s="36">
        <f>IFERROR(IF(E47=1,0,VLOOKUP(D47,装备升级!$AM$7:$AQ$56,E47,FALSE))+IF(F47=0,0,VLOOKUP(D47,装备强化!$AP$9:$AZ$58,F47+1,FALSE)),"0")</f>
        <v>59978</v>
      </c>
      <c r="I47" s="36">
        <f>怪物属性!T50</f>
        <v>1192</v>
      </c>
      <c r="J47" s="36">
        <v>21</v>
      </c>
      <c r="K47" s="36">
        <v>5</v>
      </c>
      <c r="L47" s="36">
        <v>10</v>
      </c>
      <c r="M47" s="36">
        <f>IFERROR(IF(K47=1,0,VLOOKUP(J47,装备升级!$AM$7:$AQ$56,K47,FALSE))+IF(L47=0,0,VLOOKUP(J47,装备强化!$AP$9:$AZ$58,L47+1,FALSE)),"0")</f>
        <v>73578</v>
      </c>
      <c r="O47" s="36">
        <f>怪物属性!AF50</f>
        <v>1469</v>
      </c>
      <c r="P47" s="36">
        <v>30</v>
      </c>
      <c r="Q47" s="36">
        <v>5</v>
      </c>
      <c r="R47" s="36">
        <v>10</v>
      </c>
      <c r="S47" s="36">
        <f>IFERROR(IF(Q47=1,0,VLOOKUP(P47,装备升级!$AM$7:$AQ$56,Q47,FALSE))+IF(R47=0,0,VLOOKUP(P47,装备强化!$AP$9:$AZ$58,R47+1,FALSE)),"0")</f>
        <v>160915</v>
      </c>
      <c r="U47" s="36">
        <f>怪物属性!X50</f>
        <v>971</v>
      </c>
      <c r="V47" s="36">
        <v>36</v>
      </c>
      <c r="W47" s="36">
        <v>5</v>
      </c>
      <c r="X47" s="36">
        <v>10</v>
      </c>
      <c r="Y47" s="36">
        <f>IFERROR(IF(W47=1,0,VLOOKUP(V47,装备升级!$AM$7:$AQ$56,W47,FALSE))+IF(X47=0,0,VLOOKUP(V47,装备强化!$AP$9:$AZ$58,X47+1,FALSE)),"0")</f>
        <v>289026</v>
      </c>
      <c r="AA47" s="36">
        <f>怪物属性!AB50</f>
        <v>1099</v>
      </c>
      <c r="AB47" s="36">
        <v>37</v>
      </c>
      <c r="AC47" s="36">
        <v>5</v>
      </c>
      <c r="AD47" s="36">
        <v>10</v>
      </c>
      <c r="AE47" s="36">
        <f>IFERROR(IF(AC47=1,0,VLOOKUP(AB47,装备升级!$AM$7:$AQ$56,AC47,FALSE))+IF(AD47=0,0,VLOOKUP(AB47,装备强化!$AP$9:$AZ$58,AD47+1,FALSE)),"0")</f>
        <v>323420</v>
      </c>
    </row>
    <row r="48" spans="1:31" x14ac:dyDescent="0.15">
      <c r="A48" s="41">
        <f t="shared" si="0"/>
        <v>1413843</v>
      </c>
      <c r="B48" s="36">
        <v>41</v>
      </c>
      <c r="C48" s="36">
        <f>怪物属性!R51</f>
        <v>1558</v>
      </c>
      <c r="D48" s="36">
        <v>20</v>
      </c>
      <c r="E48" s="36">
        <v>5</v>
      </c>
      <c r="F48" s="36">
        <v>10</v>
      </c>
      <c r="G48" s="36">
        <f>IFERROR(IF(E48=1,0,VLOOKUP(D48,装备升级!$AM$7:$AQ$56,E48,FALSE))+IF(F48=0,0,VLOOKUP(D48,装备强化!$AP$9:$AZ$58,F48+1,FALSE)),"0")</f>
        <v>65635</v>
      </c>
      <c r="I48" s="36">
        <f>怪物属性!T51</f>
        <v>1261</v>
      </c>
      <c r="J48" s="36">
        <v>23</v>
      </c>
      <c r="K48" s="36">
        <v>5</v>
      </c>
      <c r="L48" s="36">
        <v>10</v>
      </c>
      <c r="M48" s="36">
        <f>IFERROR(IF(K48=1,0,VLOOKUP(J48,装备升级!$AM$7:$AQ$56,K48,FALSE))+IF(L48=0,0,VLOOKUP(J48,装备强化!$AP$9:$AZ$58,L48+1,FALSE)),"0")</f>
        <v>86718</v>
      </c>
      <c r="O48" s="36">
        <f>怪物属性!AF51</f>
        <v>1552</v>
      </c>
      <c r="P48" s="36">
        <v>32</v>
      </c>
      <c r="Q48" s="36">
        <v>5</v>
      </c>
      <c r="R48" s="36">
        <v>10</v>
      </c>
      <c r="S48" s="36">
        <f>IFERROR(IF(Q48=1,0,VLOOKUP(P48,装备升级!$AM$7:$AQ$56,Q48,FALSE))+IF(R48=0,0,VLOOKUP(P48,装备强化!$AP$9:$AZ$58,R48+1,FALSE)),"0")</f>
        <v>198293</v>
      </c>
      <c r="U48" s="36">
        <f>怪物属性!X51</f>
        <v>1021</v>
      </c>
      <c r="V48" s="36">
        <v>39</v>
      </c>
      <c r="W48" s="36">
        <v>5</v>
      </c>
      <c r="X48" s="36">
        <v>10</v>
      </c>
      <c r="Y48" s="36">
        <f>IFERROR(IF(W48=1,0,VLOOKUP(V48,装备升级!$AM$7:$AQ$56,W48,FALSE))+IF(X48=0,0,VLOOKUP(V48,装备强化!$AP$9:$AZ$58,X48+1,FALSE)),"0")</f>
        <v>383904</v>
      </c>
      <c r="AA48" s="36">
        <f>怪物属性!AB51</f>
        <v>1153</v>
      </c>
      <c r="AB48" s="36">
        <v>40</v>
      </c>
      <c r="AC48" s="36">
        <v>5</v>
      </c>
      <c r="AD48" s="36">
        <v>10</v>
      </c>
      <c r="AE48" s="36">
        <f>IFERROR(IF(AC48=1,0,VLOOKUP(AB48,装备升级!$AM$7:$AQ$56,AC48,FALSE))+IF(AD48=0,0,VLOOKUP(AB48,装备强化!$AP$9:$AZ$58,AD48+1,FALSE)),"0")</f>
        <v>419139</v>
      </c>
    </row>
    <row r="49" spans="1:31" x14ac:dyDescent="0.15">
      <c r="A49" s="41">
        <f t="shared" si="0"/>
        <v>1755442</v>
      </c>
      <c r="B49" s="36">
        <v>42</v>
      </c>
      <c r="C49" s="36">
        <f>怪物属性!R52</f>
        <v>1653</v>
      </c>
      <c r="D49" s="36">
        <v>22</v>
      </c>
      <c r="E49" s="36">
        <v>5</v>
      </c>
      <c r="F49" s="36">
        <v>10</v>
      </c>
      <c r="G49" s="36">
        <f>IFERROR(IF(E49=1,0,VLOOKUP(D49,装备升级!$AM$7:$AQ$56,E49,FALSE))+IF(F49=0,0,VLOOKUP(D49,装备强化!$AP$9:$AZ$58,F49+1,FALSE)),"0")</f>
        <v>79465</v>
      </c>
      <c r="I49" s="36">
        <f>怪物属性!T52</f>
        <v>1334</v>
      </c>
      <c r="J49" s="36">
        <v>24</v>
      </c>
      <c r="K49" s="36">
        <v>5</v>
      </c>
      <c r="L49" s="36">
        <v>10</v>
      </c>
      <c r="M49" s="36">
        <f>IFERROR(IF(K49=1,0,VLOOKUP(J49,装备升级!$AM$7:$AQ$56,K49,FALSE))+IF(L49=0,0,VLOOKUP(J49,装备强化!$AP$9:$AZ$58,L49+1,FALSE)),"0")</f>
        <v>97581</v>
      </c>
      <c r="O49" s="36">
        <f>怪物属性!AF52</f>
        <v>1642</v>
      </c>
      <c r="P49" s="36">
        <v>35</v>
      </c>
      <c r="Q49" s="36">
        <v>5</v>
      </c>
      <c r="R49" s="36">
        <v>10</v>
      </c>
      <c r="S49" s="36">
        <f>IFERROR(IF(Q49=1,0,VLOOKUP(P49,装备升级!$AM$7:$AQ$56,Q49,FALSE))+IF(R49=0,0,VLOOKUP(P49,装备强化!$AP$9:$AZ$58,R49+1,FALSE)),"0")</f>
        <v>264183</v>
      </c>
      <c r="U49" s="36">
        <f>怪物属性!X52</f>
        <v>1076</v>
      </c>
      <c r="V49" s="36">
        <v>42</v>
      </c>
      <c r="W49" s="36">
        <v>5</v>
      </c>
      <c r="X49" s="36">
        <v>10</v>
      </c>
      <c r="Y49" s="36">
        <f>IFERROR(IF(W49=1,0,VLOOKUP(V49,装备升级!$AM$7:$AQ$56,W49,FALSE))+IF(X49=0,0,VLOOKUP(V49,装备强化!$AP$9:$AZ$58,X49+1,FALSE)),"0")</f>
        <v>510735</v>
      </c>
      <c r="AA49" s="36">
        <f>怪物属性!AB52</f>
        <v>1210</v>
      </c>
      <c r="AB49" s="36">
        <v>42</v>
      </c>
      <c r="AC49" s="36">
        <v>5</v>
      </c>
      <c r="AD49" s="36">
        <v>10</v>
      </c>
      <c r="AE49" s="36">
        <f>IFERROR(IF(AC49=1,0,VLOOKUP(AB49,装备升级!$AM$7:$AQ$56,AC49,FALSE))+IF(AD49=0,0,VLOOKUP(AB49,装备强化!$AP$9:$AZ$58,AD49+1,FALSE)),"0")</f>
        <v>510735</v>
      </c>
    </row>
    <row r="50" spans="1:31" x14ac:dyDescent="0.15">
      <c r="A50" s="41">
        <f t="shared" si="0"/>
        <v>2230647</v>
      </c>
      <c r="B50" s="36">
        <v>43</v>
      </c>
      <c r="C50" s="36">
        <f>怪物属性!R53</f>
        <v>1756</v>
      </c>
      <c r="D50" s="36">
        <v>24</v>
      </c>
      <c r="E50" s="36">
        <v>5</v>
      </c>
      <c r="F50" s="36">
        <v>10</v>
      </c>
      <c r="G50" s="36">
        <f>IFERROR(IF(E50=1,0,VLOOKUP(D50,装备升级!$AM$7:$AQ$56,E50,FALSE))+IF(F50=0,0,VLOOKUP(D50,装备强化!$AP$9:$AZ$58,F50+1,FALSE)),"0")</f>
        <v>97581</v>
      </c>
      <c r="I50" s="36">
        <f>怪物属性!T53</f>
        <v>1414</v>
      </c>
      <c r="J50" s="36">
        <v>26</v>
      </c>
      <c r="K50" s="36">
        <v>5</v>
      </c>
      <c r="L50" s="36">
        <v>10</v>
      </c>
      <c r="M50" s="36">
        <f>IFERROR(IF(K50=1,0,VLOOKUP(J50,装备升级!$AM$7:$AQ$56,K50,FALSE))+IF(L50=0,0,VLOOKUP(J50,装备强化!$AP$9:$AZ$58,L50+1,FALSE)),"0")</f>
        <v>113689</v>
      </c>
      <c r="O50" s="36">
        <f>怪物属性!AF53</f>
        <v>1740</v>
      </c>
      <c r="P50" s="36">
        <v>38</v>
      </c>
      <c r="Q50" s="36">
        <v>5</v>
      </c>
      <c r="R50" s="36">
        <v>10</v>
      </c>
      <c r="S50" s="36">
        <f>IFERROR(IF(Q50=1,0,VLOOKUP(P50,装备升级!$AM$7:$AQ$56,Q50,FALSE))+IF(R50=0,0,VLOOKUP(P50,装备强化!$AP$9:$AZ$58,R50+1,FALSE)),"0")</f>
        <v>350984</v>
      </c>
      <c r="U50" s="36">
        <f>怪物属性!X53</f>
        <v>1134</v>
      </c>
      <c r="V50" s="36">
        <v>45</v>
      </c>
      <c r="W50" s="36">
        <v>5</v>
      </c>
      <c r="X50" s="36">
        <v>10</v>
      </c>
      <c r="Y50" s="36">
        <f>IFERROR(IF(W50=1,0,VLOOKUP(V50,装备升级!$AM$7:$AQ$56,W50,FALSE))+IF(X50=0,0,VLOOKUP(V50,装备强化!$AP$9:$AZ$58,X50+1,FALSE)),"0")</f>
        <v>663663</v>
      </c>
      <c r="AA50" s="36">
        <f>怪物属性!AB53</f>
        <v>1273</v>
      </c>
      <c r="AB50" s="36">
        <v>45</v>
      </c>
      <c r="AC50" s="36">
        <v>5</v>
      </c>
      <c r="AD50" s="36">
        <v>10</v>
      </c>
      <c r="AE50" s="36">
        <f>IFERROR(IF(AC50=1,0,VLOOKUP(AB50,装备升级!$AM$7:$AQ$56,AC50,FALSE))+IF(AD50=0,0,VLOOKUP(AB50,装备强化!$AP$9:$AZ$58,AD50+1,FALSE)),"0")</f>
        <v>663663</v>
      </c>
    </row>
    <row r="51" spans="1:31" x14ac:dyDescent="0.15">
      <c r="A51" s="41">
        <f t="shared" si="0"/>
        <v>3118872</v>
      </c>
      <c r="B51" s="36">
        <v>44</v>
      </c>
      <c r="C51" s="36">
        <f>怪物属性!R54</f>
        <v>1869</v>
      </c>
      <c r="D51" s="36">
        <v>26</v>
      </c>
      <c r="E51" s="36">
        <v>5</v>
      </c>
      <c r="F51" s="36">
        <v>10</v>
      </c>
      <c r="G51" s="36">
        <f>IFERROR(IF(E51=1,0,VLOOKUP(D51,装备升级!$AM$7:$AQ$56,E51,FALSE))+IF(F51=0,0,VLOOKUP(D51,装备强化!$AP$9:$AZ$58,F51+1,FALSE)),"0")</f>
        <v>113689</v>
      </c>
      <c r="I51" s="36">
        <f>怪物属性!T54</f>
        <v>1502</v>
      </c>
      <c r="J51" s="36">
        <v>29</v>
      </c>
      <c r="K51" s="36">
        <v>5</v>
      </c>
      <c r="L51" s="36">
        <v>10</v>
      </c>
      <c r="M51" s="36">
        <f>IFERROR(IF(K51=1,0,VLOOKUP(J51,装备升级!$AM$7:$AQ$56,K51,FALSE))+IF(L51=0,0,VLOOKUP(J51,装备强化!$AP$9:$AZ$58,L51+1,FALSE)),"0")</f>
        <v>152235</v>
      </c>
      <c r="O51" s="36">
        <f>怪物属性!AF54</f>
        <v>1848</v>
      </c>
      <c r="P51" s="36">
        <v>42</v>
      </c>
      <c r="Q51" s="36">
        <v>5</v>
      </c>
      <c r="R51" s="36">
        <v>10</v>
      </c>
      <c r="S51" s="36">
        <f>IFERROR(IF(Q51=1,0,VLOOKUP(P51,装备升级!$AM$7:$AQ$56,Q51,FALSE))+IF(R51=0,0,VLOOKUP(P51,装备强化!$AP$9:$AZ$58,R51+1,FALSE)),"0")</f>
        <v>510735</v>
      </c>
      <c r="U51" s="36">
        <f>怪物属性!X54</f>
        <v>1196</v>
      </c>
      <c r="V51" s="36">
        <v>49</v>
      </c>
      <c r="W51" s="36">
        <v>5</v>
      </c>
      <c r="X51" s="36">
        <v>10</v>
      </c>
      <c r="Y51" s="36">
        <f>IFERROR(IF(W51=1,0,VLOOKUP(V51,装备升级!$AM$7:$AQ$56,W51,FALSE))+IF(X51=0,0,VLOOKUP(V51,装备强化!$AP$9:$AZ$58,X51+1,FALSE)),"0")</f>
        <v>942754</v>
      </c>
      <c r="AA51" s="36">
        <f>怪物属性!AB54</f>
        <v>1339</v>
      </c>
      <c r="AB51" s="36">
        <v>49</v>
      </c>
      <c r="AC51" s="36">
        <v>5</v>
      </c>
      <c r="AD51" s="36">
        <v>10</v>
      </c>
      <c r="AE51" s="36">
        <f>IFERROR(IF(AC51=1,0,VLOOKUP(AB51,装备升级!$AM$7:$AQ$56,AC51,FALSE))+IF(AD51=0,0,VLOOKUP(AB51,装备强化!$AP$9:$AZ$58,AD51+1,FALSE)),"0")</f>
        <v>942754</v>
      </c>
    </row>
    <row r="52" spans="1:31" x14ac:dyDescent="0.15">
      <c r="A52" s="41">
        <f t="shared" si="0"/>
        <v>1541476</v>
      </c>
      <c r="B52" s="36">
        <v>45</v>
      </c>
      <c r="C52" s="36">
        <f>怪物属性!R55</f>
        <v>1991</v>
      </c>
      <c r="D52" s="36">
        <v>28</v>
      </c>
      <c r="E52" s="36">
        <v>5</v>
      </c>
      <c r="F52" s="36">
        <v>10</v>
      </c>
      <c r="G52" s="36">
        <f>IFERROR(IF(E52=1,0,VLOOKUP(D52,装备升级!$AM$7:$AQ$56,E52,FALSE))+IF(F52=0,0,VLOOKUP(D52,装备强化!$AP$9:$AZ$58,F52+1,FALSE)),"0")</f>
        <v>136337</v>
      </c>
      <c r="I52" s="36">
        <f>怪物属性!T55</f>
        <v>1597</v>
      </c>
      <c r="J52" s="36">
        <v>31</v>
      </c>
      <c r="K52" s="36">
        <v>5</v>
      </c>
      <c r="L52" s="36">
        <v>10</v>
      </c>
      <c r="M52" s="36">
        <f>IFERROR(IF(K52=1,0,VLOOKUP(J52,装备升级!$AM$7:$AQ$56,K52,FALSE))+IF(L52=0,0,VLOOKUP(J52,装备强化!$AP$9:$AZ$58,L52+1,FALSE)),"0")</f>
        <v>185369</v>
      </c>
      <c r="O52" s="36">
        <f>怪物属性!AF55</f>
        <v>1966</v>
      </c>
      <c r="P52" s="36">
        <v>45</v>
      </c>
      <c r="Q52" s="36">
        <v>5</v>
      </c>
      <c r="R52" s="36">
        <v>10</v>
      </c>
      <c r="S52" s="36">
        <f>IFERROR(IF(Q52=1,0,VLOOKUP(P52,装备升级!$AM$7:$AQ$56,Q52,FALSE))+IF(R52=0,0,VLOOKUP(P52,装备强化!$AP$9:$AZ$58,R52+1,FALSE)),"0")</f>
        <v>663663</v>
      </c>
      <c r="U52" s="36">
        <f>怪物属性!X55</f>
        <v>1264</v>
      </c>
      <c r="V52" s="36" t="s">
        <v>413</v>
      </c>
      <c r="W52" s="36" t="s">
        <v>305</v>
      </c>
      <c r="X52" s="36" t="s">
        <v>414</v>
      </c>
      <c r="Y52" s="36" t="str">
        <f>IFERROR(IF(W52=1,0,VLOOKUP(V52,装备升级!$AM$7:$AQ$56,W52,FALSE))+IF(X52=0,0,VLOOKUP(V52,装备强化!$AP$9:$AZ$58,X52+1,FALSE)),"0")</f>
        <v>0</v>
      </c>
      <c r="AA52" s="36">
        <f>怪物属性!AB55</f>
        <v>1411</v>
      </c>
      <c r="AB52" s="36" t="s">
        <v>413</v>
      </c>
      <c r="AC52" s="36" t="s">
        <v>413</v>
      </c>
      <c r="AD52" s="36" t="s">
        <v>305</v>
      </c>
      <c r="AE52" s="36" t="str">
        <f>IFERROR(IF(AC52=1,0,VLOOKUP(AB52,装备升级!$AM$7:$AQ$56,AC52,FALSE))+IF(AD52=0,0,VLOOKUP(AB52,装备强化!$AP$9:$AZ$58,AD52+1,FALSE)),"0")</f>
        <v>0</v>
      </c>
    </row>
    <row r="53" spans="1:31" x14ac:dyDescent="0.15">
      <c r="A53" s="41">
        <f t="shared" si="0"/>
        <v>2095915</v>
      </c>
      <c r="B53" s="36">
        <v>46</v>
      </c>
      <c r="C53" s="36">
        <f>怪物属性!R56</f>
        <v>2125</v>
      </c>
      <c r="D53" s="36">
        <v>31</v>
      </c>
      <c r="E53" s="36">
        <v>5</v>
      </c>
      <c r="F53" s="36">
        <v>10</v>
      </c>
      <c r="G53" s="36">
        <f>IFERROR(IF(E53=1,0,VLOOKUP(D53,装备升级!$AM$7:$AQ$56,E53,FALSE))+IF(F53=0,0,VLOOKUP(D53,装备强化!$AP$9:$AZ$58,F53+1,FALSE)),"0")</f>
        <v>185369</v>
      </c>
      <c r="I53" s="36">
        <f>怪物属性!T56</f>
        <v>1701</v>
      </c>
      <c r="J53" s="36">
        <v>34</v>
      </c>
      <c r="K53" s="36">
        <v>5</v>
      </c>
      <c r="L53" s="36">
        <v>10</v>
      </c>
      <c r="M53" s="36">
        <f>IFERROR(IF(K53=1,0,VLOOKUP(J53,装备升级!$AM$7:$AQ$56,K53,FALSE))+IF(L53=0,0,VLOOKUP(J53,装备强化!$AP$9:$AZ$58,L53+1,FALSE)),"0")</f>
        <v>241948</v>
      </c>
      <c r="O53" s="36">
        <f>怪物属性!AF56</f>
        <v>2093</v>
      </c>
      <c r="P53" s="36">
        <v>49</v>
      </c>
      <c r="Q53" s="36">
        <v>5</v>
      </c>
      <c r="R53" s="36">
        <v>10</v>
      </c>
      <c r="S53" s="36">
        <f>IFERROR(IF(Q53=1,0,VLOOKUP(P53,装备升级!$AM$7:$AQ$56,Q53,FALSE))+IF(R53=0,0,VLOOKUP(P53,装备强化!$AP$9:$AZ$58,R53+1,FALSE)),"0")</f>
        <v>942754</v>
      </c>
      <c r="U53" s="36">
        <f>怪物属性!X56</f>
        <v>1337</v>
      </c>
      <c r="V53" s="36" t="s">
        <v>413</v>
      </c>
      <c r="W53" s="36" t="s">
        <v>413</v>
      </c>
      <c r="X53" s="36" t="s">
        <v>413</v>
      </c>
      <c r="Y53" s="36" t="str">
        <f>IFERROR(IF(W53=1,0,VLOOKUP(V53,装备升级!$AM$7:$AQ$56,W53,FALSE))+IF(X53=0,0,VLOOKUP(V53,装备强化!$AP$9:$AZ$58,X53+1,FALSE)),"0")</f>
        <v>0</v>
      </c>
      <c r="AA53" s="36">
        <f>怪物属性!AB56</f>
        <v>1489</v>
      </c>
      <c r="AB53" s="36" t="s">
        <v>413</v>
      </c>
      <c r="AC53" s="36" t="s">
        <v>413</v>
      </c>
      <c r="AD53" s="36" t="s">
        <v>413</v>
      </c>
      <c r="AE53" s="36" t="str">
        <f>IFERROR(IF(AC53=1,0,VLOOKUP(AB53,装备升级!$AM$7:$AQ$56,AC53,FALSE))+IF(AD53=0,0,VLOOKUP(AB53,装备强化!$AP$9:$AZ$58,AD53+1,FALSE)),"0")</f>
        <v>0</v>
      </c>
    </row>
    <row r="54" spans="1:31" x14ac:dyDescent="0.15">
      <c r="A54" s="41">
        <f t="shared" si="0"/>
        <v>1372897</v>
      </c>
      <c r="B54" s="36">
        <v>47</v>
      </c>
      <c r="C54" s="36">
        <f>怪物属性!R57</f>
        <v>2270</v>
      </c>
      <c r="D54" s="36">
        <v>33</v>
      </c>
      <c r="E54" s="36">
        <v>5</v>
      </c>
      <c r="F54" s="36">
        <v>10</v>
      </c>
      <c r="G54" s="36">
        <f>IFERROR(IF(E54=1,0,VLOOKUP(D54,装备升级!$AM$7:$AQ$56,E54,FALSE))+IF(F54=0,0,VLOOKUP(D54,装备强化!$AP$9:$AZ$58,F54+1,FALSE)),"0")</f>
        <v>216793</v>
      </c>
      <c r="I54" s="36">
        <f>怪物属性!T57</f>
        <v>1812</v>
      </c>
      <c r="J54" s="36">
        <v>36</v>
      </c>
      <c r="K54" s="36">
        <v>5</v>
      </c>
      <c r="L54" s="36">
        <v>10</v>
      </c>
      <c r="M54" s="36">
        <f>IFERROR(IF(K54=1,0,VLOOKUP(J54,装备升级!$AM$7:$AQ$56,K54,FALSE))+IF(L54=0,0,VLOOKUP(J54,装备强化!$AP$9:$AZ$58,L54+1,FALSE)),"0")</f>
        <v>289026</v>
      </c>
      <c r="O54" s="36">
        <f>怪物属性!AF57</f>
        <v>2234</v>
      </c>
      <c r="P54" s="36" t="s">
        <v>413</v>
      </c>
      <c r="Q54" s="36" t="s">
        <v>413</v>
      </c>
      <c r="R54" s="36" t="s">
        <v>413</v>
      </c>
      <c r="S54" s="36" t="str">
        <f>IFERROR(IF(Q54=1,0,VLOOKUP(P54,装备升级!$AM$7:$AQ$56,Q54,FALSE))+IF(R54=0,0,VLOOKUP(P54,装备强化!$AP$9:$AZ$58,R54+1,FALSE)),"0")</f>
        <v>0</v>
      </c>
      <c r="U54" s="36">
        <f>怪物属性!X57</f>
        <v>1415</v>
      </c>
      <c r="V54" s="36" t="s">
        <v>413</v>
      </c>
      <c r="W54" s="36" t="s">
        <v>415</v>
      </c>
      <c r="X54" s="36" t="s">
        <v>413</v>
      </c>
      <c r="Y54" s="36" t="str">
        <f>IFERROR(IF(W54=1,0,VLOOKUP(V54,装备升级!$AM$7:$AQ$56,W54,FALSE))+IF(X54=0,0,VLOOKUP(V54,装备强化!$AP$9:$AZ$58,X54+1,FALSE)),"0")</f>
        <v>0</v>
      </c>
      <c r="AA54" s="36">
        <f>怪物属性!AB57</f>
        <v>1574</v>
      </c>
      <c r="AB54" s="36" t="s">
        <v>413</v>
      </c>
      <c r="AC54" s="36" t="s">
        <v>305</v>
      </c>
      <c r="AD54" s="36" t="s">
        <v>305</v>
      </c>
      <c r="AE54" s="36" t="str">
        <f>IFERROR(IF(AC54=1,0,VLOOKUP(AB54,装备升级!$AM$7:$AQ$56,AC54,FALSE))+IF(AD54=0,0,VLOOKUP(AB54,装备强化!$AP$9:$AZ$58,AD54+1,FALSE)),"0")</f>
        <v>0</v>
      </c>
    </row>
    <row r="55" spans="1:31" x14ac:dyDescent="0.15">
      <c r="A55" s="41">
        <f t="shared" si="0"/>
        <v>1859036</v>
      </c>
      <c r="B55" s="36">
        <v>48</v>
      </c>
      <c r="C55" s="36">
        <f>怪物属性!R58</f>
        <v>2431</v>
      </c>
      <c r="D55" s="36">
        <v>37</v>
      </c>
      <c r="E55" s="36">
        <v>5</v>
      </c>
      <c r="F55" s="36">
        <v>10</v>
      </c>
      <c r="G55" s="36">
        <f>IFERROR(IF(E55=1,0,VLOOKUP(D55,装备升级!$AM$7:$AQ$56,E55,FALSE))+IF(F55=0,0,VLOOKUP(D55,装备强化!$AP$9:$AZ$58,F55+1,FALSE)),"0")</f>
        <v>323420</v>
      </c>
      <c r="I55" s="36">
        <f>怪物属性!T58</f>
        <v>1934</v>
      </c>
      <c r="J55" s="36">
        <v>39</v>
      </c>
      <c r="K55" s="36">
        <v>5</v>
      </c>
      <c r="L55" s="36">
        <v>10</v>
      </c>
      <c r="M55" s="36">
        <f>IFERROR(IF(K55=1,0,VLOOKUP(J55,装备升级!$AM$7:$AQ$56,K55,FALSE))+IF(L55=0,0,VLOOKUP(J55,装备强化!$AP$9:$AZ$58,L55+1,FALSE)),"0")</f>
        <v>383904</v>
      </c>
      <c r="O55" s="36">
        <f>怪物属性!AF58</f>
        <v>2387</v>
      </c>
      <c r="P55" s="36" t="s">
        <v>413</v>
      </c>
      <c r="Q55" s="36" t="s">
        <v>415</v>
      </c>
      <c r="R55" s="36" t="s">
        <v>305</v>
      </c>
      <c r="S55" s="36" t="str">
        <f>IFERROR(IF(Q55=1,0,VLOOKUP(P55,装备升级!$AM$7:$AQ$56,Q55,FALSE))+IF(R55=0,0,VLOOKUP(P55,装备强化!$AP$9:$AZ$58,R55+1,FALSE)),"0")</f>
        <v>0</v>
      </c>
      <c r="U55" s="36">
        <f>怪物属性!X58</f>
        <v>1501</v>
      </c>
      <c r="V55" s="36" t="s">
        <v>413</v>
      </c>
      <c r="W55" s="36" t="s">
        <v>413</v>
      </c>
      <c r="X55" s="36" t="s">
        <v>413</v>
      </c>
      <c r="Y55" s="36" t="str">
        <f>IFERROR(IF(W55=1,0,VLOOKUP(V55,装备升级!$AM$7:$AQ$56,W55,FALSE))+IF(X55=0,0,VLOOKUP(V55,装备强化!$AP$9:$AZ$58,X55+1,FALSE)),"0")</f>
        <v>0</v>
      </c>
      <c r="AA55" s="36">
        <f>怪物属性!AB58</f>
        <v>1665</v>
      </c>
      <c r="AB55" s="36" t="s">
        <v>413</v>
      </c>
      <c r="AC55" s="36" t="s">
        <v>305</v>
      </c>
      <c r="AD55" s="36" t="s">
        <v>305</v>
      </c>
      <c r="AE55" s="36" t="str">
        <f>IFERROR(IF(AC55=1,0,VLOOKUP(AB55,装备升级!$AM$7:$AQ$56,AC55,FALSE))+IF(AD55=0,0,VLOOKUP(AB55,装备强化!$AP$9:$AZ$58,AD55+1,FALSE)),"0")</f>
        <v>0</v>
      </c>
    </row>
    <row r="56" spans="1:31" x14ac:dyDescent="0.15">
      <c r="A56" s="41">
        <f t="shared" si="0"/>
        <v>2668523</v>
      </c>
      <c r="B56" s="36">
        <v>49</v>
      </c>
      <c r="C56" s="36">
        <f>怪物属性!R59</f>
        <v>2605</v>
      </c>
      <c r="D56" s="36">
        <v>40</v>
      </c>
      <c r="E56" s="36">
        <v>5</v>
      </c>
      <c r="F56" s="36">
        <v>10</v>
      </c>
      <c r="G56" s="36">
        <f>IFERROR(IF(E56=1,0,VLOOKUP(D56,装备升级!$AM$7:$AQ$56,E56,FALSE))+IF(F56=0,0,VLOOKUP(D56,装备强化!$AP$9:$AZ$58,F56+1,FALSE)),"0")</f>
        <v>419139</v>
      </c>
      <c r="I56" s="36">
        <f>怪物属性!T59</f>
        <v>2069</v>
      </c>
      <c r="J56" s="36">
        <v>43</v>
      </c>
      <c r="K56" s="36">
        <v>5</v>
      </c>
      <c r="L56" s="36">
        <v>10</v>
      </c>
      <c r="M56" s="36">
        <f>IFERROR(IF(K56=1,0,VLOOKUP(J56,装备升级!$AM$7:$AQ$56,K56,FALSE))+IF(L56=0,0,VLOOKUP(J56,装备强化!$AP$9:$AZ$58,L56+1,FALSE)),"0")</f>
        <v>562346</v>
      </c>
      <c r="O56" s="36">
        <f>怪物属性!AF59</f>
        <v>2555</v>
      </c>
      <c r="P56" s="36" t="s">
        <v>413</v>
      </c>
      <c r="Q56" s="36" t="s">
        <v>413</v>
      </c>
      <c r="R56" s="36" t="s">
        <v>413</v>
      </c>
      <c r="S56" s="36" t="str">
        <f>IFERROR(IF(Q56=1,0,VLOOKUP(P56,装备升级!$AM$7:$AQ$56,Q56,FALSE))+IF(R56=0,0,VLOOKUP(P56,装备强化!$AP$9:$AZ$58,R56+1,FALSE)),"0")</f>
        <v>0</v>
      </c>
      <c r="U56" s="36">
        <f>怪物属性!X59</f>
        <v>1592</v>
      </c>
      <c r="V56" s="36" t="s">
        <v>305</v>
      </c>
      <c r="W56" s="36" t="s">
        <v>413</v>
      </c>
      <c r="X56" s="36" t="s">
        <v>413</v>
      </c>
      <c r="Y56" s="36" t="str">
        <f>IFERROR(IF(W56=1,0,VLOOKUP(V56,装备升级!$AM$7:$AQ$56,W56,FALSE))+IF(X56=0,0,VLOOKUP(V56,装备强化!$AP$9:$AZ$58,X56+1,FALSE)),"0")</f>
        <v>0</v>
      </c>
      <c r="AA56" s="36">
        <f>怪物属性!AB59</f>
        <v>1765</v>
      </c>
      <c r="AB56" s="36" t="s">
        <v>413</v>
      </c>
      <c r="AC56" s="36" t="s">
        <v>415</v>
      </c>
      <c r="AD56" s="36" t="s">
        <v>305</v>
      </c>
      <c r="AE56" s="36" t="str">
        <f>IFERROR(IF(AC56=1,0,VLOOKUP(AB56,装备升级!$AM$7:$AQ$56,AC56,FALSE))+IF(AD56=0,0,VLOOKUP(AB56,装备强化!$AP$9:$AZ$58,AD56+1,FALSE)),"0")</f>
        <v>0</v>
      </c>
    </row>
    <row r="57" spans="1:31" x14ac:dyDescent="0.15">
      <c r="A57" s="41">
        <f t="shared" si="0"/>
        <v>3445694</v>
      </c>
      <c r="B57" s="36">
        <v>50</v>
      </c>
      <c r="C57" s="36">
        <f>怪物属性!R60</f>
        <v>2795</v>
      </c>
      <c r="D57" s="36">
        <v>43</v>
      </c>
      <c r="E57" s="36">
        <v>5</v>
      </c>
      <c r="F57" s="36">
        <v>10</v>
      </c>
      <c r="G57" s="36">
        <f>IFERROR(IF(E57=1,0,VLOOKUP(D57,装备升级!$AM$7:$AQ$56,E57,FALSE))+IF(F57=0,0,VLOOKUP(D57,装备强化!$AP$9:$AZ$58,F57+1,FALSE)),"0")</f>
        <v>562346</v>
      </c>
      <c r="I57" s="36">
        <f>怪物属性!T60</f>
        <v>2213</v>
      </c>
      <c r="J57" s="36">
        <v>46</v>
      </c>
      <c r="K57" s="36">
        <v>5</v>
      </c>
      <c r="L57" s="36">
        <v>10</v>
      </c>
      <c r="M57" s="36">
        <f>IFERROR(IF(K57=1,0,VLOOKUP(J57,装备升级!$AM$7:$AQ$56,K57,FALSE))+IF(L57=0,0,VLOOKUP(J57,装备强化!$AP$9:$AZ$58,L57+1,FALSE)),"0")</f>
        <v>720837</v>
      </c>
      <c r="O57" s="36">
        <f>怪物属性!AF60</f>
        <v>2738</v>
      </c>
      <c r="P57" s="36" t="s">
        <v>413</v>
      </c>
      <c r="Q57" s="36" t="s">
        <v>413</v>
      </c>
      <c r="R57" s="36" t="s">
        <v>413</v>
      </c>
      <c r="S57" s="36" t="str">
        <f>IFERROR(IF(Q57=1,0,VLOOKUP(P57,装备升级!$AM$7:$AQ$56,Q57,FALSE))+IF(R57=0,0,VLOOKUP(P57,装备强化!$AP$9:$AZ$58,R57+1,FALSE)),"0")</f>
        <v>0</v>
      </c>
      <c r="U57" s="36">
        <f>怪物属性!X60</f>
        <v>1693</v>
      </c>
      <c r="V57" s="36" t="s">
        <v>413</v>
      </c>
      <c r="W57" s="36" t="s">
        <v>413</v>
      </c>
      <c r="X57" s="36" t="s">
        <v>413</v>
      </c>
      <c r="Y57" s="36" t="str">
        <f>IFERROR(IF(W57=1,0,VLOOKUP(V57,装备升级!$AM$7:$AQ$56,W57,FALSE))+IF(X57=0,0,VLOOKUP(V57,装备强化!$AP$9:$AZ$58,X57+1,FALSE)),"0")</f>
        <v>0</v>
      </c>
      <c r="AA57" s="36">
        <f>怪物属性!AB60</f>
        <v>1873</v>
      </c>
      <c r="AB57" s="36" t="s">
        <v>413</v>
      </c>
      <c r="AC57" s="36" t="s">
        <v>413</v>
      </c>
      <c r="AD57" s="36" t="s">
        <v>413</v>
      </c>
      <c r="AE57" s="36" t="str">
        <f>IFERROR(IF(AC57=1,0,VLOOKUP(AB57,装备升级!$AM$7:$AQ$56,AC57,FALSE))+IF(AD57=0,0,VLOOKUP(AB57,装备强化!$AP$9:$AZ$58,AD57+1,FALSE)),"0")</f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Start">
          <controlPr defaultSize="0" autoLine="0" r:id="rId5">
            <anchor moveWithCells="1">
              <from>
                <xdr:col>2</xdr:col>
                <xdr:colOff>647700</xdr:colOff>
                <xdr:row>0</xdr:row>
                <xdr:rowOff>95250</xdr:rowOff>
              </from>
              <to>
                <xdr:col>4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11265" r:id="rId4" name="Start"/>
      </mc:Fallback>
    </mc:AlternateContent>
    <mc:AlternateContent xmlns:mc="http://schemas.openxmlformats.org/markup-compatibility/2006">
      <mc:Choice Requires="x14">
        <control shapeId="11266" r:id="rId6" name="Clear">
          <controlPr defaultSize="0" autoLine="0" r:id="rId7">
            <anchor moveWithCells="1">
              <from>
                <xdr:col>4</xdr:col>
                <xdr:colOff>476250</xdr:colOff>
                <xdr:row>0</xdr:row>
                <xdr:rowOff>85725</xdr:rowOff>
              </from>
              <to>
                <xdr:col>6</xdr:col>
                <xdr:colOff>114300</xdr:colOff>
                <xdr:row>2</xdr:row>
                <xdr:rowOff>133350</xdr:rowOff>
              </to>
            </anchor>
          </controlPr>
        </control>
      </mc:Choice>
      <mc:Fallback>
        <control shapeId="11266" r:id="rId6" name="Cle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B156"/>
  <sheetViews>
    <sheetView workbookViewId="0">
      <pane ySplit="4" topLeftCell="A5" activePane="bottomLeft" state="frozen"/>
      <selection pane="bottomLeft" activeCell="E15" sqref="E15"/>
    </sheetView>
  </sheetViews>
  <sheetFormatPr defaultRowHeight="12" x14ac:dyDescent="0.15"/>
  <cols>
    <col min="1" max="16384" width="9" style="36"/>
  </cols>
  <sheetData>
    <row r="1" spans="1:54" x14ac:dyDescent="0.15">
      <c r="A1" s="36" t="s">
        <v>478</v>
      </c>
      <c r="B1" s="36">
        <v>10</v>
      </c>
      <c r="AU1" s="36">
        <v>2</v>
      </c>
      <c r="AV1" s="36">
        <v>3</v>
      </c>
      <c r="AW1" s="36">
        <v>4</v>
      </c>
      <c r="AX1" s="36">
        <v>5</v>
      </c>
      <c r="AY1" s="36">
        <v>6</v>
      </c>
      <c r="AZ1" s="36">
        <v>7</v>
      </c>
      <c r="BA1" s="36">
        <v>8</v>
      </c>
      <c r="BB1" s="36">
        <v>9</v>
      </c>
    </row>
    <row r="2" spans="1:54" x14ac:dyDescent="0.15">
      <c r="AT2" s="36" t="s">
        <v>238</v>
      </c>
      <c r="AU2" s="36" t="s">
        <v>0</v>
      </c>
      <c r="AV2" s="36" t="s">
        <v>1</v>
      </c>
      <c r="AW2" s="36" t="s">
        <v>2</v>
      </c>
      <c r="AX2" s="36" t="s">
        <v>3</v>
      </c>
      <c r="AY2" s="36" t="s">
        <v>4</v>
      </c>
      <c r="AZ2" s="36" t="s">
        <v>5</v>
      </c>
      <c r="BA2" s="36" t="s">
        <v>243</v>
      </c>
      <c r="BB2" s="36" t="s">
        <v>164</v>
      </c>
    </row>
    <row r="3" spans="1:54" x14ac:dyDescent="0.15">
      <c r="E3" s="198" t="s">
        <v>401</v>
      </c>
      <c r="F3" s="199"/>
      <c r="G3" s="199"/>
      <c r="H3" s="200"/>
      <c r="I3" s="201" t="s">
        <v>402</v>
      </c>
      <c r="J3" s="202"/>
      <c r="K3" s="202"/>
      <c r="L3" s="203"/>
      <c r="M3" s="198" t="s">
        <v>403</v>
      </c>
      <c r="N3" s="199"/>
      <c r="O3" s="199"/>
      <c r="P3" s="200"/>
      <c r="Q3" s="201" t="s">
        <v>404</v>
      </c>
      <c r="R3" s="202"/>
      <c r="S3" s="202"/>
      <c r="T3" s="203"/>
      <c r="U3" s="198" t="s">
        <v>405</v>
      </c>
      <c r="V3" s="199"/>
      <c r="W3" s="199"/>
      <c r="X3" s="200"/>
      <c r="Y3" s="201" t="s">
        <v>407</v>
      </c>
      <c r="Z3" s="202"/>
      <c r="AA3" s="202"/>
      <c r="AB3" s="203"/>
      <c r="AC3" s="198" t="s">
        <v>406</v>
      </c>
      <c r="AD3" s="199"/>
      <c r="AE3" s="199"/>
      <c r="AF3" s="200"/>
      <c r="AG3" s="197" t="s">
        <v>408</v>
      </c>
      <c r="AH3" s="197"/>
      <c r="AI3" s="197"/>
      <c r="AJ3" s="197"/>
      <c r="AK3" s="198" t="s">
        <v>424</v>
      </c>
      <c r="AL3" s="199"/>
      <c r="AM3" s="199"/>
      <c r="AN3" s="200"/>
      <c r="AO3" s="197" t="s">
        <v>427</v>
      </c>
      <c r="AP3" s="197"/>
      <c r="AQ3" s="197"/>
      <c r="AR3" s="197"/>
      <c r="AT3" s="36">
        <v>1</v>
      </c>
      <c r="AU3" s="36">
        <f>SUM(AV3:BB3)/7</f>
        <v>0.12128501484625857</v>
      </c>
      <c r="AV3" s="36">
        <v>8.3263238109347104E-2</v>
      </c>
      <c r="AW3" s="36">
        <v>0.28265661617663901</v>
      </c>
      <c r="AX3" s="36">
        <v>0.136863007781796</v>
      </c>
      <c r="AY3" s="36">
        <v>1.40775532233746E-2</v>
      </c>
      <c r="AZ3" s="36">
        <v>9.2264904196603797E-2</v>
      </c>
      <c r="BA3" s="36">
        <v>9.8541476347729598E-2</v>
      </c>
      <c r="BB3" s="36">
        <v>0.14132830808832</v>
      </c>
    </row>
    <row r="4" spans="1:54" x14ac:dyDescent="0.15">
      <c r="B4" s="36" t="s">
        <v>302</v>
      </c>
      <c r="C4" s="36" t="s">
        <v>472</v>
      </c>
      <c r="D4" s="36" t="s">
        <v>477</v>
      </c>
      <c r="E4" s="37" t="s">
        <v>303</v>
      </c>
      <c r="F4" s="37" t="s">
        <v>304</v>
      </c>
      <c r="G4" s="37" t="s">
        <v>474</v>
      </c>
      <c r="H4" s="37" t="s">
        <v>476</v>
      </c>
      <c r="I4" s="60" t="s">
        <v>303</v>
      </c>
      <c r="J4" s="60" t="s">
        <v>304</v>
      </c>
      <c r="K4" s="60" t="s">
        <v>473</v>
      </c>
      <c r="L4" s="60" t="s">
        <v>475</v>
      </c>
      <c r="M4" s="37" t="s">
        <v>259</v>
      </c>
      <c r="N4" s="37" t="s">
        <v>409</v>
      </c>
      <c r="O4" s="37" t="s">
        <v>473</v>
      </c>
      <c r="P4" s="37" t="s">
        <v>475</v>
      </c>
      <c r="Q4" s="60" t="s">
        <v>259</v>
      </c>
      <c r="R4" s="60" t="s">
        <v>410</v>
      </c>
      <c r="S4" s="60" t="s">
        <v>473</v>
      </c>
      <c r="T4" s="60" t="s">
        <v>475</v>
      </c>
      <c r="U4" s="37" t="s">
        <v>259</v>
      </c>
      <c r="V4" s="37" t="s">
        <v>409</v>
      </c>
      <c r="W4" s="37" t="s">
        <v>473</v>
      </c>
      <c r="X4" s="37" t="s">
        <v>475</v>
      </c>
      <c r="Y4" s="60" t="s">
        <v>259</v>
      </c>
      <c r="Z4" s="60" t="s">
        <v>410</v>
      </c>
      <c r="AA4" s="60" t="s">
        <v>473</v>
      </c>
      <c r="AB4" s="60" t="s">
        <v>475</v>
      </c>
      <c r="AC4" s="37" t="s">
        <v>259</v>
      </c>
      <c r="AD4" s="37" t="s">
        <v>409</v>
      </c>
      <c r="AE4" s="37" t="s">
        <v>473</v>
      </c>
      <c r="AF4" s="37" t="s">
        <v>475</v>
      </c>
      <c r="AG4" s="60" t="s">
        <v>259</v>
      </c>
      <c r="AH4" s="60" t="s">
        <v>410</v>
      </c>
      <c r="AI4" s="60" t="s">
        <v>473</v>
      </c>
      <c r="AJ4" s="60" t="s">
        <v>475</v>
      </c>
      <c r="AK4" s="37" t="s">
        <v>259</v>
      </c>
      <c r="AL4" s="37" t="s">
        <v>409</v>
      </c>
      <c r="AM4" s="37" t="s">
        <v>473</v>
      </c>
      <c r="AN4" s="37" t="s">
        <v>475</v>
      </c>
      <c r="AO4" s="60" t="s">
        <v>425</v>
      </c>
      <c r="AP4" s="60" t="s">
        <v>426</v>
      </c>
      <c r="AQ4" s="60" t="s">
        <v>473</v>
      </c>
      <c r="AR4" s="60" t="s">
        <v>475</v>
      </c>
      <c r="AT4" s="36">
        <v>2</v>
      </c>
      <c r="AU4" s="36">
        <f t="shared" ref="AU4:AU52" si="0">SUM(AV4:BB4)/7</f>
        <v>0.13770478042363427</v>
      </c>
      <c r="AV4" s="36">
        <v>8.6428372144325666E-2</v>
      </c>
      <c r="AW4" s="36">
        <v>0.31101512954955818</v>
      </c>
      <c r="AX4" s="36">
        <v>0.137034136005733</v>
      </c>
      <c r="AY4" s="36">
        <v>8.3349910948506398E-2</v>
      </c>
      <c r="AZ4" s="36">
        <v>9.3793318736507314E-2</v>
      </c>
      <c r="BA4" s="36">
        <v>9.6805030806030049E-2</v>
      </c>
      <c r="BB4" s="36">
        <v>0.15550756477477909</v>
      </c>
    </row>
    <row r="5" spans="1:54" x14ac:dyDescent="0.15">
      <c r="B5" s="36">
        <v>5</v>
      </c>
      <c r="C5" s="36">
        <f>ROUNDUP(VLOOKUP(B5,角色属性!$E:$G,3,FALSE)/VLOOKUP(B5,怪物属性!B:K,2,FALSE),0)*VLOOKUP(B5,怪物属性!B:K,10,FALSE)</f>
        <v>3230</v>
      </c>
      <c r="D5" s="36">
        <f t="shared" ref="D5:D9" si="1">C5/(B5^0.95*17.5)</f>
        <v>40.007643304594396</v>
      </c>
      <c r="E5" s="37">
        <f>VLOOKUP(B5,怪物属性!$O$11:$AF$60,7,FALSE)</f>
        <v>5048</v>
      </c>
      <c r="F5" s="37">
        <f t="shared" ref="F5:F9" si="2">INT(E5*0.01*B5/1.35)+300</f>
        <v>486</v>
      </c>
      <c r="G5" s="37">
        <f>ROUNDUP(D5*VLOOKUP(B5,AT:BB,4,FALSE)+B5*$B$1,0)</f>
        <v>66</v>
      </c>
      <c r="H5" s="37">
        <f>INT(G5/9.5)</f>
        <v>6</v>
      </c>
      <c r="I5" s="60">
        <f>VLOOKUP(B5,怪物属性!$O$11:$AF$60,17,FALSE)</f>
        <v>715</v>
      </c>
      <c r="J5" s="60">
        <f t="shared" ref="J5:J9" si="3">INT(B5*0.01*I5/1.35)+100</f>
        <v>126</v>
      </c>
      <c r="K5" s="60">
        <f>ROUNDUP(D5*VLOOKUP(B5,AT:BB,9,FALSE)+B5*$B$1,0)</f>
        <v>58</v>
      </c>
      <c r="L5" s="60">
        <f>INT(K5/9.5)</f>
        <v>6</v>
      </c>
      <c r="M5" s="37">
        <f>VLOOKUP(B5,怪物属性!$O$11:$AF$60,3,FALSE)</f>
        <v>520</v>
      </c>
      <c r="N5" s="37">
        <f>INT(M5*0.01*B5/1.35)+100</f>
        <v>119</v>
      </c>
      <c r="O5" s="37">
        <f>ROUNDUP(D5*VLOOKUP(B5,AT:BB,2,FALSE)+B5*$B$1,0)</f>
        <v>58</v>
      </c>
      <c r="P5" s="37">
        <f>INT(O5/9.5)</f>
        <v>6</v>
      </c>
      <c r="Q5" s="60">
        <f>VLOOKUP(B5,怪物属性!$O$11:$AF$60,5,FALSE)</f>
        <v>388</v>
      </c>
      <c r="R5" s="60">
        <f t="shared" ref="R5:R9" si="4">INT(B5*0.01*Q5/1.35)+100</f>
        <v>114</v>
      </c>
      <c r="S5" s="60">
        <f>ROUNDUP(D5*VLOOKUP(B5,AT:BB,3,FALSE)+B5*$B$1,0)</f>
        <v>54</v>
      </c>
      <c r="T5" s="60">
        <f>INT(S5/9.5)</f>
        <v>5</v>
      </c>
      <c r="U5" s="37">
        <f>VLOOKUP(B5,怪物属性!$O$11:$AF$60,9,FALSE)</f>
        <v>472</v>
      </c>
      <c r="V5" s="37">
        <f t="shared" ref="V5:V9" si="5">INT(U5*0.01*B5/1.35)+100</f>
        <v>117</v>
      </c>
      <c r="W5" s="37">
        <f>ROUNDUP(D5*VLOOKUP(B5,AT:BB,5,FALSE)+B5*$B$1,0)</f>
        <v>56</v>
      </c>
      <c r="X5" s="37">
        <f>INT(W5/9.5)</f>
        <v>5</v>
      </c>
      <c r="Y5" s="60">
        <f>VLOOKUP(B5,怪物属性!$O$11:$AF$60,11,FALSE)</f>
        <v>234</v>
      </c>
      <c r="Z5" s="60">
        <f t="shared" ref="Z5:Z9" si="6">INT(B5*0.01*Y5/1.35)+100</f>
        <v>108</v>
      </c>
      <c r="AA5" s="60">
        <f>ROUNDUP(D5*VLOOKUP(B5,AT:BB,6,FALSE)+B5*$B$1,0)</f>
        <v>61</v>
      </c>
      <c r="AB5" s="60">
        <f>INT(AA5/9.5)</f>
        <v>6</v>
      </c>
      <c r="AC5" s="37">
        <f>VLOOKUP(B5,怪物属性!$O$11:$AF$60,13,FALSE)</f>
        <v>478</v>
      </c>
      <c r="AD5" s="37">
        <f t="shared" ref="AD5:AD9" si="7">INT(B5*0.01*AC5/1.35)+100</f>
        <v>117</v>
      </c>
      <c r="AE5" s="37">
        <f>ROUNDUP(D5*VLOOKUP(B5,AT:BB,7,FALSE)+B5*$B$1,0)</f>
        <v>55</v>
      </c>
      <c r="AF5" s="37">
        <f>INT(AE5/9.5)</f>
        <v>5</v>
      </c>
      <c r="AG5" s="60">
        <f>VLOOKUP(B5,怪物属性!$O$11:$AF$60,15,FALSE)</f>
        <v>237</v>
      </c>
      <c r="AH5" s="60">
        <f t="shared" ref="AH5:AH9" si="8">INT(B5*0.01*AG5/1.35)+100</f>
        <v>108</v>
      </c>
      <c r="AI5" s="60">
        <f>ROUNDUP(D5*VLOOKUP(B5,AT:BB,8,FALSE)+B5*$B$1,0)</f>
        <v>55</v>
      </c>
      <c r="AJ5" s="60">
        <f>INT(AI5/9.5)</f>
        <v>5</v>
      </c>
      <c r="AK5" s="37">
        <f t="shared" ref="AK5:AK9" si="9">ROUNDUP(((B5-1)^2.5+60)*INT(((B5-1)^1.7+50)*1.12)/5,0)</f>
        <v>1233</v>
      </c>
      <c r="AL5" s="37">
        <f t="shared" ref="AL5:AL9" si="10">INT(B5*0.0005*AK5)+50</f>
        <v>53</v>
      </c>
      <c r="AM5" s="37">
        <f>ROUNDUP(AQ5*1.1,0)</f>
        <v>102</v>
      </c>
      <c r="AN5" s="37">
        <f>INT(AM5/9.5)</f>
        <v>10</v>
      </c>
      <c r="AO5" s="60">
        <f t="shared" ref="AO5:AO9" si="11">INT(F5*1.35)</f>
        <v>656</v>
      </c>
      <c r="AP5" s="60">
        <f t="shared" ref="AP5:AP9" si="12">INT(J5*1.35)</f>
        <v>170</v>
      </c>
      <c r="AQ5" s="60">
        <f t="shared" ref="AQ5:AQ9" si="13">ROUNDUP((G5+K5)/1.35,0)</f>
        <v>92</v>
      </c>
      <c r="AR5" s="60">
        <f>INT(AQ5/9.5)</f>
        <v>9</v>
      </c>
      <c r="AT5" s="36">
        <v>3</v>
      </c>
      <c r="AU5" s="36">
        <f t="shared" si="0"/>
        <v>0.15412454600101011</v>
      </c>
      <c r="AV5" s="36">
        <v>8.9593506179304214E-2</v>
      </c>
      <c r="AW5" s="36">
        <v>0.33937364292247724</v>
      </c>
      <c r="AX5" s="36">
        <v>0.137205264229671</v>
      </c>
      <c r="AY5" s="36">
        <v>0.15262226867363823</v>
      </c>
      <c r="AZ5" s="36">
        <v>9.5321733276410858E-2</v>
      </c>
      <c r="BA5" s="36">
        <v>9.5068585264330471E-2</v>
      </c>
      <c r="BB5" s="36">
        <v>0.16968682146123862</v>
      </c>
    </row>
    <row r="6" spans="1:54" x14ac:dyDescent="0.15">
      <c r="B6" s="36">
        <v>15</v>
      </c>
      <c r="C6" s="36">
        <f>ROUNDUP(VLOOKUP(B6,角色属性!$E:$G,3,FALSE)/VLOOKUP(B6,怪物属性!B:K,2,FALSE),0)*VLOOKUP(B6,怪物属性!B:K,10,FALSE)</f>
        <v>72663</v>
      </c>
      <c r="D6" s="36">
        <f t="shared" si="1"/>
        <v>316.94841157979857</v>
      </c>
      <c r="E6" s="37">
        <f>VLOOKUP(B6,怪物属性!$O$11:$AF$60,7,FALSE)</f>
        <v>7258</v>
      </c>
      <c r="F6" s="37">
        <f t="shared" si="2"/>
        <v>1106</v>
      </c>
      <c r="G6" s="37">
        <f t="shared" ref="G6:G9" si="14">ROUNDUP(D6*VLOOKUP(B6,AT:BB,4,FALSE)+B6*$B$1,0)</f>
        <v>357</v>
      </c>
      <c r="H6" s="37">
        <f t="shared" ref="H6:H9" si="15">INT(G6/9.5)</f>
        <v>37</v>
      </c>
      <c r="I6" s="60">
        <f>VLOOKUP(B6,怪物属性!$O$11:$AF$60,17,FALSE)</f>
        <v>865</v>
      </c>
      <c r="J6" s="60">
        <f t="shared" si="3"/>
        <v>196</v>
      </c>
      <c r="K6" s="60">
        <f t="shared" ref="K6:K9" si="16">ROUNDUP(D6*VLOOKUP(B6,AT:BB,9,FALSE)+B6*$B$1,0)</f>
        <v>254</v>
      </c>
      <c r="L6" s="60">
        <f t="shared" ref="L6:L9" si="17">INT(K6/9.5)</f>
        <v>26</v>
      </c>
      <c r="M6" s="37">
        <f>VLOOKUP(B6,怪物属性!$O$11:$AF$60,3,FALSE)</f>
        <v>762</v>
      </c>
      <c r="N6" s="37">
        <f t="shared" ref="N6:N9" si="18">INT(M6*0.01*B6/1.35)+100</f>
        <v>184</v>
      </c>
      <c r="O6" s="37">
        <f t="shared" ref="O6:O9" si="19">ROUNDUP(D6*VLOOKUP(B6,AT:BB,2,FALSE)+B6*$B$1,0)</f>
        <v>249</v>
      </c>
      <c r="P6" s="37">
        <f t="shared" ref="P6:P9" si="20">INT(O6/9.5)</f>
        <v>26</v>
      </c>
      <c r="Q6" s="60">
        <f>VLOOKUP(B6,怪物属性!$O$11:$AF$60,5,FALSE)</f>
        <v>570</v>
      </c>
      <c r="R6" s="60">
        <f t="shared" si="4"/>
        <v>163</v>
      </c>
      <c r="S6" s="60">
        <f t="shared" ref="S6:S9" si="21">ROUNDUP(D6*VLOOKUP(B6,AT:BB,3,FALSE)+B6*$B$1,0)</f>
        <v>200</v>
      </c>
      <c r="T6" s="60">
        <f t="shared" ref="T6:T9" si="22">INT(S6/9.5)</f>
        <v>21</v>
      </c>
      <c r="U6" s="37">
        <f>VLOOKUP(B6,怪物属性!$O$11:$AF$60,9,FALSE)</f>
        <v>553</v>
      </c>
      <c r="V6" s="37">
        <f t="shared" si="5"/>
        <v>161</v>
      </c>
      <c r="W6" s="37">
        <f t="shared" ref="W6:W9" si="23">ROUNDUP(D6*VLOOKUP(B6,AT:BB,5,FALSE)+B6*$B$1,0)</f>
        <v>195</v>
      </c>
      <c r="X6" s="37">
        <f t="shared" ref="X6:X9" si="24">INT(W6/9.5)</f>
        <v>20</v>
      </c>
      <c r="Y6" s="60">
        <f>VLOOKUP(B6,怪物属性!$O$11:$AF$60,11,FALSE)</f>
        <v>275</v>
      </c>
      <c r="Z6" s="60">
        <f t="shared" si="6"/>
        <v>130</v>
      </c>
      <c r="AA6" s="60">
        <f t="shared" ref="AA6:AA9" si="25">ROUNDUP(D6*VLOOKUP(B6,AT:BB,6,FALSE)+B6*$B$1,0)</f>
        <v>334</v>
      </c>
      <c r="AB6" s="60">
        <f t="shared" ref="AB6:AB9" si="26">INT(AA6/9.5)</f>
        <v>35</v>
      </c>
      <c r="AC6" s="37">
        <f>VLOOKUP(B6,怪物属性!$O$11:$AF$60,13,FALSE)</f>
        <v>573</v>
      </c>
      <c r="AD6" s="37">
        <f t="shared" si="7"/>
        <v>163</v>
      </c>
      <c r="AE6" s="37">
        <f t="shared" ref="AE6:AE9" si="27">ROUNDUP(D6*VLOOKUP(B6,AT:BB,7,FALSE)+B6*$B$1,0)</f>
        <v>195</v>
      </c>
      <c r="AF6" s="37">
        <f t="shared" ref="AF6:AF9" si="28">INT(AE6/9.5)</f>
        <v>20</v>
      </c>
      <c r="AG6" s="60">
        <f>VLOOKUP(B6,怪物属性!$O$11:$AF$60,15,FALSE)</f>
        <v>285</v>
      </c>
      <c r="AH6" s="60">
        <f t="shared" si="8"/>
        <v>131</v>
      </c>
      <c r="AI6" s="60">
        <f t="shared" ref="AI6:AI9" si="29">ROUNDUP(D6*VLOOKUP(B6,AT:BB,8,FALSE)+B6*$B$1,0)</f>
        <v>209</v>
      </c>
      <c r="AJ6" s="60">
        <f t="shared" ref="AJ6:AJ9" si="30">INT(AI6/9.5)</f>
        <v>22</v>
      </c>
      <c r="AK6" s="37">
        <f t="shared" si="9"/>
        <v>24595</v>
      </c>
      <c r="AL6" s="37">
        <f t="shared" si="10"/>
        <v>234</v>
      </c>
      <c r="AM6" s="37">
        <f t="shared" ref="AM6:AM9" si="31">ROUNDUP(AQ6*1.1,0)</f>
        <v>499</v>
      </c>
      <c r="AN6" s="37">
        <f t="shared" ref="AN6:AN9" si="32">INT(AM6/9.5)</f>
        <v>52</v>
      </c>
      <c r="AO6" s="60">
        <f t="shared" si="11"/>
        <v>1493</v>
      </c>
      <c r="AP6" s="60">
        <f t="shared" si="12"/>
        <v>264</v>
      </c>
      <c r="AQ6" s="60">
        <f t="shared" si="13"/>
        <v>453</v>
      </c>
      <c r="AR6" s="60">
        <f t="shared" ref="AR6:AR9" si="33">INT(AQ6/9.5)</f>
        <v>47</v>
      </c>
      <c r="AT6" s="36">
        <v>4</v>
      </c>
      <c r="AU6" s="36">
        <f t="shared" si="0"/>
        <v>0.17200745537574424</v>
      </c>
      <c r="AV6" s="36">
        <v>9.3370608301939703E-2</v>
      </c>
      <c r="AW6" s="36">
        <v>0.3611617999990549</v>
      </c>
      <c r="AX6" s="36">
        <v>0.137376392453608</v>
      </c>
      <c r="AY6" s="36">
        <v>0.21556666742023187</v>
      </c>
      <c r="AZ6" s="36">
        <v>0.10394500803835438</v>
      </c>
      <c r="BA6" s="36">
        <v>0.11205081141749332</v>
      </c>
      <c r="BB6" s="36">
        <v>0.18058089999952745</v>
      </c>
    </row>
    <row r="7" spans="1:54" x14ac:dyDescent="0.15">
      <c r="B7" s="36">
        <v>25</v>
      </c>
      <c r="C7" s="36">
        <f>ROUNDUP(VLOOKUP(B7,角色属性!$E:$G,3,FALSE)/VLOOKUP(B7,怪物属性!B:K,2,FALSE),0)*VLOOKUP(B7,怪物属性!B:K,10,FALSE)</f>
        <v>417748</v>
      </c>
      <c r="D7" s="36">
        <f t="shared" si="1"/>
        <v>1121.5879182563058</v>
      </c>
      <c r="E7" s="37">
        <f>VLOOKUP(B7,怪物属性!$O$11:$AF$60,7,FALSE)</f>
        <v>9667</v>
      </c>
      <c r="F7" s="37">
        <f t="shared" si="2"/>
        <v>2090</v>
      </c>
      <c r="G7" s="37">
        <f t="shared" si="14"/>
        <v>1309</v>
      </c>
      <c r="H7" s="37">
        <f t="shared" si="15"/>
        <v>137</v>
      </c>
      <c r="I7" s="60">
        <f>VLOOKUP(B7,怪物属性!$O$11:$AF$60,17,FALSE)</f>
        <v>1034</v>
      </c>
      <c r="J7" s="60">
        <f t="shared" si="3"/>
        <v>291</v>
      </c>
      <c r="K7" s="60">
        <f t="shared" si="16"/>
        <v>780</v>
      </c>
      <c r="L7" s="60">
        <f t="shared" si="17"/>
        <v>82</v>
      </c>
      <c r="M7" s="37">
        <f>VLOOKUP(B7,怪物属性!$O$11:$AF$60,3,FALSE)</f>
        <v>1004</v>
      </c>
      <c r="N7" s="37">
        <f t="shared" si="18"/>
        <v>285</v>
      </c>
      <c r="O7" s="37">
        <f t="shared" si="19"/>
        <v>716</v>
      </c>
      <c r="P7" s="37">
        <f t="shared" si="20"/>
        <v>75</v>
      </c>
      <c r="Q7" s="60">
        <f>VLOOKUP(B7,怪物属性!$O$11:$AF$60,5,FALSE)</f>
        <v>752</v>
      </c>
      <c r="R7" s="60">
        <f t="shared" si="4"/>
        <v>239</v>
      </c>
      <c r="S7" s="60">
        <f t="shared" si="21"/>
        <v>494</v>
      </c>
      <c r="T7" s="60">
        <f t="shared" si="22"/>
        <v>52</v>
      </c>
      <c r="U7" s="37">
        <f>VLOOKUP(B7,怪物属性!$O$11:$AF$60,9,FALSE)</f>
        <v>633</v>
      </c>
      <c r="V7" s="37">
        <f t="shared" si="5"/>
        <v>217</v>
      </c>
      <c r="W7" s="37">
        <f t="shared" si="23"/>
        <v>409</v>
      </c>
      <c r="X7" s="37">
        <f t="shared" si="24"/>
        <v>43</v>
      </c>
      <c r="Y7" s="60">
        <f>VLOOKUP(B7,怪物属性!$O$11:$AF$60,11,FALSE)</f>
        <v>315</v>
      </c>
      <c r="Z7" s="60">
        <f t="shared" si="6"/>
        <v>158</v>
      </c>
      <c r="AA7" s="60">
        <f t="shared" si="25"/>
        <v>1052</v>
      </c>
      <c r="AB7" s="60">
        <f t="shared" si="26"/>
        <v>110</v>
      </c>
      <c r="AC7" s="37">
        <f>VLOOKUP(B7,怪物属性!$O$11:$AF$60,13,FALSE)</f>
        <v>666</v>
      </c>
      <c r="AD7" s="37">
        <f t="shared" si="7"/>
        <v>223</v>
      </c>
      <c r="AE7" s="37">
        <f t="shared" si="27"/>
        <v>435</v>
      </c>
      <c r="AF7" s="37">
        <f t="shared" si="28"/>
        <v>45</v>
      </c>
      <c r="AG7" s="60">
        <f>VLOOKUP(B7,怪物属性!$O$11:$AF$60,15,FALSE)</f>
        <v>333</v>
      </c>
      <c r="AH7" s="60">
        <f t="shared" si="8"/>
        <v>161</v>
      </c>
      <c r="AI7" s="60">
        <f t="shared" si="29"/>
        <v>537</v>
      </c>
      <c r="AJ7" s="60">
        <f t="shared" si="30"/>
        <v>56</v>
      </c>
      <c r="AK7" s="37">
        <f t="shared" si="9"/>
        <v>175215</v>
      </c>
      <c r="AL7" s="37">
        <f t="shared" si="10"/>
        <v>2240</v>
      </c>
      <c r="AM7" s="37">
        <f t="shared" si="31"/>
        <v>1703</v>
      </c>
      <c r="AN7" s="37">
        <f t="shared" si="32"/>
        <v>179</v>
      </c>
      <c r="AO7" s="60">
        <f t="shared" si="11"/>
        <v>2821</v>
      </c>
      <c r="AP7" s="60">
        <f t="shared" si="12"/>
        <v>392</v>
      </c>
      <c r="AQ7" s="60">
        <f t="shared" si="13"/>
        <v>1548</v>
      </c>
      <c r="AR7" s="60">
        <f t="shared" si="33"/>
        <v>162</v>
      </c>
      <c r="AT7" s="36">
        <v>5</v>
      </c>
      <c r="AU7" s="36">
        <f t="shared" si="0"/>
        <v>0.18599621267513081</v>
      </c>
      <c r="AV7" s="36">
        <v>9.7555266754782766E-2</v>
      </c>
      <c r="AW7" s="36">
        <v>0.3870529210321863</v>
      </c>
      <c r="AX7" s="36">
        <v>0.137547520677545</v>
      </c>
      <c r="AY7" s="36">
        <v>0.26877024202618821</v>
      </c>
      <c r="AZ7" s="36">
        <v>0.10376278980912117</v>
      </c>
      <c r="BA7" s="36">
        <v>0.11375828790999895</v>
      </c>
      <c r="BB7" s="36">
        <v>0.19352646051609315</v>
      </c>
    </row>
    <row r="8" spans="1:54" x14ac:dyDescent="0.15">
      <c r="B8" s="36">
        <v>35</v>
      </c>
      <c r="C8" s="36">
        <f>ROUNDUP(VLOOKUP(B8,角色属性!$E:$G,3,FALSE)/VLOOKUP(B8,怪物属性!B:K,2,FALSE),0)*VLOOKUP(B8,怪物属性!B:K,10,FALSE)</f>
        <v>1335141</v>
      </c>
      <c r="D8" s="36">
        <f t="shared" si="1"/>
        <v>2603.9008403805014</v>
      </c>
      <c r="E8" s="37">
        <f>VLOOKUP(B8,怪物属性!$O$11:$AF$60,7,FALSE)</f>
        <v>12276</v>
      </c>
      <c r="F8" s="37">
        <f t="shared" si="2"/>
        <v>3482</v>
      </c>
      <c r="G8" s="37">
        <f t="shared" si="14"/>
        <v>3635</v>
      </c>
      <c r="H8" s="37">
        <f t="shared" si="15"/>
        <v>382</v>
      </c>
      <c r="I8" s="60">
        <f>VLOOKUP(B8,怪物属性!$O$11:$AF$60,17,FALSE)</f>
        <v>1223</v>
      </c>
      <c r="J8" s="60">
        <f t="shared" si="3"/>
        <v>417</v>
      </c>
      <c r="K8" s="60">
        <f t="shared" si="16"/>
        <v>1993</v>
      </c>
      <c r="L8" s="60">
        <f t="shared" si="17"/>
        <v>209</v>
      </c>
      <c r="M8" s="37">
        <f>VLOOKUP(B8,怪物属性!$O$11:$AF$60,3,FALSE)</f>
        <v>1246</v>
      </c>
      <c r="N8" s="37">
        <f t="shared" si="18"/>
        <v>423</v>
      </c>
      <c r="O8" s="37">
        <f t="shared" si="19"/>
        <v>1693</v>
      </c>
      <c r="P8" s="37">
        <f t="shared" si="20"/>
        <v>178</v>
      </c>
      <c r="Q8" s="60">
        <f>VLOOKUP(B8,怪物属性!$O$11:$AF$60,5,FALSE)</f>
        <v>933</v>
      </c>
      <c r="R8" s="60">
        <f t="shared" si="4"/>
        <v>341</v>
      </c>
      <c r="S8" s="60">
        <f t="shared" si="21"/>
        <v>1072</v>
      </c>
      <c r="T8" s="60">
        <f t="shared" si="22"/>
        <v>112</v>
      </c>
      <c r="U8" s="37">
        <f>VLOOKUP(B8,怪物属性!$O$11:$AF$60,9,FALSE)</f>
        <v>714</v>
      </c>
      <c r="V8" s="37">
        <f t="shared" si="5"/>
        <v>285</v>
      </c>
      <c r="W8" s="37">
        <f t="shared" si="23"/>
        <v>726</v>
      </c>
      <c r="X8" s="37">
        <f t="shared" si="24"/>
        <v>76</v>
      </c>
      <c r="Y8" s="60">
        <f>VLOOKUP(B8,怪物属性!$O$11:$AF$60,11,FALSE)</f>
        <v>356</v>
      </c>
      <c r="Z8" s="60">
        <f t="shared" si="6"/>
        <v>192</v>
      </c>
      <c r="AA8" s="60">
        <f t="shared" si="25"/>
        <v>2400</v>
      </c>
      <c r="AB8" s="60">
        <f t="shared" si="26"/>
        <v>252</v>
      </c>
      <c r="AC8" s="37">
        <f>VLOOKUP(B8,怪物属性!$O$11:$AF$60,13,FALSE)</f>
        <v>761</v>
      </c>
      <c r="AD8" s="37">
        <f t="shared" si="7"/>
        <v>297</v>
      </c>
      <c r="AE8" s="37">
        <f t="shared" si="27"/>
        <v>831</v>
      </c>
      <c r="AF8" s="37">
        <f t="shared" si="28"/>
        <v>87</v>
      </c>
      <c r="AG8" s="60">
        <f>VLOOKUP(B8,怪物属性!$O$11:$AF$60,15,FALSE)</f>
        <v>380</v>
      </c>
      <c r="AH8" s="60">
        <f t="shared" si="8"/>
        <v>198</v>
      </c>
      <c r="AI8" s="60">
        <f t="shared" si="29"/>
        <v>1197</v>
      </c>
      <c r="AJ8" s="60">
        <f t="shared" si="30"/>
        <v>126</v>
      </c>
      <c r="AK8" s="37">
        <f t="shared" si="9"/>
        <v>686859</v>
      </c>
      <c r="AL8" s="37">
        <f t="shared" si="10"/>
        <v>12070</v>
      </c>
      <c r="AM8" s="37">
        <f t="shared" si="31"/>
        <v>4586</v>
      </c>
      <c r="AN8" s="37">
        <f t="shared" si="32"/>
        <v>482</v>
      </c>
      <c r="AO8" s="60">
        <f t="shared" si="11"/>
        <v>4700</v>
      </c>
      <c r="AP8" s="60">
        <f t="shared" si="12"/>
        <v>562</v>
      </c>
      <c r="AQ8" s="60">
        <f t="shared" si="13"/>
        <v>4169</v>
      </c>
      <c r="AR8" s="60">
        <f t="shared" si="33"/>
        <v>438</v>
      </c>
      <c r="AT8" s="36">
        <v>6</v>
      </c>
      <c r="AU8" s="36">
        <f t="shared" si="0"/>
        <v>0.20131157122524843</v>
      </c>
      <c r="AV8" s="36">
        <v>0.10450571709097566</v>
      </c>
      <c r="AW8" s="36">
        <v>0.41313397337812935</v>
      </c>
      <c r="AX8" s="36">
        <v>0.137718648901483</v>
      </c>
      <c r="AY8" s="36">
        <v>0.31598679166575366</v>
      </c>
      <c r="AZ8" s="36">
        <v>0.10912687451426503</v>
      </c>
      <c r="BA8" s="36">
        <v>0.12214200633706741</v>
      </c>
      <c r="BB8" s="36">
        <v>0.20656698668906467</v>
      </c>
    </row>
    <row r="9" spans="1:54" x14ac:dyDescent="0.15">
      <c r="B9" s="36">
        <v>45</v>
      </c>
      <c r="C9" s="36">
        <f>ROUNDUP(VLOOKUP(B9,角色属性!$E:$G,3,FALSE)/VLOOKUP(B9,怪物属性!B:K,2,FALSE),0)*VLOOKUP(B9,怪物属性!B:K,10,FALSE)</f>
        <v>3174630</v>
      </c>
      <c r="D9" s="36">
        <f t="shared" si="1"/>
        <v>4876.4433035157463</v>
      </c>
      <c r="E9" s="37">
        <f>VLOOKUP(B9,怪物属性!$O$11:$AF$60,7,FALSE)</f>
        <v>15084</v>
      </c>
      <c r="F9" s="37">
        <f t="shared" si="2"/>
        <v>5328</v>
      </c>
      <c r="G9" s="37">
        <f t="shared" si="14"/>
        <v>8266</v>
      </c>
      <c r="H9" s="37">
        <f t="shared" si="15"/>
        <v>870</v>
      </c>
      <c r="I9" s="60">
        <f>VLOOKUP(B9,怪物属性!$O$11:$AF$60,17,FALSE)</f>
        <v>1433</v>
      </c>
      <c r="J9" s="60">
        <f t="shared" si="3"/>
        <v>577</v>
      </c>
      <c r="K9" s="60">
        <f t="shared" si="16"/>
        <v>4358</v>
      </c>
      <c r="L9" s="60">
        <f t="shared" si="17"/>
        <v>458</v>
      </c>
      <c r="M9" s="37">
        <f>VLOOKUP(B9,怪物属性!$O$11:$AF$60,3,FALSE)</f>
        <v>1489</v>
      </c>
      <c r="N9" s="37">
        <f t="shared" si="18"/>
        <v>596</v>
      </c>
      <c r="O9" s="37">
        <f t="shared" si="19"/>
        <v>3459</v>
      </c>
      <c r="P9" s="37">
        <f t="shared" si="20"/>
        <v>364</v>
      </c>
      <c r="Q9" s="60">
        <f>VLOOKUP(B9,怪物属性!$O$11:$AF$60,5,FALSE)</f>
        <v>1115</v>
      </c>
      <c r="R9" s="60">
        <f t="shared" si="4"/>
        <v>471</v>
      </c>
      <c r="S9" s="60">
        <f t="shared" si="21"/>
        <v>2098</v>
      </c>
      <c r="T9" s="60">
        <f t="shared" si="22"/>
        <v>220</v>
      </c>
      <c r="U9" s="37">
        <f>VLOOKUP(B9,怪物属性!$O$11:$AF$60,9,FALSE)</f>
        <v>795</v>
      </c>
      <c r="V9" s="37">
        <f t="shared" si="5"/>
        <v>365</v>
      </c>
      <c r="W9" s="37">
        <f t="shared" si="23"/>
        <v>1188</v>
      </c>
      <c r="X9" s="37">
        <f t="shared" si="24"/>
        <v>125</v>
      </c>
      <c r="Y9" s="60">
        <f>VLOOKUP(B9,怪物属性!$O$11:$AF$60,11,FALSE)</f>
        <v>396</v>
      </c>
      <c r="Z9" s="60">
        <f t="shared" si="6"/>
        <v>232</v>
      </c>
      <c r="AA9" s="60">
        <f t="shared" si="25"/>
        <v>4508</v>
      </c>
      <c r="AB9" s="60">
        <f t="shared" si="26"/>
        <v>474</v>
      </c>
      <c r="AC9" s="37">
        <f>VLOOKUP(B9,怪物属性!$O$11:$AF$60,13,FALSE)</f>
        <v>855</v>
      </c>
      <c r="AD9" s="37">
        <f t="shared" si="7"/>
        <v>385</v>
      </c>
      <c r="AE9" s="37">
        <f t="shared" si="27"/>
        <v>1427</v>
      </c>
      <c r="AF9" s="37">
        <f t="shared" si="28"/>
        <v>150</v>
      </c>
      <c r="AG9" s="60">
        <f>VLOOKUP(B9,怪物属性!$O$11:$AF$60,15,FALSE)</f>
        <v>426</v>
      </c>
      <c r="AH9" s="60">
        <f t="shared" si="8"/>
        <v>242</v>
      </c>
      <c r="AI9" s="60">
        <f t="shared" si="29"/>
        <v>2369</v>
      </c>
      <c r="AJ9" s="60">
        <f t="shared" si="30"/>
        <v>249</v>
      </c>
      <c r="AK9" s="37">
        <f t="shared" si="9"/>
        <v>1940457</v>
      </c>
      <c r="AL9" s="37">
        <f t="shared" si="10"/>
        <v>43710</v>
      </c>
      <c r="AM9" s="37">
        <f t="shared" si="31"/>
        <v>10288</v>
      </c>
      <c r="AN9" s="37">
        <f t="shared" si="32"/>
        <v>1082</v>
      </c>
      <c r="AO9" s="60">
        <f t="shared" si="11"/>
        <v>7192</v>
      </c>
      <c r="AP9" s="60">
        <f t="shared" si="12"/>
        <v>778</v>
      </c>
      <c r="AQ9" s="60">
        <f t="shared" si="13"/>
        <v>9352</v>
      </c>
      <c r="AR9" s="60">
        <f t="shared" si="33"/>
        <v>984</v>
      </c>
      <c r="AT9" s="36">
        <v>7</v>
      </c>
      <c r="AU9" s="36">
        <f t="shared" si="0"/>
        <v>0.21616399072780612</v>
      </c>
      <c r="AV9" s="36">
        <v>0.11117958889058485</v>
      </c>
      <c r="AW9" s="36">
        <v>0.43952105301211614</v>
      </c>
      <c r="AX9" s="36">
        <v>0.13788977712542</v>
      </c>
      <c r="AY9" s="36">
        <v>0.35797590992512807</v>
      </c>
      <c r="AZ9" s="36">
        <v>0.11219632482984622</v>
      </c>
      <c r="BA9" s="36">
        <v>0.13462475480548944</v>
      </c>
      <c r="BB9" s="36">
        <v>0.21976052650605807</v>
      </c>
    </row>
    <row r="10" spans="1:54" x14ac:dyDescent="0.15">
      <c r="AT10" s="36">
        <v>8</v>
      </c>
      <c r="AU10" s="36">
        <f t="shared" si="0"/>
        <v>0.22860640233222393</v>
      </c>
      <c r="AV10" s="36">
        <v>0.11545440174800721</v>
      </c>
      <c r="AW10" s="36">
        <v>0.46387000806600392</v>
      </c>
      <c r="AX10" s="36">
        <v>0.138060905349357</v>
      </c>
      <c r="AY10" s="36">
        <v>0.39710687737835021</v>
      </c>
      <c r="AZ10" s="36">
        <v>0.11641942450951101</v>
      </c>
      <c r="BA10" s="36">
        <v>0.13739819524133623</v>
      </c>
      <c r="BB10" s="36">
        <v>0.23193500403300196</v>
      </c>
    </row>
    <row r="11" spans="1:54" x14ac:dyDescent="0.15">
      <c r="AT11" s="36">
        <v>9</v>
      </c>
      <c r="AU11" s="36">
        <f t="shared" si="0"/>
        <v>0.24116496843048077</v>
      </c>
      <c r="AV11" s="36">
        <v>0.12247195459717378</v>
      </c>
      <c r="AW11" s="36">
        <v>0.4916283536862871</v>
      </c>
      <c r="AX11" s="36">
        <v>0.138232033573294</v>
      </c>
      <c r="AY11" s="36">
        <v>0.42966280622994341</v>
      </c>
      <c r="AZ11" s="36">
        <v>0.11850356832587994</v>
      </c>
      <c r="BA11" s="36">
        <v>0.14184188575764328</v>
      </c>
      <c r="BB11" s="36">
        <v>0.24581417684314355</v>
      </c>
    </row>
    <row r="12" spans="1:54" x14ac:dyDescent="0.15">
      <c r="AT12" s="36">
        <v>10</v>
      </c>
      <c r="AU12" s="36">
        <f t="shared" si="0"/>
        <v>0.25293027940696378</v>
      </c>
      <c r="AV12" s="36">
        <v>0.12707245090937791</v>
      </c>
      <c r="AW12" s="36">
        <v>0.51677493966112609</v>
      </c>
      <c r="AX12" s="36">
        <v>0.138403161797232</v>
      </c>
      <c r="AY12" s="36">
        <v>0.46154847321007592</v>
      </c>
      <c r="AZ12" s="36">
        <v>0.12252515480433883</v>
      </c>
      <c r="BA12" s="36">
        <v>0.14580030563603263</v>
      </c>
      <c r="BB12" s="36">
        <v>0.25838746983056304</v>
      </c>
    </row>
    <row r="13" spans="1:54" x14ac:dyDescent="0.15">
      <c r="F13" s="196" t="s">
        <v>624</v>
      </c>
      <c r="G13" s="196"/>
      <c r="H13" s="196" t="s">
        <v>625</v>
      </c>
      <c r="I13" s="196"/>
      <c r="J13" s="196"/>
      <c r="K13" s="196" t="s">
        <v>626</v>
      </c>
      <c r="L13" s="196"/>
      <c r="M13" s="196"/>
      <c r="N13" s="196" t="s">
        <v>627</v>
      </c>
      <c r="O13" s="196"/>
      <c r="P13" s="196"/>
      <c r="AT13" s="36">
        <v>11</v>
      </c>
      <c r="AU13" s="36">
        <f t="shared" si="0"/>
        <v>0.26592392028004669</v>
      </c>
      <c r="AV13" s="36">
        <v>0.1339409842415856</v>
      </c>
      <c r="AW13" s="36">
        <v>0.54492132514676506</v>
      </c>
      <c r="AX13" s="36">
        <v>0.138574290021169</v>
      </c>
      <c r="AY13" s="36">
        <v>0.48833337402250698</v>
      </c>
      <c r="AZ13" s="36">
        <v>0.12583662795135242</v>
      </c>
      <c r="BA13" s="36">
        <v>0.15740017800356515</v>
      </c>
      <c r="BB13" s="36">
        <v>0.27246066257338253</v>
      </c>
    </row>
    <row r="14" spans="1:54" x14ac:dyDescent="0.15">
      <c r="C14" s="36" t="s">
        <v>135</v>
      </c>
      <c r="D14" s="101" t="s">
        <v>630</v>
      </c>
      <c r="E14" s="36" t="s">
        <v>632</v>
      </c>
      <c r="F14" s="101"/>
      <c r="G14" s="101" t="s">
        <v>628</v>
      </c>
      <c r="H14" s="101">
        <v>0.35</v>
      </c>
      <c r="I14" s="101" t="s">
        <v>623</v>
      </c>
      <c r="J14" s="101" t="s">
        <v>629</v>
      </c>
      <c r="K14" s="101">
        <v>0.4</v>
      </c>
      <c r="L14" s="101" t="s">
        <v>623</v>
      </c>
      <c r="M14" s="101" t="s">
        <v>629</v>
      </c>
      <c r="N14" s="101">
        <v>0.25</v>
      </c>
      <c r="O14" s="101" t="s">
        <v>623</v>
      </c>
      <c r="P14" s="101" t="s">
        <v>629</v>
      </c>
      <c r="AT14" s="36">
        <v>12</v>
      </c>
      <c r="AU14" s="36">
        <f t="shared" si="0"/>
        <v>0.27733749419327786</v>
      </c>
      <c r="AV14" s="36">
        <v>0.13944178527813736</v>
      </c>
      <c r="AW14" s="36">
        <v>0.57078919927789362</v>
      </c>
      <c r="AX14" s="36">
        <v>0.138745418245106</v>
      </c>
      <c r="AY14" s="36">
        <v>0.5148277163300975</v>
      </c>
      <c r="AZ14" s="36">
        <v>0.13054124579229859</v>
      </c>
      <c r="BA14" s="36">
        <v>0.16162249479046531</v>
      </c>
      <c r="BB14" s="36">
        <v>0.28539459963894681</v>
      </c>
    </row>
    <row r="15" spans="1:54" x14ac:dyDescent="0.15">
      <c r="A15" s="36" t="s">
        <v>631</v>
      </c>
      <c r="B15" s="36">
        <v>1.51</v>
      </c>
      <c r="C15" s="36">
        <v>5</v>
      </c>
      <c r="D15" s="36">
        <f>VLOOKUP(C15,AT:BB,4,FALSE)</f>
        <v>0.3870529210321863</v>
      </c>
      <c r="E15" s="102">
        <f>ROUNDUP(G5/$B$15,0)</f>
        <v>44</v>
      </c>
      <c r="F15" s="36" t="s">
        <v>484</v>
      </c>
      <c r="G15" s="102">
        <f>ROUNDUP(E15*0.351,0)</f>
        <v>16</v>
      </c>
      <c r="H15" s="36" t="s">
        <v>485</v>
      </c>
      <c r="I15" s="102">
        <f>ROUNDUP(E15*$H$14*0.649/J15,0)</f>
        <v>10</v>
      </c>
      <c r="J15" s="103">
        <f>ROUNDUP(C15/$B$16*D15*$H$14,0)</f>
        <v>1</v>
      </c>
      <c r="K15" s="36" t="s">
        <v>486</v>
      </c>
      <c r="L15" s="102">
        <f>ROUNDUP(E15*$K$14*0.649/M15,0)</f>
        <v>12</v>
      </c>
      <c r="M15" s="103">
        <f>ROUNDUP(C15/$B$16*D15*$K$14,0)</f>
        <v>1</v>
      </c>
      <c r="N15" s="36" t="s">
        <v>487</v>
      </c>
      <c r="O15" s="102">
        <f>ROUNDUP(E15*$N$14*0.649/P15,0)</f>
        <v>8</v>
      </c>
      <c r="P15" s="103">
        <f>ROUNDUP(C15/$B$16*D15*$N$14,0)</f>
        <v>1</v>
      </c>
      <c r="AT15" s="36">
        <v>13</v>
      </c>
      <c r="AU15" s="36">
        <f t="shared" si="0"/>
        <v>0.28887970649328526</v>
      </c>
      <c r="AV15" s="36">
        <v>0.14526905663082912</v>
      </c>
      <c r="AW15" s="36">
        <v>0.598142916672875</v>
      </c>
      <c r="AX15" s="36">
        <v>0.138916546469044</v>
      </c>
      <c r="AY15" s="36">
        <v>0.53804510646240378</v>
      </c>
      <c r="AZ15" s="36">
        <v>0.13331596701443815</v>
      </c>
      <c r="BA15" s="36">
        <v>0.16939689386696913</v>
      </c>
      <c r="BB15" s="36">
        <v>0.2990714583364375</v>
      </c>
    </row>
    <row r="16" spans="1:54" x14ac:dyDescent="0.15">
      <c r="A16" s="36" t="s">
        <v>58</v>
      </c>
      <c r="B16" s="36">
        <v>3.5</v>
      </c>
      <c r="C16" s="36">
        <v>15</v>
      </c>
      <c r="D16" s="36">
        <f>VLOOKUP(C16,AT:BB,4,FALSE)</f>
        <v>0.65268320083497922</v>
      </c>
      <c r="E16" s="102">
        <f t="shared" ref="E16:E18" si="34">ROUNDUP(G6/$B$15,0)</f>
        <v>237</v>
      </c>
      <c r="F16" s="36" t="s">
        <v>488</v>
      </c>
      <c r="G16" s="102">
        <f t="shared" ref="G16:G64" si="35">ROUNDUP(E16*0.351,0)</f>
        <v>84</v>
      </c>
      <c r="H16" s="36" t="s">
        <v>489</v>
      </c>
      <c r="I16" s="102">
        <f t="shared" ref="I16:I64" si="36">ROUNDUP(E16*$H$14*0.649/J16,0)</f>
        <v>54</v>
      </c>
      <c r="J16" s="103">
        <f t="shared" ref="J16:J64" si="37">ROUNDUP(C16/$B$16*D16*$H$14,0)</f>
        <v>1</v>
      </c>
      <c r="K16" s="36" t="s">
        <v>490</v>
      </c>
      <c r="L16" s="102">
        <f t="shared" ref="L16:L64" si="38">ROUNDUP(E16*$K$14*0.649/M16,0)</f>
        <v>31</v>
      </c>
      <c r="M16" s="103">
        <f t="shared" ref="M16:M64" si="39">ROUNDUP(C16/$B$16*D16*$K$14,0)</f>
        <v>2</v>
      </c>
      <c r="N16" s="36" t="s">
        <v>491</v>
      </c>
      <c r="O16" s="102">
        <f t="shared" ref="O16:O64" si="40">ROUNDUP(E16*$N$14*0.649/P16,0)</f>
        <v>39</v>
      </c>
      <c r="P16" s="103">
        <f t="shared" ref="P16:P64" si="41">ROUNDUP(C16/$B$16*D16*$N$14,0)</f>
        <v>1</v>
      </c>
      <c r="AT16" s="36">
        <v>14</v>
      </c>
      <c r="AU16" s="36">
        <f t="shared" si="0"/>
        <v>0.3005030392921112</v>
      </c>
      <c r="AV16" s="36">
        <v>0.15151623028400718</v>
      </c>
      <c r="AW16" s="36">
        <v>0.6247724877446188</v>
      </c>
      <c r="AX16" s="36">
        <v>0.139087674692981</v>
      </c>
      <c r="AY16" s="36">
        <v>0.56022554633881239</v>
      </c>
      <c r="AZ16" s="36">
        <v>0.13584291591433478</v>
      </c>
      <c r="BA16" s="36">
        <v>0.1796901761977146</v>
      </c>
      <c r="BB16" s="36">
        <v>0.3123862438723094</v>
      </c>
    </row>
    <row r="17" spans="3:54" x14ac:dyDescent="0.15">
      <c r="C17" s="36">
        <v>25</v>
      </c>
      <c r="D17" s="36">
        <f>VLOOKUP(C17,AT:BB,4,FALSE)</f>
        <v>0.94418252671679326</v>
      </c>
      <c r="E17" s="102">
        <f t="shared" si="34"/>
        <v>867</v>
      </c>
      <c r="F17" s="36" t="s">
        <v>492</v>
      </c>
      <c r="G17" s="102">
        <f t="shared" si="35"/>
        <v>305</v>
      </c>
      <c r="H17" s="36" t="s">
        <v>493</v>
      </c>
      <c r="I17" s="102">
        <f t="shared" si="36"/>
        <v>66</v>
      </c>
      <c r="J17" s="103">
        <f t="shared" si="37"/>
        <v>3</v>
      </c>
      <c r="K17" s="36" t="s">
        <v>494</v>
      </c>
      <c r="L17" s="102">
        <f t="shared" si="38"/>
        <v>76</v>
      </c>
      <c r="M17" s="103">
        <f t="shared" si="39"/>
        <v>3</v>
      </c>
      <c r="N17" s="36" t="s">
        <v>495</v>
      </c>
      <c r="O17" s="102">
        <f t="shared" si="40"/>
        <v>71</v>
      </c>
      <c r="P17" s="103">
        <f t="shared" si="41"/>
        <v>2</v>
      </c>
      <c r="AT17" s="36">
        <v>15</v>
      </c>
      <c r="AU17" s="36">
        <f t="shared" si="0"/>
        <v>0.31123074633313663</v>
      </c>
      <c r="AV17" s="36">
        <v>0.15675592204157077</v>
      </c>
      <c r="AW17" s="36">
        <v>0.65268320083497922</v>
      </c>
      <c r="AX17" s="36">
        <v>0.139258802916918</v>
      </c>
      <c r="AY17" s="36">
        <v>0.57968835811867025</v>
      </c>
      <c r="AZ17" s="36">
        <v>0.13936023649220913</v>
      </c>
      <c r="BA17" s="36">
        <v>0.1845271035101195</v>
      </c>
      <c r="BB17" s="36">
        <v>0.32634160041748961</v>
      </c>
    </row>
    <row r="18" spans="3:54" x14ac:dyDescent="0.15">
      <c r="C18" s="36">
        <v>35</v>
      </c>
      <c r="D18" s="36">
        <f>VLOOKUP(C18,AT:BB,4,FALSE)</f>
        <v>1.2612803532702686</v>
      </c>
      <c r="E18" s="102">
        <f t="shared" si="34"/>
        <v>2408</v>
      </c>
      <c r="F18" s="36" t="s">
        <v>496</v>
      </c>
      <c r="G18" s="102">
        <f t="shared" si="35"/>
        <v>846</v>
      </c>
      <c r="H18" s="36" t="s">
        <v>497</v>
      </c>
      <c r="I18" s="102">
        <f t="shared" si="36"/>
        <v>110</v>
      </c>
      <c r="J18" s="103">
        <f t="shared" si="37"/>
        <v>5</v>
      </c>
      <c r="K18" s="36" t="s">
        <v>498</v>
      </c>
      <c r="L18" s="102">
        <f t="shared" si="38"/>
        <v>105</v>
      </c>
      <c r="M18" s="103">
        <f t="shared" si="39"/>
        <v>6</v>
      </c>
      <c r="N18" s="36" t="s">
        <v>499</v>
      </c>
      <c r="O18" s="102">
        <f t="shared" si="40"/>
        <v>98</v>
      </c>
      <c r="P18" s="103">
        <f t="shared" si="41"/>
        <v>4</v>
      </c>
      <c r="AT18" s="36">
        <v>16</v>
      </c>
      <c r="AU18" s="36">
        <f t="shared" si="0"/>
        <v>0.32202728622989957</v>
      </c>
      <c r="AV18" s="36">
        <v>0.16244292157384418</v>
      </c>
      <c r="AW18" s="36">
        <v>0.67999645246377793</v>
      </c>
      <c r="AX18" s="36">
        <v>0.139429931140855</v>
      </c>
      <c r="AY18" s="36">
        <v>0.59858527735217337</v>
      </c>
      <c r="AZ18" s="36">
        <v>0.14179521767329437</v>
      </c>
      <c r="BA18" s="36">
        <v>0.19194297717346323</v>
      </c>
      <c r="BB18" s="36">
        <v>0.33999822623188897</v>
      </c>
    </row>
    <row r="19" spans="3:54" x14ac:dyDescent="0.15">
      <c r="C19" s="36">
        <v>45</v>
      </c>
      <c r="D19" s="36">
        <f>VLOOKUP(C19,AT:BB,4,FALSE)</f>
        <v>1.6027416783444983</v>
      </c>
      <c r="E19" s="102">
        <f>ROUNDUP(G9/$B$15,0)</f>
        <v>5475</v>
      </c>
      <c r="F19" s="36" t="s">
        <v>500</v>
      </c>
      <c r="G19" s="102">
        <f t="shared" si="35"/>
        <v>1922</v>
      </c>
      <c r="H19" s="36" t="s">
        <v>501</v>
      </c>
      <c r="I19" s="102">
        <f t="shared" si="36"/>
        <v>156</v>
      </c>
      <c r="J19" s="103">
        <f t="shared" si="37"/>
        <v>8</v>
      </c>
      <c r="K19" s="36" t="s">
        <v>502</v>
      </c>
      <c r="L19" s="102">
        <f t="shared" si="38"/>
        <v>158</v>
      </c>
      <c r="M19" s="103">
        <f t="shared" si="39"/>
        <v>9</v>
      </c>
      <c r="N19" s="36" t="s">
        <v>503</v>
      </c>
      <c r="O19" s="102">
        <f t="shared" si="40"/>
        <v>149</v>
      </c>
      <c r="P19" s="103">
        <f t="shared" si="41"/>
        <v>6</v>
      </c>
      <c r="AT19" s="36">
        <v>17</v>
      </c>
      <c r="AU19" s="36">
        <f t="shared" si="0"/>
        <v>0.3322840878446619</v>
      </c>
      <c r="AV19" s="36">
        <v>0.16912110541904468</v>
      </c>
      <c r="AW19" s="36">
        <v>0.70903392098887508</v>
      </c>
      <c r="AX19" s="36">
        <v>0.139601059364793</v>
      </c>
      <c r="AY19" s="36">
        <v>0.61456840084633568</v>
      </c>
      <c r="AZ19" s="36">
        <v>0.1445314976064152</v>
      </c>
      <c r="BA19" s="36">
        <v>0.19461567019273218</v>
      </c>
      <c r="BB19" s="36">
        <v>0.35451696049443754</v>
      </c>
    </row>
    <row r="20" spans="3:54" x14ac:dyDescent="0.15">
      <c r="C20" s="36">
        <v>5</v>
      </c>
      <c r="D20" s="36">
        <f>D60*1.1</f>
        <v>0.63863731970310744</v>
      </c>
      <c r="E20" s="102">
        <f>ROUNDUP(AM5/$B$15,0)</f>
        <v>68</v>
      </c>
      <c r="F20" s="36" t="s">
        <v>504</v>
      </c>
      <c r="G20" s="102">
        <f t="shared" si="35"/>
        <v>24</v>
      </c>
      <c r="H20" s="36" t="s">
        <v>505</v>
      </c>
      <c r="I20" s="102">
        <f t="shared" si="36"/>
        <v>16</v>
      </c>
      <c r="J20" s="103">
        <f t="shared" si="37"/>
        <v>1</v>
      </c>
      <c r="K20" s="36" t="s">
        <v>487</v>
      </c>
      <c r="L20" s="102">
        <f t="shared" si="38"/>
        <v>18</v>
      </c>
      <c r="M20" s="103">
        <f t="shared" si="39"/>
        <v>1</v>
      </c>
      <c r="N20" s="36" t="s">
        <v>506</v>
      </c>
      <c r="O20" s="102">
        <f t="shared" si="40"/>
        <v>12</v>
      </c>
      <c r="P20" s="103">
        <f t="shared" si="41"/>
        <v>1</v>
      </c>
      <c r="AT20" s="36">
        <v>18</v>
      </c>
      <c r="AU20" s="36">
        <f t="shared" si="0"/>
        <v>0.34310667565767916</v>
      </c>
      <c r="AV20" s="36">
        <v>0.1742734115877356</v>
      </c>
      <c r="AW20" s="36">
        <v>0.73694014246263462</v>
      </c>
      <c r="AX20" s="36">
        <v>0.13977218758873</v>
      </c>
      <c r="AY20" s="36">
        <v>0.63072608124032026</v>
      </c>
      <c r="AZ20" s="36">
        <v>0.14689244683752281</v>
      </c>
      <c r="BA20" s="36">
        <v>0.2046723886554935</v>
      </c>
      <c r="BB20" s="36">
        <v>0.36847007123131731</v>
      </c>
    </row>
    <row r="21" spans="3:54" x14ac:dyDescent="0.15">
      <c r="C21" s="36">
        <v>15</v>
      </c>
      <c r="D21" s="36">
        <f t="shared" ref="D21:D24" si="42">D61*1.1</f>
        <v>1.0769272813777158</v>
      </c>
      <c r="E21" s="102">
        <f t="shared" ref="E21:E24" si="43">ROUNDUP(AM6/$B$15,0)</f>
        <v>331</v>
      </c>
      <c r="F21" s="36" t="s">
        <v>507</v>
      </c>
      <c r="G21" s="102">
        <f t="shared" si="35"/>
        <v>117</v>
      </c>
      <c r="H21" s="36" t="s">
        <v>508</v>
      </c>
      <c r="I21" s="102">
        <f t="shared" si="36"/>
        <v>38</v>
      </c>
      <c r="J21" s="103">
        <f t="shared" si="37"/>
        <v>2</v>
      </c>
      <c r="K21" s="36" t="s">
        <v>491</v>
      </c>
      <c r="L21" s="102">
        <f t="shared" si="38"/>
        <v>43</v>
      </c>
      <c r="M21" s="103">
        <f t="shared" si="39"/>
        <v>2</v>
      </c>
      <c r="N21" s="36" t="s">
        <v>509</v>
      </c>
      <c r="O21" s="102">
        <f t="shared" si="40"/>
        <v>27</v>
      </c>
      <c r="P21" s="103">
        <f t="shared" si="41"/>
        <v>2</v>
      </c>
      <c r="AT21" s="36">
        <v>19</v>
      </c>
      <c r="AU21" s="36">
        <f t="shared" si="0"/>
        <v>0.35369610685045333</v>
      </c>
      <c r="AV21" s="36">
        <v>0.18130286091511405</v>
      </c>
      <c r="AW21" s="36">
        <v>0.76607388287515821</v>
      </c>
      <c r="AX21" s="36">
        <v>0.139943315812667</v>
      </c>
      <c r="AY21" s="36">
        <v>0.64502237975466514</v>
      </c>
      <c r="AZ21" s="36">
        <v>0.15063355946908547</v>
      </c>
      <c r="BA21" s="36">
        <v>0.20985980768890439</v>
      </c>
      <c r="BB21" s="36">
        <v>0.3830369414375791</v>
      </c>
    </row>
    <row r="22" spans="3:54" x14ac:dyDescent="0.15">
      <c r="C22" s="36">
        <v>25</v>
      </c>
      <c r="D22" s="36">
        <f t="shared" si="42"/>
        <v>1.5579011690827089</v>
      </c>
      <c r="E22" s="102">
        <f t="shared" si="43"/>
        <v>1128</v>
      </c>
      <c r="F22" s="36" t="s">
        <v>510</v>
      </c>
      <c r="G22" s="102">
        <f t="shared" si="35"/>
        <v>396</v>
      </c>
      <c r="H22" s="36" t="s">
        <v>511</v>
      </c>
      <c r="I22" s="102">
        <f t="shared" si="36"/>
        <v>65</v>
      </c>
      <c r="J22" s="103">
        <f t="shared" si="37"/>
        <v>4</v>
      </c>
      <c r="K22" s="36" t="s">
        <v>495</v>
      </c>
      <c r="L22" s="102">
        <f t="shared" si="38"/>
        <v>59</v>
      </c>
      <c r="M22" s="103">
        <f t="shared" si="39"/>
        <v>5</v>
      </c>
      <c r="N22" s="36" t="s">
        <v>512</v>
      </c>
      <c r="O22" s="102">
        <f t="shared" si="40"/>
        <v>62</v>
      </c>
      <c r="P22" s="103">
        <f t="shared" si="41"/>
        <v>3</v>
      </c>
      <c r="AT22" s="36">
        <v>20</v>
      </c>
      <c r="AU22" s="36">
        <f t="shared" si="0"/>
        <v>0.36396135553062059</v>
      </c>
      <c r="AV22" s="36">
        <v>0.18651769432328252</v>
      </c>
      <c r="AW22" s="36">
        <v>0.79458694055641166</v>
      </c>
      <c r="AX22" s="36">
        <v>0.140114444036605</v>
      </c>
      <c r="AY22" s="36">
        <v>0.65899660992634257</v>
      </c>
      <c r="AZ22" s="36">
        <v>0.1528561209306481</v>
      </c>
      <c r="BA22" s="36">
        <v>0.21736420866284825</v>
      </c>
      <c r="BB22" s="36">
        <v>0.39729347027820583</v>
      </c>
    </row>
    <row r="23" spans="3:54" x14ac:dyDescent="0.15">
      <c r="C23" s="36">
        <v>35</v>
      </c>
      <c r="D23" s="36">
        <f t="shared" si="42"/>
        <v>2.0811125828959436</v>
      </c>
      <c r="E23" s="102">
        <f t="shared" si="43"/>
        <v>3038</v>
      </c>
      <c r="F23" s="36" t="s">
        <v>513</v>
      </c>
      <c r="G23" s="102">
        <f t="shared" si="35"/>
        <v>1067</v>
      </c>
      <c r="H23" s="36" t="s">
        <v>514</v>
      </c>
      <c r="I23" s="102">
        <f t="shared" si="36"/>
        <v>87</v>
      </c>
      <c r="J23" s="103">
        <f t="shared" si="37"/>
        <v>8</v>
      </c>
      <c r="K23" s="36" t="s">
        <v>499</v>
      </c>
      <c r="L23" s="102">
        <f t="shared" si="38"/>
        <v>88</v>
      </c>
      <c r="M23" s="103">
        <f t="shared" si="39"/>
        <v>9</v>
      </c>
      <c r="N23" s="36" t="s">
        <v>515</v>
      </c>
      <c r="O23" s="102">
        <f t="shared" si="40"/>
        <v>83</v>
      </c>
      <c r="P23" s="103">
        <f t="shared" si="41"/>
        <v>6</v>
      </c>
      <c r="AT23" s="36">
        <v>21</v>
      </c>
      <c r="AU23" s="36">
        <f t="shared" si="0"/>
        <v>0.37467258921410845</v>
      </c>
      <c r="AV23" s="36">
        <v>0.19245722804404491</v>
      </c>
      <c r="AW23" s="36">
        <v>0.823864253189179</v>
      </c>
      <c r="AX23" s="36">
        <v>0.140285572260542</v>
      </c>
      <c r="AY23" s="36">
        <v>0.67159301414507777</v>
      </c>
      <c r="AZ23" s="36">
        <v>0.15516797077148384</v>
      </c>
      <c r="BA23" s="36">
        <v>0.22740795949384179</v>
      </c>
      <c r="BB23" s="36">
        <v>0.4119321265945895</v>
      </c>
    </row>
    <row r="24" spans="3:54" x14ac:dyDescent="0.15">
      <c r="C24" s="36">
        <v>45</v>
      </c>
      <c r="D24" s="36">
        <f t="shared" si="42"/>
        <v>2.6445237692684223</v>
      </c>
      <c r="E24" s="102">
        <f t="shared" si="43"/>
        <v>6814</v>
      </c>
      <c r="F24" s="36" t="s">
        <v>516</v>
      </c>
      <c r="G24" s="102">
        <f t="shared" si="35"/>
        <v>2392</v>
      </c>
      <c r="H24" s="36" t="s">
        <v>517</v>
      </c>
      <c r="I24" s="102">
        <f t="shared" si="36"/>
        <v>129</v>
      </c>
      <c r="J24" s="103">
        <f t="shared" si="37"/>
        <v>12</v>
      </c>
      <c r="K24" s="36" t="s">
        <v>503</v>
      </c>
      <c r="L24" s="102">
        <f t="shared" si="38"/>
        <v>127</v>
      </c>
      <c r="M24" s="103">
        <f t="shared" si="39"/>
        <v>14</v>
      </c>
      <c r="N24" s="36" t="s">
        <v>518</v>
      </c>
      <c r="O24" s="102">
        <f t="shared" si="40"/>
        <v>123</v>
      </c>
      <c r="P24" s="103">
        <f t="shared" si="41"/>
        <v>9</v>
      </c>
      <c r="AT24" s="36">
        <v>22</v>
      </c>
      <c r="AU24" s="36">
        <f t="shared" si="0"/>
        <v>0.38485860435189989</v>
      </c>
      <c r="AV24" s="36">
        <v>0.19906533143937788</v>
      </c>
      <c r="AW24" s="36">
        <v>0.85418536951753643</v>
      </c>
      <c r="AX24" s="36">
        <v>0.140456700484479</v>
      </c>
      <c r="AY24" s="36">
        <v>0.6828051187324079</v>
      </c>
      <c r="AZ24" s="36">
        <v>0.1575431221907222</v>
      </c>
      <c r="BA24" s="36">
        <v>0.23286190334000689</v>
      </c>
      <c r="BB24" s="36">
        <v>0.42709268475876822</v>
      </c>
    </row>
    <row r="25" spans="3:54" x14ac:dyDescent="0.15">
      <c r="C25" s="36">
        <v>5</v>
      </c>
      <c r="D25" s="36">
        <f>VLOOKUP(C25,AT:BB,9,FALSE)</f>
        <v>0.19352646051609315</v>
      </c>
      <c r="E25" s="102">
        <f>ROUNDUP(K5/$B$15,0)</f>
        <v>39</v>
      </c>
      <c r="F25" s="36" t="s">
        <v>519</v>
      </c>
      <c r="G25" s="102">
        <f t="shared" si="35"/>
        <v>14</v>
      </c>
      <c r="H25" s="36" t="s">
        <v>520</v>
      </c>
      <c r="I25" s="102">
        <f t="shared" si="36"/>
        <v>9</v>
      </c>
      <c r="J25" s="103">
        <f t="shared" si="37"/>
        <v>1</v>
      </c>
      <c r="K25" s="36" t="s">
        <v>506</v>
      </c>
      <c r="L25" s="102">
        <f t="shared" si="38"/>
        <v>11</v>
      </c>
      <c r="M25" s="103">
        <f t="shared" si="39"/>
        <v>1</v>
      </c>
      <c r="N25" s="36" t="s">
        <v>521</v>
      </c>
      <c r="O25" s="102">
        <f t="shared" si="40"/>
        <v>7</v>
      </c>
      <c r="P25" s="103">
        <f t="shared" si="41"/>
        <v>1</v>
      </c>
      <c r="AT25" s="36">
        <v>23</v>
      </c>
      <c r="AU25" s="36">
        <f t="shared" si="0"/>
        <v>0.39511069094786461</v>
      </c>
      <c r="AV25" s="36">
        <v>0.20449186123961785</v>
      </c>
      <c r="AW25" s="36">
        <v>0.88411588478467873</v>
      </c>
      <c r="AX25" s="36">
        <v>0.140627828708416</v>
      </c>
      <c r="AY25" s="36">
        <v>0.69371207093213827</v>
      </c>
      <c r="AZ25" s="36">
        <v>0.16027376708807733</v>
      </c>
      <c r="BA25" s="36">
        <v>0.24049548148978483</v>
      </c>
      <c r="BB25" s="36">
        <v>0.44205794239233936</v>
      </c>
    </row>
    <row r="26" spans="3:54" x14ac:dyDescent="0.15">
      <c r="C26" s="36">
        <v>15</v>
      </c>
      <c r="D26" s="36">
        <f>VLOOKUP(C26,AT:BB,9,FALSE)</f>
        <v>0.32634160041748961</v>
      </c>
      <c r="E26" s="102">
        <f t="shared" ref="E26:E29" si="44">ROUNDUP(K6/$B$15,0)</f>
        <v>169</v>
      </c>
      <c r="F26" s="36" t="s">
        <v>522</v>
      </c>
      <c r="G26" s="102">
        <f t="shared" si="35"/>
        <v>60</v>
      </c>
      <c r="H26" s="36" t="s">
        <v>523</v>
      </c>
      <c r="I26" s="102">
        <f t="shared" si="36"/>
        <v>39</v>
      </c>
      <c r="J26" s="103">
        <f t="shared" si="37"/>
        <v>1</v>
      </c>
      <c r="K26" s="36" t="s">
        <v>509</v>
      </c>
      <c r="L26" s="102">
        <f t="shared" si="38"/>
        <v>44</v>
      </c>
      <c r="M26" s="103">
        <f t="shared" si="39"/>
        <v>1</v>
      </c>
      <c r="N26" s="36" t="s">
        <v>524</v>
      </c>
      <c r="O26" s="102">
        <f t="shared" si="40"/>
        <v>28</v>
      </c>
      <c r="P26" s="103">
        <f t="shared" si="41"/>
        <v>1</v>
      </c>
      <c r="AT26" s="36">
        <v>24</v>
      </c>
      <c r="AU26" s="36">
        <f t="shared" si="0"/>
        <v>0.40495969650983571</v>
      </c>
      <c r="AV26" s="36">
        <v>0.21081881613346234</v>
      </c>
      <c r="AW26" s="36">
        <v>0.9137335692040951</v>
      </c>
      <c r="AX26" s="36">
        <v>0.140798956932354</v>
      </c>
      <c r="AY26" s="36">
        <v>0.70447847073231251</v>
      </c>
      <c r="AZ26" s="36">
        <v>0.162310939171977</v>
      </c>
      <c r="BA26" s="36">
        <v>0.24571033879260126</v>
      </c>
      <c r="BB26" s="36">
        <v>0.45686678460204755</v>
      </c>
    </row>
    <row r="27" spans="3:54" x14ac:dyDescent="0.15">
      <c r="C27" s="36">
        <v>25</v>
      </c>
      <c r="D27" s="36">
        <f>VLOOKUP(C27,AT:BB,9,FALSE)</f>
        <v>0.47209126335839663</v>
      </c>
      <c r="E27" s="102">
        <f t="shared" si="44"/>
        <v>517</v>
      </c>
      <c r="F27" s="36" t="s">
        <v>525</v>
      </c>
      <c r="G27" s="102">
        <f t="shared" si="35"/>
        <v>182</v>
      </c>
      <c r="H27" s="36" t="s">
        <v>526</v>
      </c>
      <c r="I27" s="102">
        <f t="shared" si="36"/>
        <v>59</v>
      </c>
      <c r="J27" s="103">
        <f t="shared" si="37"/>
        <v>2</v>
      </c>
      <c r="K27" s="36" t="s">
        <v>512</v>
      </c>
      <c r="L27" s="102">
        <f t="shared" si="38"/>
        <v>68</v>
      </c>
      <c r="M27" s="103">
        <f t="shared" si="39"/>
        <v>2</v>
      </c>
      <c r="N27" s="36" t="s">
        <v>527</v>
      </c>
      <c r="O27" s="102">
        <f t="shared" si="40"/>
        <v>84</v>
      </c>
      <c r="P27" s="103">
        <f t="shared" si="41"/>
        <v>1</v>
      </c>
      <c r="AT27" s="36">
        <v>25</v>
      </c>
      <c r="AU27" s="36">
        <f t="shared" si="0"/>
        <v>0.41545527655670489</v>
      </c>
      <c r="AV27" s="36">
        <v>0.21677656932788653</v>
      </c>
      <c r="AW27" s="36">
        <v>0.94418252671679326</v>
      </c>
      <c r="AX27" s="36">
        <v>0.140970085156291</v>
      </c>
      <c r="AY27" s="36">
        <v>0.71417636121231576</v>
      </c>
      <c r="AZ27" s="36">
        <v>0.16440809269979556</v>
      </c>
      <c r="BA27" s="36">
        <v>0.25558203742545565</v>
      </c>
      <c r="BB27" s="36">
        <v>0.47209126335839663</v>
      </c>
    </row>
    <row r="28" spans="3:54" x14ac:dyDescent="0.15">
      <c r="C28" s="36">
        <v>35</v>
      </c>
      <c r="D28" s="36">
        <f>VLOOKUP(C28,AT:BB,9,FALSE)</f>
        <v>0.63064017663513428</v>
      </c>
      <c r="E28" s="102">
        <f t="shared" si="44"/>
        <v>1320</v>
      </c>
      <c r="F28" s="36" t="s">
        <v>528</v>
      </c>
      <c r="G28" s="102">
        <f t="shared" si="35"/>
        <v>464</v>
      </c>
      <c r="H28" s="36" t="s">
        <v>529</v>
      </c>
      <c r="I28" s="102">
        <f t="shared" si="36"/>
        <v>100</v>
      </c>
      <c r="J28" s="103">
        <f t="shared" si="37"/>
        <v>3</v>
      </c>
      <c r="K28" s="36" t="s">
        <v>515</v>
      </c>
      <c r="L28" s="102">
        <f t="shared" si="38"/>
        <v>115</v>
      </c>
      <c r="M28" s="103">
        <f t="shared" si="39"/>
        <v>3</v>
      </c>
      <c r="N28" s="36" t="s">
        <v>530</v>
      </c>
      <c r="O28" s="102">
        <f t="shared" si="40"/>
        <v>108</v>
      </c>
      <c r="P28" s="103">
        <f t="shared" si="41"/>
        <v>2</v>
      </c>
      <c r="AT28" s="36">
        <v>26</v>
      </c>
      <c r="AU28" s="36">
        <f t="shared" si="0"/>
        <v>0.42500752650419982</v>
      </c>
      <c r="AV28" s="36">
        <v>0.22262200790198272</v>
      </c>
      <c r="AW28" s="36">
        <v>0.97436014783508329</v>
      </c>
      <c r="AX28" s="36">
        <v>0.141141213380228</v>
      </c>
      <c r="AY28" s="36">
        <v>0.72379095650743441</v>
      </c>
      <c r="AZ28" s="36">
        <v>0.16729172345392715</v>
      </c>
      <c r="BA28" s="36">
        <v>0.2586665625332018</v>
      </c>
      <c r="BB28" s="36">
        <v>0.48718007391754165</v>
      </c>
    </row>
    <row r="29" spans="3:54" x14ac:dyDescent="0.15">
      <c r="C29" s="36">
        <v>45</v>
      </c>
      <c r="D29" s="36">
        <f>VLOOKUP(C29,AT:BB,9,FALSE)</f>
        <v>0.80137083917224916</v>
      </c>
      <c r="E29" s="102">
        <f t="shared" si="44"/>
        <v>2887</v>
      </c>
      <c r="F29" s="36" t="s">
        <v>531</v>
      </c>
      <c r="G29" s="102">
        <f t="shared" si="35"/>
        <v>1014</v>
      </c>
      <c r="H29" s="36" t="s">
        <v>532</v>
      </c>
      <c r="I29" s="102">
        <f t="shared" si="36"/>
        <v>164</v>
      </c>
      <c r="J29" s="103">
        <f t="shared" si="37"/>
        <v>4</v>
      </c>
      <c r="K29" s="36" t="s">
        <v>518</v>
      </c>
      <c r="L29" s="102">
        <f t="shared" si="38"/>
        <v>150</v>
      </c>
      <c r="M29" s="103">
        <f t="shared" si="39"/>
        <v>5</v>
      </c>
      <c r="N29" s="36" t="s">
        <v>533</v>
      </c>
      <c r="O29" s="102">
        <f t="shared" si="40"/>
        <v>157</v>
      </c>
      <c r="P29" s="103">
        <f t="shared" si="41"/>
        <v>3</v>
      </c>
      <c r="AT29" s="36">
        <v>27</v>
      </c>
      <c r="AU29" s="36">
        <f t="shared" si="0"/>
        <v>0.4351125784819328</v>
      </c>
      <c r="AV29" s="36">
        <v>0.22859616974758135</v>
      </c>
      <c r="AW29" s="36">
        <v>1.0053206352587207</v>
      </c>
      <c r="AX29" s="36">
        <v>0.141312341604165</v>
      </c>
      <c r="AY29" s="36">
        <v>0.7323032233243344</v>
      </c>
      <c r="AZ29" s="36">
        <v>0.16926878587244601</v>
      </c>
      <c r="BA29" s="36">
        <v>0.26632657593692205</v>
      </c>
      <c r="BB29" s="36">
        <v>0.50266031762936036</v>
      </c>
    </row>
    <row r="30" spans="3:54" x14ac:dyDescent="0.15">
      <c r="C30" s="36">
        <v>5</v>
      </c>
      <c r="D30" s="36">
        <f>VLOOKUP(C30,AT:BB,2,FALSE)</f>
        <v>0.18599621267513081</v>
      </c>
      <c r="E30" s="102">
        <f>ROUNDUP(O5/$B$15,0)</f>
        <v>39</v>
      </c>
      <c r="F30" s="36" t="s">
        <v>534</v>
      </c>
      <c r="G30" s="102">
        <f t="shared" si="35"/>
        <v>14</v>
      </c>
      <c r="H30" s="36" t="s">
        <v>535</v>
      </c>
      <c r="I30" s="102">
        <f t="shared" si="36"/>
        <v>9</v>
      </c>
      <c r="J30" s="103">
        <f t="shared" si="37"/>
        <v>1</v>
      </c>
      <c r="K30" s="36" t="s">
        <v>521</v>
      </c>
      <c r="L30" s="102">
        <f t="shared" si="38"/>
        <v>11</v>
      </c>
      <c r="M30" s="103">
        <f t="shared" si="39"/>
        <v>1</v>
      </c>
      <c r="N30" s="36" t="s">
        <v>536</v>
      </c>
      <c r="O30" s="102">
        <f t="shared" si="40"/>
        <v>7</v>
      </c>
      <c r="P30" s="103">
        <f t="shared" si="41"/>
        <v>1</v>
      </c>
      <c r="AT30" s="36">
        <v>28</v>
      </c>
      <c r="AU30" s="36">
        <f t="shared" si="0"/>
        <v>0.44557539668767238</v>
      </c>
      <c r="AV30" s="36">
        <v>0.23457530304658708</v>
      </c>
      <c r="AW30" s="36">
        <v>1.0365263626283086</v>
      </c>
      <c r="AX30" s="36">
        <v>0.14148346982810273</v>
      </c>
      <c r="AY30" s="36">
        <v>0.74043455573596961</v>
      </c>
      <c r="AZ30" s="36">
        <v>0.17162857586251068</v>
      </c>
      <c r="BA30" s="36">
        <v>0.27611632839807354</v>
      </c>
      <c r="BB30" s="36">
        <v>0.51826318131415428</v>
      </c>
    </row>
    <row r="31" spans="3:54" x14ac:dyDescent="0.15">
      <c r="C31" s="36">
        <v>15</v>
      </c>
      <c r="D31" s="36">
        <f>VLOOKUP(C31,AT:BB,2,FALSE)</f>
        <v>0.31123074633313663</v>
      </c>
      <c r="E31" s="102">
        <f t="shared" ref="E31:E34" si="45">ROUNDUP(O6/$B$15,0)</f>
        <v>165</v>
      </c>
      <c r="F31" s="36" t="s">
        <v>537</v>
      </c>
      <c r="G31" s="102">
        <f t="shared" si="35"/>
        <v>58</v>
      </c>
      <c r="H31" s="36" t="s">
        <v>538</v>
      </c>
      <c r="I31" s="102">
        <f t="shared" si="36"/>
        <v>38</v>
      </c>
      <c r="J31" s="103">
        <f t="shared" si="37"/>
        <v>1</v>
      </c>
      <c r="K31" s="36" t="s">
        <v>524</v>
      </c>
      <c r="L31" s="102">
        <f t="shared" si="38"/>
        <v>43</v>
      </c>
      <c r="M31" s="103">
        <f t="shared" si="39"/>
        <v>1</v>
      </c>
      <c r="N31" s="36" t="s">
        <v>539</v>
      </c>
      <c r="O31" s="102">
        <f t="shared" si="40"/>
        <v>27</v>
      </c>
      <c r="P31" s="103">
        <f t="shared" si="41"/>
        <v>1</v>
      </c>
      <c r="AT31" s="36">
        <v>29</v>
      </c>
      <c r="AU31" s="36">
        <f t="shared" si="0"/>
        <v>0.45532127651185855</v>
      </c>
      <c r="AV31" s="36">
        <v>0.24103174545732478</v>
      </c>
      <c r="AW31" s="36">
        <v>1.0678122253038744</v>
      </c>
      <c r="AX31" s="36">
        <v>0.14165459805204</v>
      </c>
      <c r="AY31" s="36">
        <v>0.74812972849247017</v>
      </c>
      <c r="AZ31" s="36">
        <v>0.17309854467927122</v>
      </c>
      <c r="BA31" s="36">
        <v>0.28161598094609258</v>
      </c>
      <c r="BB31" s="36">
        <v>0.53390611265193721</v>
      </c>
    </row>
    <row r="32" spans="3:54" x14ac:dyDescent="0.15">
      <c r="C32" s="36">
        <v>25</v>
      </c>
      <c r="D32" s="36">
        <f>VLOOKUP(C32,AT:BB,2,FALSE)</f>
        <v>0.41545527655670489</v>
      </c>
      <c r="E32" s="102">
        <f t="shared" si="45"/>
        <v>475</v>
      </c>
      <c r="F32" s="36" t="s">
        <v>540</v>
      </c>
      <c r="G32" s="102">
        <f t="shared" si="35"/>
        <v>167</v>
      </c>
      <c r="H32" s="36" t="s">
        <v>541</v>
      </c>
      <c r="I32" s="102">
        <f t="shared" si="36"/>
        <v>54</v>
      </c>
      <c r="J32" s="103">
        <f t="shared" si="37"/>
        <v>2</v>
      </c>
      <c r="K32" s="36" t="s">
        <v>527</v>
      </c>
      <c r="L32" s="102">
        <f t="shared" si="38"/>
        <v>62</v>
      </c>
      <c r="M32" s="103">
        <f t="shared" si="39"/>
        <v>2</v>
      </c>
      <c r="N32" s="36" t="s">
        <v>542</v>
      </c>
      <c r="O32" s="102">
        <f t="shared" si="40"/>
        <v>78</v>
      </c>
      <c r="P32" s="103">
        <f t="shared" si="41"/>
        <v>1</v>
      </c>
      <c r="AT32" s="36">
        <v>30</v>
      </c>
      <c r="AU32" s="36">
        <f t="shared" si="0"/>
        <v>0.46538424154429453</v>
      </c>
      <c r="AV32" s="36">
        <v>0.24691392325652894</v>
      </c>
      <c r="AW32" s="36">
        <v>1.0990590921725811</v>
      </c>
      <c r="AX32" s="36">
        <v>0.14205043247122756</v>
      </c>
      <c r="AY32" s="36">
        <v>0.75573139479691775</v>
      </c>
      <c r="AZ32" s="36">
        <v>0.17527585237734325</v>
      </c>
      <c r="BA32" s="36">
        <v>0.28912944964917248</v>
      </c>
      <c r="BB32" s="36">
        <v>0.54952954608629057</v>
      </c>
    </row>
    <row r="33" spans="3:54" x14ac:dyDescent="0.15">
      <c r="C33" s="36">
        <v>35</v>
      </c>
      <c r="D33" s="36">
        <f>VLOOKUP(C33,AT:BB,2,FALSE)</f>
        <v>0.51567340811940854</v>
      </c>
      <c r="E33" s="102">
        <f t="shared" si="45"/>
        <v>1122</v>
      </c>
      <c r="F33" s="36" t="s">
        <v>543</v>
      </c>
      <c r="G33" s="102">
        <f t="shared" si="35"/>
        <v>394</v>
      </c>
      <c r="H33" s="36" t="s">
        <v>544</v>
      </c>
      <c r="I33" s="102">
        <f t="shared" si="36"/>
        <v>128</v>
      </c>
      <c r="J33" s="103">
        <f t="shared" si="37"/>
        <v>2</v>
      </c>
      <c r="K33" s="36" t="s">
        <v>530</v>
      </c>
      <c r="L33" s="102">
        <f t="shared" si="38"/>
        <v>98</v>
      </c>
      <c r="M33" s="103">
        <f t="shared" si="39"/>
        <v>3</v>
      </c>
      <c r="N33" s="36" t="s">
        <v>545</v>
      </c>
      <c r="O33" s="102">
        <f t="shared" si="40"/>
        <v>92</v>
      </c>
      <c r="P33" s="103">
        <f t="shared" si="41"/>
        <v>2</v>
      </c>
      <c r="AT33" s="36">
        <v>31</v>
      </c>
      <c r="AU33" s="36">
        <f t="shared" si="0"/>
        <v>0.4751744128619218</v>
      </c>
      <c r="AV33" s="36">
        <v>0.25290546467036545</v>
      </c>
      <c r="AW33" s="36">
        <v>1.1311773608833879</v>
      </c>
      <c r="AX33" s="36">
        <v>0.1421511674900483</v>
      </c>
      <c r="AY33" s="36">
        <v>0.76263400519550717</v>
      </c>
      <c r="AZ33" s="36">
        <v>0.17708092756861782</v>
      </c>
      <c r="BA33" s="36">
        <v>0.2946832837838318</v>
      </c>
      <c r="BB33" s="36">
        <v>0.56558868044169397</v>
      </c>
    </row>
    <row r="34" spans="3:54" x14ac:dyDescent="0.15">
      <c r="C34" s="36">
        <v>45</v>
      </c>
      <c r="D34" s="36">
        <f>VLOOKUP(C34,AT:BB,2,FALSE)</f>
        <v>0.61695842217263563</v>
      </c>
      <c r="E34" s="102">
        <f t="shared" si="45"/>
        <v>2291</v>
      </c>
      <c r="F34" s="36" t="s">
        <v>546</v>
      </c>
      <c r="G34" s="102">
        <f t="shared" si="35"/>
        <v>805</v>
      </c>
      <c r="H34" s="36" t="s">
        <v>547</v>
      </c>
      <c r="I34" s="102">
        <f t="shared" si="36"/>
        <v>174</v>
      </c>
      <c r="J34" s="103">
        <f t="shared" si="37"/>
        <v>3</v>
      </c>
      <c r="K34" s="36" t="s">
        <v>533</v>
      </c>
      <c r="L34" s="102">
        <f t="shared" si="38"/>
        <v>149</v>
      </c>
      <c r="M34" s="103">
        <f t="shared" si="39"/>
        <v>4</v>
      </c>
      <c r="N34" s="36" t="s">
        <v>548</v>
      </c>
      <c r="O34" s="102">
        <f t="shared" si="40"/>
        <v>186</v>
      </c>
      <c r="P34" s="103">
        <f t="shared" si="41"/>
        <v>2</v>
      </c>
      <c r="AT34" s="36">
        <v>32</v>
      </c>
      <c r="AU34" s="36">
        <f t="shared" si="0"/>
        <v>0.48554352232133524</v>
      </c>
      <c r="AV34" s="36">
        <v>0.25880679982030524</v>
      </c>
      <c r="AW34" s="36">
        <v>1.162952798456254</v>
      </c>
      <c r="AX34" s="36">
        <v>0.14267679546963088</v>
      </c>
      <c r="AY34" s="36">
        <v>0.76947072611161826</v>
      </c>
      <c r="AZ34" s="36">
        <v>0.17915061508706154</v>
      </c>
      <c r="BA34" s="36">
        <v>0.30427052207634997</v>
      </c>
      <c r="BB34" s="36">
        <v>0.58147639922812699</v>
      </c>
    </row>
    <row r="35" spans="3:54" x14ac:dyDescent="0.15">
      <c r="C35" s="36">
        <v>5</v>
      </c>
      <c r="D35" s="36">
        <f>VLOOKUP(C35,AT:BB,3,FALSE)</f>
        <v>9.7555266754782766E-2</v>
      </c>
      <c r="E35" s="102">
        <f>ROUNDUP(S5/$B$15,0)</f>
        <v>36</v>
      </c>
      <c r="F35" s="36" t="s">
        <v>549</v>
      </c>
      <c r="G35" s="102">
        <f t="shared" si="35"/>
        <v>13</v>
      </c>
      <c r="H35" s="36" t="s">
        <v>550</v>
      </c>
      <c r="I35" s="102">
        <f t="shared" si="36"/>
        <v>9</v>
      </c>
      <c r="J35" s="103">
        <f t="shared" si="37"/>
        <v>1</v>
      </c>
      <c r="K35" s="36" t="s">
        <v>536</v>
      </c>
      <c r="L35" s="102">
        <f t="shared" si="38"/>
        <v>10</v>
      </c>
      <c r="M35" s="103">
        <f t="shared" si="39"/>
        <v>1</v>
      </c>
      <c r="N35" s="36" t="s">
        <v>551</v>
      </c>
      <c r="O35" s="102">
        <f t="shared" si="40"/>
        <v>6</v>
      </c>
      <c r="P35" s="103">
        <f t="shared" si="41"/>
        <v>1</v>
      </c>
      <c r="AT35" s="36">
        <v>33</v>
      </c>
      <c r="AU35" s="36">
        <f t="shared" si="0"/>
        <v>0.49542308249036149</v>
      </c>
      <c r="AV35" s="36">
        <v>0.26499192197043864</v>
      </c>
      <c r="AW35" s="36">
        <v>1.1960730182108199</v>
      </c>
      <c r="AX35" s="36">
        <v>0.14299490197583981</v>
      </c>
      <c r="AY35" s="36">
        <v>0.77515787222550425</v>
      </c>
      <c r="AZ35" s="36">
        <v>0.18064087041307925</v>
      </c>
      <c r="BA35" s="36">
        <v>0.31006648353143884</v>
      </c>
      <c r="BB35" s="36">
        <v>0.59803650910540995</v>
      </c>
    </row>
    <row r="36" spans="3:54" x14ac:dyDescent="0.15">
      <c r="C36" s="36">
        <v>15</v>
      </c>
      <c r="D36" s="36">
        <f>VLOOKUP(C36,AT:BB,3,FALSE)</f>
        <v>0.15675592204157077</v>
      </c>
      <c r="E36" s="102">
        <f t="shared" ref="E36:E39" si="46">ROUNDUP(S6/$B$15,0)</f>
        <v>133</v>
      </c>
      <c r="F36" s="36" t="s">
        <v>552</v>
      </c>
      <c r="G36" s="102">
        <f t="shared" si="35"/>
        <v>47</v>
      </c>
      <c r="H36" s="36" t="s">
        <v>553</v>
      </c>
      <c r="I36" s="102">
        <f t="shared" si="36"/>
        <v>31</v>
      </c>
      <c r="J36" s="103">
        <f t="shared" si="37"/>
        <v>1</v>
      </c>
      <c r="K36" s="36" t="s">
        <v>539</v>
      </c>
      <c r="L36" s="102">
        <f t="shared" si="38"/>
        <v>35</v>
      </c>
      <c r="M36" s="103">
        <f t="shared" si="39"/>
        <v>1</v>
      </c>
      <c r="N36" s="36" t="s">
        <v>554</v>
      </c>
      <c r="O36" s="102">
        <f t="shared" si="40"/>
        <v>22</v>
      </c>
      <c r="P36" s="103">
        <f t="shared" si="41"/>
        <v>1</v>
      </c>
      <c r="AT36" s="36">
        <v>34</v>
      </c>
      <c r="AU36" s="36">
        <f t="shared" si="0"/>
        <v>0.50534092208655645</v>
      </c>
      <c r="AV36" s="36">
        <v>0.27135506688636363</v>
      </c>
      <c r="AW36" s="36">
        <v>1.2283484897432244</v>
      </c>
      <c r="AX36" s="36">
        <v>0.14362150942536372</v>
      </c>
      <c r="AY36" s="36">
        <v>0.78136064546403616</v>
      </c>
      <c r="AZ36" s="36">
        <v>0.18296090338541107</v>
      </c>
      <c r="BA36" s="36">
        <v>0.31556559482988378</v>
      </c>
      <c r="BB36" s="36">
        <v>0.61417424487161221</v>
      </c>
    </row>
    <row r="37" spans="3:54" x14ac:dyDescent="0.15">
      <c r="C37" s="36">
        <v>25</v>
      </c>
      <c r="D37" s="36">
        <f>VLOOKUP(C37,AT:BB,3,FALSE)</f>
        <v>0.21677656932788653</v>
      </c>
      <c r="E37" s="102">
        <f t="shared" si="46"/>
        <v>328</v>
      </c>
      <c r="F37" s="36" t="s">
        <v>555</v>
      </c>
      <c r="G37" s="102">
        <f t="shared" si="35"/>
        <v>116</v>
      </c>
      <c r="H37" s="36" t="s">
        <v>556</v>
      </c>
      <c r="I37" s="102">
        <f t="shared" si="36"/>
        <v>75</v>
      </c>
      <c r="J37" s="103">
        <f t="shared" si="37"/>
        <v>1</v>
      </c>
      <c r="K37" s="36" t="s">
        <v>542</v>
      </c>
      <c r="L37" s="102">
        <f t="shared" si="38"/>
        <v>86</v>
      </c>
      <c r="M37" s="103">
        <f t="shared" si="39"/>
        <v>1</v>
      </c>
      <c r="N37" s="36" t="s">
        <v>557</v>
      </c>
      <c r="O37" s="102">
        <f t="shared" si="40"/>
        <v>54</v>
      </c>
      <c r="P37" s="103">
        <f t="shared" si="41"/>
        <v>1</v>
      </c>
      <c r="AT37" s="36">
        <v>35</v>
      </c>
      <c r="AU37" s="36">
        <f t="shared" si="0"/>
        <v>0.51567340811940854</v>
      </c>
      <c r="AV37" s="36">
        <v>0.2769100921585339</v>
      </c>
      <c r="AW37" s="36">
        <v>1.2612803532702686</v>
      </c>
      <c r="AX37" s="36">
        <v>0.14413665975037812</v>
      </c>
      <c r="AY37" s="36">
        <v>0.78693556183000679</v>
      </c>
      <c r="AZ37" s="36">
        <v>0.1845987533949987</v>
      </c>
      <c r="BA37" s="36">
        <v>0.32521225979653923</v>
      </c>
      <c r="BB37" s="36">
        <v>0.63064017663513428</v>
      </c>
    </row>
    <row r="38" spans="3:54" x14ac:dyDescent="0.15">
      <c r="C38" s="36">
        <v>35</v>
      </c>
      <c r="D38" s="36">
        <f>VLOOKUP(C38,AT:BB,3,FALSE)</f>
        <v>0.2769100921585339</v>
      </c>
      <c r="E38" s="102">
        <f t="shared" si="46"/>
        <v>710</v>
      </c>
      <c r="F38" s="36" t="s">
        <v>558</v>
      </c>
      <c r="G38" s="102">
        <f t="shared" si="35"/>
        <v>250</v>
      </c>
      <c r="H38" s="36" t="s">
        <v>559</v>
      </c>
      <c r="I38" s="102">
        <f t="shared" si="36"/>
        <v>162</v>
      </c>
      <c r="J38" s="103">
        <f t="shared" si="37"/>
        <v>1</v>
      </c>
      <c r="K38" s="36" t="s">
        <v>545</v>
      </c>
      <c r="L38" s="102">
        <f t="shared" si="38"/>
        <v>93</v>
      </c>
      <c r="M38" s="103">
        <f t="shared" si="39"/>
        <v>2</v>
      </c>
      <c r="N38" s="36" t="s">
        <v>560</v>
      </c>
      <c r="O38" s="102">
        <f t="shared" si="40"/>
        <v>116</v>
      </c>
      <c r="P38" s="103">
        <f t="shared" si="41"/>
        <v>1</v>
      </c>
      <c r="AT38" s="36">
        <v>36</v>
      </c>
      <c r="AU38" s="36">
        <f t="shared" si="0"/>
        <v>0.52559058496083566</v>
      </c>
      <c r="AV38" s="36">
        <v>0.28328156580576774</v>
      </c>
      <c r="AW38" s="36">
        <v>1.2942311294985922</v>
      </c>
      <c r="AX38" s="36">
        <v>0.14464983066470957</v>
      </c>
      <c r="AY38" s="36">
        <v>0.79264391813974777</v>
      </c>
      <c r="AZ38" s="36">
        <v>0.18647068956373447</v>
      </c>
      <c r="BA38" s="36">
        <v>0.33074139630400123</v>
      </c>
      <c r="BB38" s="36">
        <v>0.6471155647492961</v>
      </c>
    </row>
    <row r="39" spans="3:54" x14ac:dyDescent="0.15">
      <c r="C39" s="36">
        <v>45</v>
      </c>
      <c r="D39" s="36">
        <f>VLOOKUP(C39,AT:BB,3,FALSE)</f>
        <v>0.33778147579978718</v>
      </c>
      <c r="E39" s="102">
        <f t="shared" si="46"/>
        <v>1390</v>
      </c>
      <c r="F39" s="36" t="s">
        <v>561</v>
      </c>
      <c r="G39" s="102">
        <f t="shared" si="35"/>
        <v>488</v>
      </c>
      <c r="H39" s="36" t="s">
        <v>562</v>
      </c>
      <c r="I39" s="102">
        <f t="shared" si="36"/>
        <v>158</v>
      </c>
      <c r="J39" s="103">
        <f t="shared" si="37"/>
        <v>2</v>
      </c>
      <c r="K39" s="36" t="s">
        <v>548</v>
      </c>
      <c r="L39" s="102">
        <f t="shared" si="38"/>
        <v>181</v>
      </c>
      <c r="M39" s="103">
        <f t="shared" si="39"/>
        <v>2</v>
      </c>
      <c r="N39" s="36" t="s">
        <v>563</v>
      </c>
      <c r="O39" s="102">
        <f t="shared" si="40"/>
        <v>113</v>
      </c>
      <c r="P39" s="103">
        <f t="shared" si="41"/>
        <v>2</v>
      </c>
      <c r="AT39" s="36">
        <v>37</v>
      </c>
      <c r="AU39" s="36">
        <f t="shared" si="0"/>
        <v>0.53560475066225488</v>
      </c>
      <c r="AV39" s="36">
        <v>0.28885220580240223</v>
      </c>
      <c r="AW39" s="36">
        <v>1.3275039471531613</v>
      </c>
      <c r="AX39" s="36">
        <v>0.14524421735210644</v>
      </c>
      <c r="AY39" s="36">
        <v>0.79778462762133784</v>
      </c>
      <c r="AZ39" s="36">
        <v>0.18772333442399358</v>
      </c>
      <c r="BA39" s="36">
        <v>0.33837294870620233</v>
      </c>
      <c r="BB39" s="36">
        <v>0.66375197357658067</v>
      </c>
    </row>
    <row r="40" spans="3:54" x14ac:dyDescent="0.15">
      <c r="C40" s="36">
        <v>5</v>
      </c>
      <c r="D40" s="36">
        <f>VLOOKUP(C40,AT:BB,5,FALSE)</f>
        <v>0.137547520677545</v>
      </c>
      <c r="E40" s="102">
        <f>ROUNDUP(W5/$B$15,0)</f>
        <v>38</v>
      </c>
      <c r="F40" s="36" t="s">
        <v>564</v>
      </c>
      <c r="G40" s="102">
        <f t="shared" si="35"/>
        <v>14</v>
      </c>
      <c r="H40" s="36" t="s">
        <v>565</v>
      </c>
      <c r="I40" s="102">
        <f t="shared" si="36"/>
        <v>9</v>
      </c>
      <c r="J40" s="103">
        <f t="shared" si="37"/>
        <v>1</v>
      </c>
      <c r="K40" s="36" t="s">
        <v>551</v>
      </c>
      <c r="L40" s="102">
        <f t="shared" si="38"/>
        <v>10</v>
      </c>
      <c r="M40" s="103">
        <f t="shared" si="39"/>
        <v>1</v>
      </c>
      <c r="N40" s="36" t="s">
        <v>566</v>
      </c>
      <c r="O40" s="102">
        <f t="shared" si="40"/>
        <v>7</v>
      </c>
      <c r="P40" s="103">
        <f t="shared" si="41"/>
        <v>1</v>
      </c>
      <c r="AT40" s="36">
        <v>38</v>
      </c>
      <c r="AU40" s="36">
        <f t="shared" si="0"/>
        <v>0.54551801977994308</v>
      </c>
      <c r="AV40" s="36">
        <v>0.29523088980936246</v>
      </c>
      <c r="AW40" s="36">
        <v>1.3606606650514235</v>
      </c>
      <c r="AX40" s="36">
        <v>0.14603182664157013</v>
      </c>
      <c r="AY40" s="36">
        <v>0.8029103025700558</v>
      </c>
      <c r="AZ40" s="36">
        <v>0.18951920859680027</v>
      </c>
      <c r="BA40" s="36">
        <v>0.34394291326467741</v>
      </c>
      <c r="BB40" s="36">
        <v>0.68033033252571173</v>
      </c>
    </row>
    <row r="41" spans="3:54" x14ac:dyDescent="0.15">
      <c r="C41" s="36">
        <v>15</v>
      </c>
      <c r="D41" s="36">
        <f>VLOOKUP(C41,AT:BB,5,FALSE)</f>
        <v>0.139258802916918</v>
      </c>
      <c r="E41" s="102">
        <f t="shared" ref="E41:E44" si="47">ROUNDUP(W6/$B$15,0)</f>
        <v>130</v>
      </c>
      <c r="F41" s="36" t="s">
        <v>567</v>
      </c>
      <c r="G41" s="102">
        <f t="shared" si="35"/>
        <v>46</v>
      </c>
      <c r="H41" s="36" t="s">
        <v>568</v>
      </c>
      <c r="I41" s="102">
        <f t="shared" si="36"/>
        <v>30</v>
      </c>
      <c r="J41" s="103">
        <f t="shared" si="37"/>
        <v>1</v>
      </c>
      <c r="K41" s="36" t="s">
        <v>554</v>
      </c>
      <c r="L41" s="102">
        <f t="shared" si="38"/>
        <v>34</v>
      </c>
      <c r="M41" s="103">
        <f t="shared" si="39"/>
        <v>1</v>
      </c>
      <c r="N41" s="36" t="s">
        <v>569</v>
      </c>
      <c r="O41" s="102">
        <f t="shared" si="40"/>
        <v>22</v>
      </c>
      <c r="P41" s="103">
        <f t="shared" si="41"/>
        <v>1</v>
      </c>
      <c r="AT41" s="36">
        <v>39</v>
      </c>
      <c r="AU41" s="36">
        <f t="shared" si="0"/>
        <v>0.55608199832551386</v>
      </c>
      <c r="AV41" s="36">
        <v>0.30132738673454734</v>
      </c>
      <c r="AW41" s="36">
        <v>1.3949360559428436</v>
      </c>
      <c r="AX41" s="36">
        <v>0.1465325923473135</v>
      </c>
      <c r="AY41" s="36">
        <v>0.80732007812864037</v>
      </c>
      <c r="AZ41" s="36">
        <v>0.19136667287903894</v>
      </c>
      <c r="BA41" s="36">
        <v>0.35362317427479134</v>
      </c>
      <c r="BB41" s="36">
        <v>0.69746802797142182</v>
      </c>
    </row>
    <row r="42" spans="3:54" x14ac:dyDescent="0.15">
      <c r="C42" s="36">
        <v>25</v>
      </c>
      <c r="D42" s="36">
        <f>VLOOKUP(C42,AT:BB,5,FALSE)</f>
        <v>0.140970085156291</v>
      </c>
      <c r="E42" s="102">
        <f t="shared" si="47"/>
        <v>271</v>
      </c>
      <c r="F42" s="36" t="s">
        <v>570</v>
      </c>
      <c r="G42" s="102">
        <f t="shared" si="35"/>
        <v>96</v>
      </c>
      <c r="H42" s="36" t="s">
        <v>571</v>
      </c>
      <c r="I42" s="102">
        <f t="shared" si="36"/>
        <v>62</v>
      </c>
      <c r="J42" s="103">
        <f t="shared" si="37"/>
        <v>1</v>
      </c>
      <c r="K42" s="36" t="s">
        <v>557</v>
      </c>
      <c r="L42" s="102">
        <f t="shared" si="38"/>
        <v>71</v>
      </c>
      <c r="M42" s="103">
        <f t="shared" si="39"/>
        <v>1</v>
      </c>
      <c r="N42" s="36" t="s">
        <v>572</v>
      </c>
      <c r="O42" s="102">
        <f t="shared" si="40"/>
        <v>44</v>
      </c>
      <c r="P42" s="103">
        <f t="shared" si="41"/>
        <v>1</v>
      </c>
      <c r="AT42" s="36">
        <v>40</v>
      </c>
      <c r="AU42" s="36">
        <f t="shared" si="0"/>
        <v>0.56597046617946378</v>
      </c>
      <c r="AV42" s="36">
        <v>0.30727419525290162</v>
      </c>
      <c r="AW42" s="36">
        <v>1.4287483606945017</v>
      </c>
      <c r="AX42" s="36">
        <v>0.14738171443202377</v>
      </c>
      <c r="AY42" s="36">
        <v>0.81201537208340646</v>
      </c>
      <c r="AZ42" s="36">
        <v>0.1927855113988127</v>
      </c>
      <c r="BA42" s="36">
        <v>0.35921392904734911</v>
      </c>
      <c r="BB42" s="36">
        <v>0.71437418034725086</v>
      </c>
    </row>
    <row r="43" spans="3:54" x14ac:dyDescent="0.15">
      <c r="C43" s="36">
        <v>35</v>
      </c>
      <c r="D43" s="36">
        <f>VLOOKUP(C43,AT:BB,5,FALSE)</f>
        <v>0.14413665975037812</v>
      </c>
      <c r="E43" s="102">
        <f t="shared" si="47"/>
        <v>481</v>
      </c>
      <c r="F43" s="36" t="s">
        <v>573</v>
      </c>
      <c r="G43" s="102">
        <f t="shared" si="35"/>
        <v>169</v>
      </c>
      <c r="H43" s="36" t="s">
        <v>574</v>
      </c>
      <c r="I43" s="102">
        <f t="shared" si="36"/>
        <v>110</v>
      </c>
      <c r="J43" s="103">
        <f t="shared" si="37"/>
        <v>1</v>
      </c>
      <c r="K43" s="36" t="s">
        <v>560</v>
      </c>
      <c r="L43" s="102">
        <f t="shared" si="38"/>
        <v>125</v>
      </c>
      <c r="M43" s="103">
        <f t="shared" si="39"/>
        <v>1</v>
      </c>
      <c r="N43" s="36" t="s">
        <v>575</v>
      </c>
      <c r="O43" s="102">
        <f t="shared" si="40"/>
        <v>79</v>
      </c>
      <c r="P43" s="103">
        <f t="shared" si="41"/>
        <v>1</v>
      </c>
      <c r="AT43" s="36">
        <v>41</v>
      </c>
      <c r="AU43" s="36">
        <f t="shared" si="0"/>
        <v>0.5762789020305874</v>
      </c>
      <c r="AV43" s="36">
        <v>0.31373061108758638</v>
      </c>
      <c r="AW43" s="36">
        <v>1.4630045506007379</v>
      </c>
      <c r="AX43" s="36">
        <v>0.14790324299662266</v>
      </c>
      <c r="AY43" s="36">
        <v>0.81646712713564651</v>
      </c>
      <c r="AZ43" s="36">
        <v>0.19450111327075417</v>
      </c>
      <c r="BA43" s="36">
        <v>0.36684339382239484</v>
      </c>
      <c r="BB43" s="36">
        <v>0.73150227530036893</v>
      </c>
    </row>
    <row r="44" spans="3:54" x14ac:dyDescent="0.15">
      <c r="C44" s="36">
        <v>45</v>
      </c>
      <c r="D44" s="36">
        <f>VLOOKUP(C44,AT:BB,5,FALSE)</f>
        <v>0.15116166857234398</v>
      </c>
      <c r="E44" s="102">
        <f t="shared" si="47"/>
        <v>787</v>
      </c>
      <c r="F44" s="36" t="s">
        <v>576</v>
      </c>
      <c r="G44" s="102">
        <f t="shared" si="35"/>
        <v>277</v>
      </c>
      <c r="H44" s="36" t="s">
        <v>577</v>
      </c>
      <c r="I44" s="102">
        <f t="shared" si="36"/>
        <v>179</v>
      </c>
      <c r="J44" s="103">
        <f t="shared" si="37"/>
        <v>1</v>
      </c>
      <c r="K44" s="36" t="s">
        <v>563</v>
      </c>
      <c r="L44" s="102">
        <f t="shared" si="38"/>
        <v>205</v>
      </c>
      <c r="M44" s="103">
        <f t="shared" si="39"/>
        <v>1</v>
      </c>
      <c r="N44" s="36" t="s">
        <v>578</v>
      </c>
      <c r="O44" s="102">
        <f t="shared" si="40"/>
        <v>128</v>
      </c>
      <c r="P44" s="103">
        <f t="shared" si="41"/>
        <v>1</v>
      </c>
      <c r="AT44" s="36">
        <v>42</v>
      </c>
      <c r="AU44" s="36">
        <f t="shared" si="0"/>
        <v>0.58642796209074066</v>
      </c>
      <c r="AV44" s="36">
        <v>0.31925733342915802</v>
      </c>
      <c r="AW44" s="36">
        <v>1.4973247199248101</v>
      </c>
      <c r="AX44" s="36">
        <v>0.14880525025703992</v>
      </c>
      <c r="AY44" s="36">
        <v>0.82069795193867445</v>
      </c>
      <c r="AZ44" s="36">
        <v>0.19586107949704715</v>
      </c>
      <c r="BA44" s="36">
        <v>0.37438703962604986</v>
      </c>
      <c r="BB44" s="36">
        <v>0.74866235996240504</v>
      </c>
    </row>
    <row r="45" spans="3:54" x14ac:dyDescent="0.15">
      <c r="C45" s="36">
        <v>5</v>
      </c>
      <c r="D45" s="36">
        <f>VLOOKUP(C45,AT:BB,7,FALSE)</f>
        <v>0.10376278980912117</v>
      </c>
      <c r="E45" s="102">
        <f>ROUNDUP(AE5/$B$15,0)</f>
        <v>37</v>
      </c>
      <c r="F45" s="36" t="s">
        <v>579</v>
      </c>
      <c r="G45" s="102">
        <f t="shared" si="35"/>
        <v>13</v>
      </c>
      <c r="H45" s="36" t="s">
        <v>580</v>
      </c>
      <c r="I45" s="102">
        <f t="shared" si="36"/>
        <v>9</v>
      </c>
      <c r="J45" s="103">
        <f t="shared" si="37"/>
        <v>1</v>
      </c>
      <c r="K45" s="36" t="s">
        <v>566</v>
      </c>
      <c r="L45" s="102">
        <f t="shared" si="38"/>
        <v>10</v>
      </c>
      <c r="M45" s="103">
        <f t="shared" si="39"/>
        <v>1</v>
      </c>
      <c r="N45" s="36" t="s">
        <v>581</v>
      </c>
      <c r="O45" s="102">
        <f t="shared" si="40"/>
        <v>7</v>
      </c>
      <c r="P45" s="103">
        <f t="shared" si="41"/>
        <v>1</v>
      </c>
      <c r="AT45" s="36">
        <v>43</v>
      </c>
      <c r="AU45" s="36">
        <f t="shared" si="0"/>
        <v>0.59651367593117866</v>
      </c>
      <c r="AV45" s="36">
        <v>0.3252892273952262</v>
      </c>
      <c r="AW45" s="36">
        <v>1.5323714670001047</v>
      </c>
      <c r="AX45" s="36">
        <v>0.14956983622763015</v>
      </c>
      <c r="AY45" s="36">
        <v>0.82457724096058882</v>
      </c>
      <c r="AZ45" s="36">
        <v>0.19750053253346611</v>
      </c>
      <c r="BA45" s="36">
        <v>0.38010169390118242</v>
      </c>
      <c r="BB45" s="36">
        <v>0.76618573350005237</v>
      </c>
    </row>
    <row r="46" spans="3:54" x14ac:dyDescent="0.15">
      <c r="C46" s="36">
        <v>15</v>
      </c>
      <c r="D46" s="36">
        <f>VLOOKUP(C46,AT:BB,7,FALSE)</f>
        <v>0.13936023649220913</v>
      </c>
      <c r="E46" s="102">
        <f>ROUNDUP(AC6/$B$15,0)</f>
        <v>380</v>
      </c>
      <c r="F46" s="36" t="s">
        <v>582</v>
      </c>
      <c r="G46" s="102">
        <f t="shared" si="35"/>
        <v>134</v>
      </c>
      <c r="H46" s="36" t="s">
        <v>583</v>
      </c>
      <c r="I46" s="102">
        <f t="shared" si="36"/>
        <v>87</v>
      </c>
      <c r="J46" s="103">
        <f t="shared" si="37"/>
        <v>1</v>
      </c>
      <c r="K46" s="36" t="s">
        <v>569</v>
      </c>
      <c r="L46" s="102">
        <f t="shared" si="38"/>
        <v>99</v>
      </c>
      <c r="M46" s="103">
        <f t="shared" si="39"/>
        <v>1</v>
      </c>
      <c r="N46" s="36" t="s">
        <v>584</v>
      </c>
      <c r="O46" s="102">
        <f t="shared" si="40"/>
        <v>62</v>
      </c>
      <c r="P46" s="103">
        <f t="shared" si="41"/>
        <v>1</v>
      </c>
      <c r="AT46" s="36">
        <v>44</v>
      </c>
      <c r="AU46" s="36">
        <f t="shared" si="0"/>
        <v>0.60690265392586495</v>
      </c>
      <c r="AV46" s="36">
        <v>0.33174745790725746</v>
      </c>
      <c r="AW46" s="36">
        <v>1.5675097501484356</v>
      </c>
      <c r="AX46" s="36">
        <v>0.15035594984680628</v>
      </c>
      <c r="AY46" s="36">
        <v>0.82837272318926691</v>
      </c>
      <c r="AZ46" s="36">
        <v>0.19884496579349117</v>
      </c>
      <c r="BA46" s="36">
        <v>0.38773285552157871</v>
      </c>
      <c r="BB46" s="36">
        <v>0.78375487507421782</v>
      </c>
    </row>
    <row r="47" spans="3:54" x14ac:dyDescent="0.15">
      <c r="C47" s="36">
        <v>25</v>
      </c>
      <c r="D47" s="36">
        <f>VLOOKUP(C47,AT:BB,7,FALSE)</f>
        <v>0.16440809269979556</v>
      </c>
      <c r="E47" s="102">
        <f>ROUNDUP(AC7/$B$15,0)</f>
        <v>442</v>
      </c>
      <c r="F47" s="36" t="s">
        <v>585</v>
      </c>
      <c r="G47" s="102">
        <f t="shared" si="35"/>
        <v>156</v>
      </c>
      <c r="H47" s="36" t="s">
        <v>586</v>
      </c>
      <c r="I47" s="102">
        <f t="shared" si="36"/>
        <v>101</v>
      </c>
      <c r="J47" s="103">
        <f t="shared" si="37"/>
        <v>1</v>
      </c>
      <c r="K47" s="36" t="s">
        <v>572</v>
      </c>
      <c r="L47" s="102">
        <f t="shared" si="38"/>
        <v>115</v>
      </c>
      <c r="M47" s="103">
        <f t="shared" si="39"/>
        <v>1</v>
      </c>
      <c r="N47" s="36" t="s">
        <v>587</v>
      </c>
      <c r="O47" s="102">
        <f t="shared" si="40"/>
        <v>72</v>
      </c>
      <c r="P47" s="103">
        <f t="shared" si="41"/>
        <v>1</v>
      </c>
      <c r="AT47" s="36">
        <v>45</v>
      </c>
      <c r="AU47" s="36">
        <f t="shared" si="0"/>
        <v>0.61695842217263563</v>
      </c>
      <c r="AV47" s="36">
        <v>0.33778147579978718</v>
      </c>
      <c r="AW47" s="36">
        <v>1.6027416783444983</v>
      </c>
      <c r="AX47" s="36">
        <v>0.15116166857234398</v>
      </c>
      <c r="AY47" s="36">
        <v>0.83202010655970293</v>
      </c>
      <c r="AZ47" s="36">
        <v>0.20016396856682644</v>
      </c>
      <c r="BA47" s="36">
        <v>0.39346921819304087</v>
      </c>
      <c r="BB47" s="36">
        <v>0.80137083917224916</v>
      </c>
    </row>
    <row r="48" spans="3:54" x14ac:dyDescent="0.15">
      <c r="C48" s="36">
        <v>35</v>
      </c>
      <c r="D48" s="36">
        <f>VLOOKUP(C48,AT:BB,7,FALSE)</f>
        <v>0.1845987533949987</v>
      </c>
      <c r="E48" s="102">
        <f>ROUNDUP(AC8/$B$15,0)</f>
        <v>504</v>
      </c>
      <c r="F48" s="36" t="s">
        <v>588</v>
      </c>
      <c r="G48" s="102">
        <f t="shared" si="35"/>
        <v>177</v>
      </c>
      <c r="H48" s="36" t="s">
        <v>589</v>
      </c>
      <c r="I48" s="102">
        <f t="shared" si="36"/>
        <v>115</v>
      </c>
      <c r="J48" s="103">
        <f t="shared" si="37"/>
        <v>1</v>
      </c>
      <c r="K48" s="36" t="s">
        <v>575</v>
      </c>
      <c r="L48" s="102">
        <f t="shared" si="38"/>
        <v>131</v>
      </c>
      <c r="M48" s="103">
        <f t="shared" si="39"/>
        <v>1</v>
      </c>
      <c r="N48" s="36" t="s">
        <v>590</v>
      </c>
      <c r="O48" s="102">
        <f t="shared" si="40"/>
        <v>82</v>
      </c>
      <c r="P48" s="103">
        <f t="shared" si="41"/>
        <v>1</v>
      </c>
      <c r="AT48" s="36">
        <v>46</v>
      </c>
      <c r="AU48" s="36">
        <f t="shared" si="0"/>
        <v>0.62768701791616388</v>
      </c>
      <c r="AV48" s="36">
        <v>0.34423783575387573</v>
      </c>
      <c r="AW48" s="36">
        <v>1.6383628513454402</v>
      </c>
      <c r="AX48" s="36">
        <v>0.15198633851910406</v>
      </c>
      <c r="AY48" s="36">
        <v>0.83559640588649031</v>
      </c>
      <c r="AZ48" s="36">
        <v>0.20145817444161865</v>
      </c>
      <c r="BA48" s="36">
        <v>0.40298609379389772</v>
      </c>
      <c r="BB48" s="36">
        <v>0.81918142567272012</v>
      </c>
    </row>
    <row r="49" spans="3:54" x14ac:dyDescent="0.15">
      <c r="C49" s="36">
        <v>45</v>
      </c>
      <c r="D49" s="36">
        <f>VLOOKUP(C49,AT:BB,7,FALSE)</f>
        <v>0.20016396856682644</v>
      </c>
      <c r="E49" s="102">
        <f>ROUNDUP(AC9/$B$15,0)</f>
        <v>567</v>
      </c>
      <c r="F49" s="36" t="s">
        <v>591</v>
      </c>
      <c r="G49" s="102">
        <f t="shared" si="35"/>
        <v>200</v>
      </c>
      <c r="H49" s="36" t="s">
        <v>592</v>
      </c>
      <c r="I49" s="102">
        <f t="shared" si="36"/>
        <v>129</v>
      </c>
      <c r="J49" s="103">
        <f t="shared" si="37"/>
        <v>1</v>
      </c>
      <c r="K49" s="36" t="s">
        <v>578</v>
      </c>
      <c r="L49" s="102">
        <f t="shared" si="38"/>
        <v>74</v>
      </c>
      <c r="M49" s="103">
        <f t="shared" si="39"/>
        <v>2</v>
      </c>
      <c r="N49" s="36" t="s">
        <v>593</v>
      </c>
      <c r="O49" s="102">
        <f t="shared" si="40"/>
        <v>92</v>
      </c>
      <c r="P49" s="103">
        <f t="shared" si="41"/>
        <v>1</v>
      </c>
      <c r="AT49" s="36">
        <v>47</v>
      </c>
      <c r="AU49" s="36">
        <f t="shared" si="0"/>
        <v>0.63781270995231287</v>
      </c>
      <c r="AV49" s="36">
        <v>0.34985550886348532</v>
      </c>
      <c r="AW49" s="36">
        <v>1.6742249594174012</v>
      </c>
      <c r="AX49" s="36">
        <v>0.15282787803228109</v>
      </c>
      <c r="AY49" s="36">
        <v>0.83897046857230884</v>
      </c>
      <c r="AZ49" s="36">
        <v>0.2029639074780227</v>
      </c>
      <c r="BA49" s="36">
        <v>0.40873376759398999</v>
      </c>
      <c r="BB49" s="36">
        <v>0.83711247970870062</v>
      </c>
    </row>
    <row r="50" spans="3:54" x14ac:dyDescent="0.15">
      <c r="C50" s="36">
        <v>5</v>
      </c>
      <c r="D50" s="36">
        <f>VLOOKUP(C50,AT:BB,6,FALSE)</f>
        <v>0.26877024202618821</v>
      </c>
      <c r="E50" s="102">
        <f>ROUNDUP(AA5/$B$15,0)</f>
        <v>41</v>
      </c>
      <c r="F50" s="36" t="s">
        <v>633</v>
      </c>
      <c r="G50" s="102">
        <f t="shared" si="35"/>
        <v>15</v>
      </c>
      <c r="H50" s="36" t="s">
        <v>594</v>
      </c>
      <c r="I50" s="102">
        <f t="shared" si="36"/>
        <v>10</v>
      </c>
      <c r="J50" s="103">
        <f t="shared" si="37"/>
        <v>1</v>
      </c>
      <c r="K50" s="36" t="s">
        <v>581</v>
      </c>
      <c r="L50" s="102">
        <f t="shared" si="38"/>
        <v>11</v>
      </c>
      <c r="M50" s="103">
        <f t="shared" si="39"/>
        <v>1</v>
      </c>
      <c r="N50" s="36" t="s">
        <v>595</v>
      </c>
      <c r="O50" s="102">
        <f t="shared" si="40"/>
        <v>7</v>
      </c>
      <c r="P50" s="103">
        <f t="shared" si="41"/>
        <v>1</v>
      </c>
      <c r="AT50" s="36">
        <v>48</v>
      </c>
      <c r="AU50" s="36">
        <f t="shared" si="0"/>
        <v>0.64821314841087962</v>
      </c>
      <c r="AV50" s="36">
        <v>0.35583455841587569</v>
      </c>
      <c r="AW50" s="36">
        <v>1.7100357127776613</v>
      </c>
      <c r="AX50" s="36">
        <v>0.15384718904099623</v>
      </c>
      <c r="AY50" s="36">
        <v>0.84229629823808139</v>
      </c>
      <c r="AZ50" s="36">
        <v>0.20416973040618</v>
      </c>
      <c r="BA50" s="36">
        <v>0.41629069360853349</v>
      </c>
      <c r="BB50" s="36">
        <v>0.85501785638883065</v>
      </c>
    </row>
    <row r="51" spans="3:54" x14ac:dyDescent="0.15">
      <c r="C51" s="36">
        <v>15</v>
      </c>
      <c r="D51" s="36">
        <f>VLOOKUP(C51,AT:BB,6,FALSE)</f>
        <v>0.57968835811867025</v>
      </c>
      <c r="E51" s="102">
        <f t="shared" ref="E51:E54" si="48">ROUNDUP(AA6/$B$15,0)</f>
        <v>222</v>
      </c>
      <c r="F51" s="36" t="s">
        <v>596</v>
      </c>
      <c r="G51" s="102">
        <f t="shared" si="35"/>
        <v>78</v>
      </c>
      <c r="H51" s="36" t="s">
        <v>597</v>
      </c>
      <c r="I51" s="102">
        <f t="shared" si="36"/>
        <v>51</v>
      </c>
      <c r="J51" s="103">
        <f t="shared" si="37"/>
        <v>1</v>
      </c>
      <c r="K51" s="36" t="s">
        <v>584</v>
      </c>
      <c r="L51" s="102">
        <f t="shared" si="38"/>
        <v>58</v>
      </c>
      <c r="M51" s="103">
        <f t="shared" si="39"/>
        <v>1</v>
      </c>
      <c r="N51" s="36" t="s">
        <v>598</v>
      </c>
      <c r="O51" s="102">
        <f t="shared" si="40"/>
        <v>37</v>
      </c>
      <c r="P51" s="103">
        <f t="shared" si="41"/>
        <v>1</v>
      </c>
      <c r="AT51" s="36">
        <v>49</v>
      </c>
      <c r="AU51" s="36">
        <f t="shared" si="0"/>
        <v>0.65904009733359181</v>
      </c>
      <c r="AV51" s="36">
        <v>0.3622925199644802</v>
      </c>
      <c r="AW51" s="36">
        <v>1.7463845729204004</v>
      </c>
      <c r="AX51" s="36">
        <v>0.15453336502056056</v>
      </c>
      <c r="AY51" s="36">
        <v>0.84548823800581363</v>
      </c>
      <c r="AZ51" s="36">
        <v>0.20561270476094068</v>
      </c>
      <c r="BA51" s="36">
        <v>0.42577699420274728</v>
      </c>
      <c r="BB51" s="36">
        <v>0.8731922864602002</v>
      </c>
    </row>
    <row r="52" spans="3:54" x14ac:dyDescent="0.15">
      <c r="C52" s="36">
        <v>25</v>
      </c>
      <c r="D52" s="36">
        <f>VLOOKUP(C52,AT:BB,6,FALSE)</f>
        <v>0.71417636121231576</v>
      </c>
      <c r="E52" s="102">
        <f t="shared" si="48"/>
        <v>697</v>
      </c>
      <c r="F52" s="36" t="s">
        <v>599</v>
      </c>
      <c r="G52" s="102">
        <f t="shared" si="35"/>
        <v>245</v>
      </c>
      <c r="H52" s="36" t="s">
        <v>600</v>
      </c>
      <c r="I52" s="102">
        <f t="shared" si="36"/>
        <v>80</v>
      </c>
      <c r="J52" s="103">
        <f t="shared" si="37"/>
        <v>2</v>
      </c>
      <c r="K52" s="36" t="s">
        <v>587</v>
      </c>
      <c r="L52" s="102">
        <f t="shared" si="38"/>
        <v>61</v>
      </c>
      <c r="M52" s="103">
        <f t="shared" si="39"/>
        <v>3</v>
      </c>
      <c r="N52" s="36" t="s">
        <v>601</v>
      </c>
      <c r="O52" s="102">
        <f t="shared" si="40"/>
        <v>57</v>
      </c>
      <c r="P52" s="103">
        <f t="shared" si="41"/>
        <v>2</v>
      </c>
      <c r="AT52" s="36">
        <v>50</v>
      </c>
      <c r="AU52" s="36">
        <f t="shared" si="0"/>
        <v>0.66928449365529963</v>
      </c>
      <c r="AV52" s="36">
        <v>0.36792214809456181</v>
      </c>
      <c r="AW52" s="36">
        <v>1.7829738676738289</v>
      </c>
      <c r="AX52" s="36">
        <v>0.15560769624385815</v>
      </c>
      <c r="AY52" s="36">
        <v>0.84843609451932067</v>
      </c>
      <c r="AZ52" s="36">
        <v>0.20702235537471306</v>
      </c>
      <c r="BA52" s="36">
        <v>0.43154235984390055</v>
      </c>
      <c r="BB52" s="36">
        <v>0.89148693383691446</v>
      </c>
    </row>
    <row r="53" spans="3:54" x14ac:dyDescent="0.15">
      <c r="C53" s="36">
        <v>35</v>
      </c>
      <c r="D53" s="36">
        <f>VLOOKUP(C53,AT:BB,6,FALSE)</f>
        <v>0.78693556183000679</v>
      </c>
      <c r="E53" s="102">
        <f t="shared" si="48"/>
        <v>1590</v>
      </c>
      <c r="F53" s="36" t="s">
        <v>602</v>
      </c>
      <c r="G53" s="102">
        <f t="shared" si="35"/>
        <v>559</v>
      </c>
      <c r="H53" s="36" t="s">
        <v>603</v>
      </c>
      <c r="I53" s="102">
        <f t="shared" si="36"/>
        <v>121</v>
      </c>
      <c r="J53" s="103">
        <f t="shared" si="37"/>
        <v>3</v>
      </c>
      <c r="K53" s="36" t="s">
        <v>590</v>
      </c>
      <c r="L53" s="102">
        <f t="shared" si="38"/>
        <v>104</v>
      </c>
      <c r="M53" s="103">
        <f t="shared" si="39"/>
        <v>4</v>
      </c>
      <c r="N53" s="36" t="s">
        <v>604</v>
      </c>
      <c r="O53" s="102">
        <f t="shared" si="40"/>
        <v>129</v>
      </c>
      <c r="P53" s="103">
        <f t="shared" si="41"/>
        <v>2</v>
      </c>
    </row>
    <row r="54" spans="3:54" x14ac:dyDescent="0.15">
      <c r="C54" s="36">
        <v>45</v>
      </c>
      <c r="D54" s="36">
        <f>VLOOKUP(C54,AT:BB,6,FALSE)</f>
        <v>0.83202010655970293</v>
      </c>
      <c r="E54" s="102">
        <f t="shared" si="48"/>
        <v>2986</v>
      </c>
      <c r="F54" s="36" t="s">
        <v>605</v>
      </c>
      <c r="G54" s="102">
        <f t="shared" si="35"/>
        <v>1049</v>
      </c>
      <c r="H54" s="36" t="s">
        <v>606</v>
      </c>
      <c r="I54" s="102">
        <f t="shared" si="36"/>
        <v>170</v>
      </c>
      <c r="J54" s="103">
        <f t="shared" si="37"/>
        <v>4</v>
      </c>
      <c r="K54" s="36" t="s">
        <v>593</v>
      </c>
      <c r="L54" s="102">
        <f t="shared" si="38"/>
        <v>156</v>
      </c>
      <c r="M54" s="103">
        <f t="shared" si="39"/>
        <v>5</v>
      </c>
      <c r="N54" s="36" t="s">
        <v>607</v>
      </c>
      <c r="O54" s="102">
        <f t="shared" si="40"/>
        <v>162</v>
      </c>
      <c r="P54" s="103">
        <f t="shared" si="41"/>
        <v>3</v>
      </c>
    </row>
    <row r="55" spans="3:54" x14ac:dyDescent="0.15">
      <c r="C55" s="36">
        <v>5</v>
      </c>
      <c r="D55" s="36">
        <f>VLOOKUP(C55,AT:BB,8,FALSE)</f>
        <v>0.11375828790999895</v>
      </c>
      <c r="E55" s="102">
        <f>ROUNDUP(AI5/$B$15,0)</f>
        <v>37</v>
      </c>
      <c r="F55" s="36" t="s">
        <v>608</v>
      </c>
      <c r="G55" s="102">
        <f t="shared" si="35"/>
        <v>13</v>
      </c>
      <c r="H55" s="36" t="s">
        <v>536</v>
      </c>
      <c r="I55" s="102">
        <f t="shared" si="36"/>
        <v>9</v>
      </c>
      <c r="J55" s="103">
        <f t="shared" si="37"/>
        <v>1</v>
      </c>
      <c r="K55" s="36" t="s">
        <v>595</v>
      </c>
      <c r="L55" s="102">
        <f t="shared" si="38"/>
        <v>10</v>
      </c>
      <c r="M55" s="103">
        <f t="shared" si="39"/>
        <v>1</v>
      </c>
      <c r="N55" s="36" t="s">
        <v>609</v>
      </c>
      <c r="O55" s="102">
        <f t="shared" si="40"/>
        <v>7</v>
      </c>
      <c r="P55" s="103">
        <f t="shared" si="41"/>
        <v>1</v>
      </c>
    </row>
    <row r="56" spans="3:54" x14ac:dyDescent="0.15">
      <c r="C56" s="36">
        <v>15</v>
      </c>
      <c r="D56" s="36">
        <f>VLOOKUP(C56,AT:BB,8,FALSE)</f>
        <v>0.1845271035101195</v>
      </c>
      <c r="E56" s="102">
        <f t="shared" ref="E56:E59" si="49">ROUNDUP(AI6/$B$15,0)</f>
        <v>139</v>
      </c>
      <c r="F56" s="36" t="s">
        <v>610</v>
      </c>
      <c r="G56" s="102">
        <f t="shared" si="35"/>
        <v>49</v>
      </c>
      <c r="H56" s="36" t="s">
        <v>539</v>
      </c>
      <c r="I56" s="102">
        <f t="shared" si="36"/>
        <v>32</v>
      </c>
      <c r="J56" s="103">
        <f t="shared" si="37"/>
        <v>1</v>
      </c>
      <c r="K56" s="36" t="s">
        <v>598</v>
      </c>
      <c r="L56" s="102">
        <f t="shared" si="38"/>
        <v>37</v>
      </c>
      <c r="M56" s="103">
        <f t="shared" si="39"/>
        <v>1</v>
      </c>
      <c r="N56" s="36" t="s">
        <v>611</v>
      </c>
      <c r="O56" s="102">
        <f t="shared" si="40"/>
        <v>23</v>
      </c>
      <c r="P56" s="103">
        <f t="shared" si="41"/>
        <v>1</v>
      </c>
    </row>
    <row r="57" spans="3:54" x14ac:dyDescent="0.15">
      <c r="C57" s="36">
        <v>25</v>
      </c>
      <c r="D57" s="36">
        <f>VLOOKUP(C57,AT:BB,8,FALSE)</f>
        <v>0.25558203742545565</v>
      </c>
      <c r="E57" s="102">
        <f t="shared" si="49"/>
        <v>356</v>
      </c>
      <c r="F57" s="36" t="s">
        <v>612</v>
      </c>
      <c r="G57" s="102">
        <f t="shared" si="35"/>
        <v>125</v>
      </c>
      <c r="H57" s="36" t="s">
        <v>542</v>
      </c>
      <c r="I57" s="102">
        <f t="shared" si="36"/>
        <v>81</v>
      </c>
      <c r="J57" s="103">
        <f t="shared" si="37"/>
        <v>1</v>
      </c>
      <c r="K57" s="36" t="s">
        <v>601</v>
      </c>
      <c r="L57" s="102">
        <f t="shared" si="38"/>
        <v>93</v>
      </c>
      <c r="M57" s="103">
        <f t="shared" si="39"/>
        <v>1</v>
      </c>
      <c r="N57" s="36" t="s">
        <v>613</v>
      </c>
      <c r="O57" s="102">
        <f t="shared" si="40"/>
        <v>58</v>
      </c>
      <c r="P57" s="103">
        <f t="shared" si="41"/>
        <v>1</v>
      </c>
    </row>
    <row r="58" spans="3:54" x14ac:dyDescent="0.15">
      <c r="C58" s="36">
        <v>35</v>
      </c>
      <c r="D58" s="36">
        <f>VLOOKUP(C58,AT:BB,8,FALSE)</f>
        <v>0.32521225979653923</v>
      </c>
      <c r="E58" s="102">
        <f t="shared" si="49"/>
        <v>793</v>
      </c>
      <c r="F58" s="36" t="s">
        <v>614</v>
      </c>
      <c r="G58" s="102">
        <f t="shared" si="35"/>
        <v>279</v>
      </c>
      <c r="H58" s="36" t="s">
        <v>545</v>
      </c>
      <c r="I58" s="102">
        <f t="shared" si="36"/>
        <v>91</v>
      </c>
      <c r="J58" s="103">
        <f t="shared" si="37"/>
        <v>2</v>
      </c>
      <c r="K58" s="36" t="s">
        <v>604</v>
      </c>
      <c r="L58" s="102">
        <f t="shared" si="38"/>
        <v>103</v>
      </c>
      <c r="M58" s="103">
        <f t="shared" si="39"/>
        <v>2</v>
      </c>
      <c r="N58" s="36" t="s">
        <v>615</v>
      </c>
      <c r="O58" s="102">
        <f t="shared" si="40"/>
        <v>129</v>
      </c>
      <c r="P58" s="103">
        <f t="shared" si="41"/>
        <v>1</v>
      </c>
    </row>
    <row r="59" spans="3:54" x14ac:dyDescent="0.15">
      <c r="C59" s="36">
        <v>45</v>
      </c>
      <c r="D59" s="36">
        <f>VLOOKUP(C59,AT:BB,8,FALSE)</f>
        <v>0.39346921819304087</v>
      </c>
      <c r="E59" s="102">
        <f t="shared" si="49"/>
        <v>1569</v>
      </c>
      <c r="F59" s="36" t="s">
        <v>616</v>
      </c>
      <c r="G59" s="102">
        <f t="shared" si="35"/>
        <v>551</v>
      </c>
      <c r="H59" s="36" t="s">
        <v>548</v>
      </c>
      <c r="I59" s="102">
        <f t="shared" si="36"/>
        <v>179</v>
      </c>
      <c r="J59" s="103">
        <f t="shared" si="37"/>
        <v>2</v>
      </c>
      <c r="K59" s="36" t="s">
        <v>607</v>
      </c>
      <c r="L59" s="102">
        <f t="shared" si="38"/>
        <v>136</v>
      </c>
      <c r="M59" s="103">
        <f t="shared" si="39"/>
        <v>3</v>
      </c>
      <c r="N59" s="36" t="s">
        <v>617</v>
      </c>
      <c r="O59" s="102">
        <f t="shared" si="40"/>
        <v>128</v>
      </c>
      <c r="P59" s="103">
        <f t="shared" si="41"/>
        <v>2</v>
      </c>
    </row>
    <row r="60" spans="3:54" x14ac:dyDescent="0.15">
      <c r="C60" s="36">
        <v>5</v>
      </c>
      <c r="D60" s="36">
        <f>VLOOKUP(C60,AT:BB,4,FALSE)+VLOOKUP(C60,AT:BB,9,FALSE)</f>
        <v>0.58057938154827948</v>
      </c>
      <c r="E60" s="102">
        <f>ROUNDUP(AQ5/$B$15,0)</f>
        <v>61</v>
      </c>
      <c r="F60" s="36" t="s">
        <v>618</v>
      </c>
      <c r="G60" s="102">
        <f t="shared" si="35"/>
        <v>22</v>
      </c>
      <c r="H60" s="36" t="s">
        <v>609</v>
      </c>
      <c r="I60" s="102">
        <f t="shared" si="36"/>
        <v>14</v>
      </c>
      <c r="J60" s="103">
        <f t="shared" si="37"/>
        <v>1</v>
      </c>
      <c r="K60" s="36" t="s">
        <v>551</v>
      </c>
      <c r="L60" s="102">
        <f t="shared" si="38"/>
        <v>16</v>
      </c>
      <c r="M60" s="103">
        <f t="shared" si="39"/>
        <v>1</v>
      </c>
      <c r="N60" s="36" t="s">
        <v>580</v>
      </c>
      <c r="O60" s="102">
        <f t="shared" si="40"/>
        <v>10</v>
      </c>
      <c r="P60" s="103">
        <f t="shared" si="41"/>
        <v>1</v>
      </c>
    </row>
    <row r="61" spans="3:54" x14ac:dyDescent="0.15">
      <c r="C61" s="36">
        <v>15</v>
      </c>
      <c r="D61" s="36">
        <f>VLOOKUP(C61,AT:BB,4,FALSE)+VLOOKUP(C61,AT:BB,9,FALSE)</f>
        <v>0.97902480125246882</v>
      </c>
      <c r="E61" s="102">
        <f t="shared" ref="E61:E64" si="50">ROUNDUP(AQ6/$B$15,0)</f>
        <v>300</v>
      </c>
      <c r="F61" s="36" t="s">
        <v>619</v>
      </c>
      <c r="G61" s="102">
        <f t="shared" si="35"/>
        <v>106</v>
      </c>
      <c r="H61" s="36" t="s">
        <v>611</v>
      </c>
      <c r="I61" s="102">
        <f t="shared" si="36"/>
        <v>35</v>
      </c>
      <c r="J61" s="103">
        <f t="shared" si="37"/>
        <v>2</v>
      </c>
      <c r="K61" s="36" t="s">
        <v>554</v>
      </c>
      <c r="L61" s="102">
        <f t="shared" si="38"/>
        <v>39</v>
      </c>
      <c r="M61" s="103">
        <f t="shared" si="39"/>
        <v>2</v>
      </c>
      <c r="N61" s="36" t="s">
        <v>583</v>
      </c>
      <c r="O61" s="102">
        <f t="shared" si="40"/>
        <v>25</v>
      </c>
      <c r="P61" s="103">
        <f t="shared" si="41"/>
        <v>2</v>
      </c>
    </row>
    <row r="62" spans="3:54" x14ac:dyDescent="0.15">
      <c r="C62" s="36">
        <v>25</v>
      </c>
      <c r="D62" s="36">
        <f>VLOOKUP(C62,AT:BB,4,FALSE)+VLOOKUP(C62,AT:BB,9,FALSE)</f>
        <v>1.4162737900751898</v>
      </c>
      <c r="E62" s="102">
        <f t="shared" si="50"/>
        <v>1026</v>
      </c>
      <c r="F62" s="36" t="s">
        <v>620</v>
      </c>
      <c r="G62" s="102">
        <f t="shared" si="35"/>
        <v>361</v>
      </c>
      <c r="H62" s="36" t="s">
        <v>613</v>
      </c>
      <c r="I62" s="102">
        <f t="shared" si="36"/>
        <v>59</v>
      </c>
      <c r="J62" s="103">
        <f t="shared" si="37"/>
        <v>4</v>
      </c>
      <c r="K62" s="36" t="s">
        <v>557</v>
      </c>
      <c r="L62" s="102">
        <f t="shared" si="38"/>
        <v>54</v>
      </c>
      <c r="M62" s="103">
        <f t="shared" si="39"/>
        <v>5</v>
      </c>
      <c r="N62" s="36" t="s">
        <v>586</v>
      </c>
      <c r="O62" s="102">
        <f t="shared" si="40"/>
        <v>56</v>
      </c>
      <c r="P62" s="103">
        <f t="shared" si="41"/>
        <v>3</v>
      </c>
    </row>
    <row r="63" spans="3:54" x14ac:dyDescent="0.15">
      <c r="C63" s="36">
        <v>35</v>
      </c>
      <c r="D63" s="36">
        <f>VLOOKUP(C63,AT:BB,4,FALSE)+VLOOKUP(C63,AT:BB,9,FALSE)</f>
        <v>1.8919205299054029</v>
      </c>
      <c r="E63" s="102">
        <f t="shared" si="50"/>
        <v>2761</v>
      </c>
      <c r="F63" s="36" t="s">
        <v>621</v>
      </c>
      <c r="G63" s="102">
        <f t="shared" si="35"/>
        <v>970</v>
      </c>
      <c r="H63" s="36" t="s">
        <v>615</v>
      </c>
      <c r="I63" s="102">
        <f t="shared" si="36"/>
        <v>90</v>
      </c>
      <c r="J63" s="103">
        <f t="shared" si="37"/>
        <v>7</v>
      </c>
      <c r="K63" s="36" t="s">
        <v>560</v>
      </c>
      <c r="L63" s="102">
        <f t="shared" si="38"/>
        <v>90</v>
      </c>
      <c r="M63" s="103">
        <f t="shared" si="39"/>
        <v>8</v>
      </c>
      <c r="N63" s="36" t="s">
        <v>589</v>
      </c>
      <c r="O63" s="102">
        <f t="shared" si="40"/>
        <v>90</v>
      </c>
      <c r="P63" s="103">
        <f t="shared" si="41"/>
        <v>5</v>
      </c>
    </row>
    <row r="64" spans="3:54" x14ac:dyDescent="0.15">
      <c r="C64" s="36">
        <v>45</v>
      </c>
      <c r="D64" s="36">
        <f>VLOOKUP(C64,AT:BB,4,FALSE)+VLOOKUP(C64,AT:BB,9,FALSE)</f>
        <v>2.4041125175167473</v>
      </c>
      <c r="E64" s="102">
        <f t="shared" si="50"/>
        <v>6194</v>
      </c>
      <c r="F64" s="36" t="s">
        <v>622</v>
      </c>
      <c r="G64" s="102">
        <f t="shared" si="35"/>
        <v>2175</v>
      </c>
      <c r="H64" s="36" t="s">
        <v>617</v>
      </c>
      <c r="I64" s="102">
        <f t="shared" si="36"/>
        <v>128</v>
      </c>
      <c r="J64" s="103">
        <f t="shared" si="37"/>
        <v>11</v>
      </c>
      <c r="K64" s="36" t="s">
        <v>563</v>
      </c>
      <c r="L64" s="102">
        <f t="shared" si="38"/>
        <v>124</v>
      </c>
      <c r="M64" s="103">
        <f t="shared" si="39"/>
        <v>13</v>
      </c>
      <c r="N64" s="36" t="s">
        <v>592</v>
      </c>
      <c r="O64" s="102">
        <f t="shared" si="40"/>
        <v>126</v>
      </c>
      <c r="P64" s="103">
        <f t="shared" si="41"/>
        <v>8</v>
      </c>
    </row>
    <row r="66" spans="4:8" x14ac:dyDescent="0.15">
      <c r="E66" s="36" t="s">
        <v>634</v>
      </c>
      <c r="F66" s="36" t="s">
        <v>635</v>
      </c>
      <c r="G66" s="36" t="s">
        <v>636</v>
      </c>
      <c r="H66" s="36" t="s">
        <v>637</v>
      </c>
    </row>
    <row r="67" spans="4:8" x14ac:dyDescent="0.15">
      <c r="D67" s="36" t="s">
        <v>486</v>
      </c>
      <c r="E67" s="36">
        <f>SUMIF($H$15:$H$64,D67,$I$15:$I$64)</f>
        <v>0</v>
      </c>
      <c r="F67" s="36">
        <f t="shared" ref="F67:F98" si="51">SUMIF($K$15:$K$64,D67,$L$15:$L$64)</f>
        <v>12</v>
      </c>
      <c r="G67" s="36">
        <f t="shared" ref="G67:G98" si="52">SUMIF($N$15:$N$64,D67,$O$15:$O$64)</f>
        <v>0</v>
      </c>
      <c r="H67" s="36">
        <f t="shared" ref="H67:H98" si="53">ROUNDUP(SUM(E67:G67)/COUNTIF(E67:G67,"&gt;0"),0)</f>
        <v>12</v>
      </c>
    </row>
    <row r="68" spans="4:8" x14ac:dyDescent="0.15">
      <c r="D68" s="36" t="s">
        <v>490</v>
      </c>
      <c r="E68" s="36">
        <f t="shared" ref="E68:E131" si="54">SUMIF($H$15:$H$64,D68,$I$15:$I$64)</f>
        <v>0</v>
      </c>
      <c r="F68" s="36">
        <f t="shared" si="51"/>
        <v>31</v>
      </c>
      <c r="G68" s="36">
        <f t="shared" si="52"/>
        <v>0</v>
      </c>
      <c r="H68" s="36">
        <f t="shared" si="53"/>
        <v>31</v>
      </c>
    </row>
    <row r="69" spans="4:8" x14ac:dyDescent="0.15">
      <c r="D69" s="36" t="s">
        <v>494</v>
      </c>
      <c r="E69" s="36">
        <f t="shared" si="54"/>
        <v>0</v>
      </c>
      <c r="F69" s="36">
        <f t="shared" si="51"/>
        <v>76</v>
      </c>
      <c r="G69" s="36">
        <f t="shared" si="52"/>
        <v>0</v>
      </c>
      <c r="H69" s="36">
        <f t="shared" si="53"/>
        <v>76</v>
      </c>
    </row>
    <row r="70" spans="4:8" x14ac:dyDescent="0.15">
      <c r="D70" s="36" t="s">
        <v>498</v>
      </c>
      <c r="E70" s="36">
        <f t="shared" si="54"/>
        <v>0</v>
      </c>
      <c r="F70" s="36">
        <f t="shared" si="51"/>
        <v>105</v>
      </c>
      <c r="G70" s="36">
        <f t="shared" si="52"/>
        <v>0</v>
      </c>
      <c r="H70" s="36">
        <f t="shared" si="53"/>
        <v>105</v>
      </c>
    </row>
    <row r="71" spans="4:8" x14ac:dyDescent="0.15">
      <c r="D71" s="36" t="s">
        <v>502</v>
      </c>
      <c r="E71" s="36">
        <f t="shared" si="54"/>
        <v>0</v>
      </c>
      <c r="F71" s="36">
        <f t="shared" si="51"/>
        <v>158</v>
      </c>
      <c r="G71" s="36">
        <f t="shared" si="52"/>
        <v>0</v>
      </c>
      <c r="H71" s="36">
        <f t="shared" si="53"/>
        <v>158</v>
      </c>
    </row>
    <row r="72" spans="4:8" x14ac:dyDescent="0.15">
      <c r="D72" s="36" t="s">
        <v>566</v>
      </c>
      <c r="E72" s="36">
        <f t="shared" si="54"/>
        <v>0</v>
      </c>
      <c r="F72" s="36">
        <f t="shared" si="51"/>
        <v>10</v>
      </c>
      <c r="G72" s="36">
        <f t="shared" si="52"/>
        <v>7</v>
      </c>
      <c r="H72" s="36">
        <f t="shared" si="53"/>
        <v>9</v>
      </c>
    </row>
    <row r="73" spans="4:8" x14ac:dyDescent="0.15">
      <c r="D73" s="36" t="s">
        <v>569</v>
      </c>
      <c r="E73" s="36">
        <f t="shared" si="54"/>
        <v>0</v>
      </c>
      <c r="F73" s="36">
        <f t="shared" si="51"/>
        <v>99</v>
      </c>
      <c r="G73" s="36">
        <f t="shared" si="52"/>
        <v>22</v>
      </c>
      <c r="H73" s="36">
        <f t="shared" si="53"/>
        <v>61</v>
      </c>
    </row>
    <row r="74" spans="4:8" x14ac:dyDescent="0.15">
      <c r="D74" s="36" t="s">
        <v>572</v>
      </c>
      <c r="E74" s="36">
        <f t="shared" si="54"/>
        <v>0</v>
      </c>
      <c r="F74" s="36">
        <f t="shared" si="51"/>
        <v>115</v>
      </c>
      <c r="G74" s="36">
        <f t="shared" si="52"/>
        <v>44</v>
      </c>
      <c r="H74" s="36">
        <f t="shared" si="53"/>
        <v>80</v>
      </c>
    </row>
    <row r="75" spans="4:8" x14ac:dyDescent="0.15">
      <c r="D75" s="36" t="s">
        <v>575</v>
      </c>
      <c r="E75" s="36">
        <f t="shared" si="54"/>
        <v>0</v>
      </c>
      <c r="F75" s="36">
        <f t="shared" si="51"/>
        <v>131</v>
      </c>
      <c r="G75" s="36">
        <f t="shared" si="52"/>
        <v>79</v>
      </c>
      <c r="H75" s="36">
        <f t="shared" si="53"/>
        <v>105</v>
      </c>
    </row>
    <row r="76" spans="4:8" x14ac:dyDescent="0.15">
      <c r="D76" s="36" t="s">
        <v>578</v>
      </c>
      <c r="E76" s="36">
        <f t="shared" si="54"/>
        <v>0</v>
      </c>
      <c r="F76" s="36">
        <f t="shared" si="51"/>
        <v>74</v>
      </c>
      <c r="G76" s="36">
        <f t="shared" si="52"/>
        <v>128</v>
      </c>
      <c r="H76" s="36">
        <f t="shared" si="53"/>
        <v>101</v>
      </c>
    </row>
    <row r="77" spans="4:8" x14ac:dyDescent="0.15">
      <c r="D77" s="36" t="s">
        <v>536</v>
      </c>
      <c r="E77" s="36">
        <f t="shared" si="54"/>
        <v>9</v>
      </c>
      <c r="F77" s="36">
        <f t="shared" si="51"/>
        <v>10</v>
      </c>
      <c r="G77" s="36">
        <f t="shared" si="52"/>
        <v>7</v>
      </c>
      <c r="H77" s="36">
        <f t="shared" si="53"/>
        <v>9</v>
      </c>
    </row>
    <row r="78" spans="4:8" x14ac:dyDescent="0.15">
      <c r="D78" s="36" t="s">
        <v>539</v>
      </c>
      <c r="E78" s="36">
        <f t="shared" si="54"/>
        <v>32</v>
      </c>
      <c r="F78" s="36">
        <f t="shared" si="51"/>
        <v>35</v>
      </c>
      <c r="G78" s="36">
        <f t="shared" si="52"/>
        <v>27</v>
      </c>
      <c r="H78" s="36">
        <f t="shared" si="53"/>
        <v>32</v>
      </c>
    </row>
    <row r="79" spans="4:8" x14ac:dyDescent="0.15">
      <c r="D79" s="36" t="s">
        <v>542</v>
      </c>
      <c r="E79" s="36">
        <f t="shared" si="54"/>
        <v>81</v>
      </c>
      <c r="F79" s="36">
        <f t="shared" si="51"/>
        <v>86</v>
      </c>
      <c r="G79" s="36">
        <f t="shared" si="52"/>
        <v>78</v>
      </c>
      <c r="H79" s="36">
        <f t="shared" si="53"/>
        <v>82</v>
      </c>
    </row>
    <row r="80" spans="4:8" x14ac:dyDescent="0.15">
      <c r="D80" s="36" t="s">
        <v>545</v>
      </c>
      <c r="E80" s="36">
        <f t="shared" si="54"/>
        <v>91</v>
      </c>
      <c r="F80" s="36">
        <f t="shared" si="51"/>
        <v>93</v>
      </c>
      <c r="G80" s="36">
        <f t="shared" si="52"/>
        <v>92</v>
      </c>
      <c r="H80" s="36">
        <f t="shared" si="53"/>
        <v>92</v>
      </c>
    </row>
    <row r="81" spans="4:8" x14ac:dyDescent="0.15">
      <c r="D81" s="36" t="s">
        <v>548</v>
      </c>
      <c r="E81" s="36">
        <f t="shared" si="54"/>
        <v>179</v>
      </c>
      <c r="F81" s="36">
        <f t="shared" si="51"/>
        <v>181</v>
      </c>
      <c r="G81" s="36">
        <f t="shared" si="52"/>
        <v>186</v>
      </c>
      <c r="H81" s="36">
        <f t="shared" si="53"/>
        <v>182</v>
      </c>
    </row>
    <row r="82" spans="4:8" x14ac:dyDescent="0.15">
      <c r="D82" s="36" t="s">
        <v>565</v>
      </c>
      <c r="E82" s="36">
        <f t="shared" si="54"/>
        <v>9</v>
      </c>
      <c r="F82" s="36">
        <f t="shared" si="51"/>
        <v>0</v>
      </c>
      <c r="G82" s="36">
        <f t="shared" si="52"/>
        <v>0</v>
      </c>
      <c r="H82" s="36">
        <f t="shared" si="53"/>
        <v>9</v>
      </c>
    </row>
    <row r="83" spans="4:8" x14ac:dyDescent="0.15">
      <c r="D83" s="36" t="s">
        <v>568</v>
      </c>
      <c r="E83" s="36">
        <f t="shared" si="54"/>
        <v>30</v>
      </c>
      <c r="F83" s="36">
        <f t="shared" si="51"/>
        <v>0</v>
      </c>
      <c r="G83" s="36">
        <f t="shared" si="52"/>
        <v>0</v>
      </c>
      <c r="H83" s="36">
        <f t="shared" si="53"/>
        <v>30</v>
      </c>
    </row>
    <row r="84" spans="4:8" x14ac:dyDescent="0.15">
      <c r="D84" s="36" t="s">
        <v>571</v>
      </c>
      <c r="E84" s="36">
        <f t="shared" si="54"/>
        <v>62</v>
      </c>
      <c r="F84" s="36">
        <f t="shared" si="51"/>
        <v>0</v>
      </c>
      <c r="G84" s="36">
        <f t="shared" si="52"/>
        <v>0</v>
      </c>
      <c r="H84" s="36">
        <f t="shared" si="53"/>
        <v>62</v>
      </c>
    </row>
    <row r="85" spans="4:8" x14ac:dyDescent="0.15">
      <c r="D85" s="36" t="s">
        <v>574</v>
      </c>
      <c r="E85" s="36">
        <f t="shared" si="54"/>
        <v>110</v>
      </c>
      <c r="F85" s="36">
        <f t="shared" si="51"/>
        <v>0</v>
      </c>
      <c r="G85" s="36">
        <f t="shared" si="52"/>
        <v>0</v>
      </c>
      <c r="H85" s="36">
        <f t="shared" si="53"/>
        <v>110</v>
      </c>
    </row>
    <row r="86" spans="4:8" x14ac:dyDescent="0.15">
      <c r="D86" s="36" t="s">
        <v>577</v>
      </c>
      <c r="E86" s="36">
        <f t="shared" si="54"/>
        <v>179</v>
      </c>
      <c r="F86" s="36">
        <f t="shared" si="51"/>
        <v>0</v>
      </c>
      <c r="G86" s="36">
        <f t="shared" si="52"/>
        <v>0</v>
      </c>
      <c r="H86" s="36">
        <f t="shared" si="53"/>
        <v>179</v>
      </c>
    </row>
    <row r="87" spans="4:8" x14ac:dyDescent="0.15">
      <c r="D87" s="36" t="s">
        <v>550</v>
      </c>
      <c r="E87" s="36">
        <f t="shared" si="54"/>
        <v>9</v>
      </c>
      <c r="F87" s="36">
        <f t="shared" si="51"/>
        <v>0</v>
      </c>
      <c r="G87" s="36">
        <f t="shared" si="52"/>
        <v>0</v>
      </c>
      <c r="H87" s="36">
        <f t="shared" si="53"/>
        <v>9</v>
      </c>
    </row>
    <row r="88" spans="4:8" x14ac:dyDescent="0.15">
      <c r="D88" s="36" t="s">
        <v>553</v>
      </c>
      <c r="E88" s="36">
        <f t="shared" si="54"/>
        <v>31</v>
      </c>
      <c r="F88" s="36">
        <f t="shared" si="51"/>
        <v>0</v>
      </c>
      <c r="G88" s="36">
        <f t="shared" si="52"/>
        <v>0</v>
      </c>
      <c r="H88" s="36">
        <f t="shared" si="53"/>
        <v>31</v>
      </c>
    </row>
    <row r="89" spans="4:8" x14ac:dyDescent="0.15">
      <c r="D89" s="36" t="s">
        <v>556</v>
      </c>
      <c r="E89" s="36">
        <f t="shared" si="54"/>
        <v>75</v>
      </c>
      <c r="F89" s="36">
        <f t="shared" si="51"/>
        <v>0</v>
      </c>
      <c r="G89" s="36">
        <f t="shared" si="52"/>
        <v>0</v>
      </c>
      <c r="H89" s="36">
        <f t="shared" si="53"/>
        <v>75</v>
      </c>
    </row>
    <row r="90" spans="4:8" x14ac:dyDescent="0.15">
      <c r="D90" s="36" t="s">
        <v>559</v>
      </c>
      <c r="E90" s="36">
        <f t="shared" si="54"/>
        <v>162</v>
      </c>
      <c r="F90" s="36">
        <f t="shared" si="51"/>
        <v>0</v>
      </c>
      <c r="G90" s="36">
        <f t="shared" si="52"/>
        <v>0</v>
      </c>
      <c r="H90" s="36">
        <f t="shared" si="53"/>
        <v>162</v>
      </c>
    </row>
    <row r="91" spans="4:8" x14ac:dyDescent="0.15">
      <c r="D91" s="36" t="s">
        <v>562</v>
      </c>
      <c r="E91" s="36">
        <f t="shared" si="54"/>
        <v>158</v>
      </c>
      <c r="F91" s="36">
        <f t="shared" si="51"/>
        <v>0</v>
      </c>
      <c r="G91" s="36">
        <f t="shared" si="52"/>
        <v>0</v>
      </c>
      <c r="H91" s="36">
        <f t="shared" si="53"/>
        <v>158</v>
      </c>
    </row>
    <row r="92" spans="4:8" x14ac:dyDescent="0.15">
      <c r="D92" s="36" t="s">
        <v>581</v>
      </c>
      <c r="E92" s="36">
        <f t="shared" si="54"/>
        <v>0</v>
      </c>
      <c r="F92" s="36">
        <f t="shared" si="51"/>
        <v>11</v>
      </c>
      <c r="G92" s="36">
        <f t="shared" si="52"/>
        <v>7</v>
      </c>
      <c r="H92" s="36">
        <f t="shared" si="53"/>
        <v>9</v>
      </c>
    </row>
    <row r="93" spans="4:8" x14ac:dyDescent="0.15">
      <c r="D93" s="36" t="s">
        <v>584</v>
      </c>
      <c r="E93" s="36">
        <f t="shared" si="54"/>
        <v>0</v>
      </c>
      <c r="F93" s="36">
        <f t="shared" si="51"/>
        <v>58</v>
      </c>
      <c r="G93" s="36">
        <f t="shared" si="52"/>
        <v>62</v>
      </c>
      <c r="H93" s="36">
        <f t="shared" si="53"/>
        <v>60</v>
      </c>
    </row>
    <row r="94" spans="4:8" x14ac:dyDescent="0.15">
      <c r="D94" s="36" t="s">
        <v>587</v>
      </c>
      <c r="E94" s="36">
        <f t="shared" si="54"/>
        <v>0</v>
      </c>
      <c r="F94" s="36">
        <f t="shared" si="51"/>
        <v>61</v>
      </c>
      <c r="G94" s="36">
        <f t="shared" si="52"/>
        <v>72</v>
      </c>
      <c r="H94" s="36">
        <f t="shared" si="53"/>
        <v>67</v>
      </c>
    </row>
    <row r="95" spans="4:8" x14ac:dyDescent="0.15">
      <c r="D95" s="36" t="s">
        <v>590</v>
      </c>
      <c r="E95" s="36">
        <f t="shared" si="54"/>
        <v>0</v>
      </c>
      <c r="F95" s="36">
        <f t="shared" si="51"/>
        <v>104</v>
      </c>
      <c r="G95" s="36">
        <f t="shared" si="52"/>
        <v>82</v>
      </c>
      <c r="H95" s="36">
        <f t="shared" si="53"/>
        <v>93</v>
      </c>
    </row>
    <row r="96" spans="4:8" x14ac:dyDescent="0.15">
      <c r="D96" s="36" t="s">
        <v>593</v>
      </c>
      <c r="E96" s="36">
        <f t="shared" si="54"/>
        <v>0</v>
      </c>
      <c r="F96" s="36">
        <f t="shared" si="51"/>
        <v>156</v>
      </c>
      <c r="G96" s="36">
        <f t="shared" si="52"/>
        <v>92</v>
      </c>
      <c r="H96" s="36">
        <f t="shared" si="53"/>
        <v>124</v>
      </c>
    </row>
    <row r="97" spans="4:8" x14ac:dyDescent="0.15">
      <c r="D97" s="36" t="s">
        <v>485</v>
      </c>
      <c r="E97" s="36">
        <f t="shared" si="54"/>
        <v>10</v>
      </c>
      <c r="F97" s="36">
        <f t="shared" si="51"/>
        <v>0</v>
      </c>
      <c r="G97" s="36">
        <f t="shared" si="52"/>
        <v>0</v>
      </c>
      <c r="H97" s="36">
        <f t="shared" si="53"/>
        <v>10</v>
      </c>
    </row>
    <row r="98" spans="4:8" x14ac:dyDescent="0.15">
      <c r="D98" s="36" t="s">
        <v>489</v>
      </c>
      <c r="E98" s="36">
        <f t="shared" si="54"/>
        <v>54</v>
      </c>
      <c r="F98" s="36">
        <f t="shared" si="51"/>
        <v>0</v>
      </c>
      <c r="G98" s="36">
        <f t="shared" si="52"/>
        <v>0</v>
      </c>
      <c r="H98" s="36">
        <f t="shared" si="53"/>
        <v>54</v>
      </c>
    </row>
    <row r="99" spans="4:8" x14ac:dyDescent="0.15">
      <c r="D99" s="36" t="s">
        <v>493</v>
      </c>
      <c r="E99" s="36">
        <f t="shared" si="54"/>
        <v>66</v>
      </c>
      <c r="F99" s="36">
        <f t="shared" ref="F99:F130" si="55">SUMIF($K$15:$K$64,D99,$L$15:$L$64)</f>
        <v>0</v>
      </c>
      <c r="G99" s="36">
        <f t="shared" ref="G99:G130" si="56">SUMIF($N$15:$N$64,D99,$O$15:$O$64)</f>
        <v>0</v>
      </c>
      <c r="H99" s="36">
        <f t="shared" ref="H99:H130" si="57">ROUNDUP(SUM(E99:G99)/COUNTIF(E99:G99,"&gt;0"),0)</f>
        <v>66</v>
      </c>
    </row>
    <row r="100" spans="4:8" x14ac:dyDescent="0.15">
      <c r="D100" s="36" t="s">
        <v>497</v>
      </c>
      <c r="E100" s="36">
        <f t="shared" si="54"/>
        <v>110</v>
      </c>
      <c r="F100" s="36">
        <f t="shared" si="55"/>
        <v>0</v>
      </c>
      <c r="G100" s="36">
        <f t="shared" si="56"/>
        <v>0</v>
      </c>
      <c r="H100" s="36">
        <f t="shared" si="57"/>
        <v>110</v>
      </c>
    </row>
    <row r="101" spans="4:8" x14ac:dyDescent="0.15">
      <c r="D101" s="36" t="s">
        <v>501</v>
      </c>
      <c r="E101" s="36">
        <f t="shared" si="54"/>
        <v>156</v>
      </c>
      <c r="F101" s="36">
        <f t="shared" si="55"/>
        <v>0</v>
      </c>
      <c r="G101" s="36">
        <f t="shared" si="56"/>
        <v>0</v>
      </c>
      <c r="H101" s="36">
        <f t="shared" si="57"/>
        <v>156</v>
      </c>
    </row>
    <row r="102" spans="4:8" x14ac:dyDescent="0.15">
      <c r="D102" s="36" t="s">
        <v>595</v>
      </c>
      <c r="E102" s="36">
        <f t="shared" si="54"/>
        <v>0</v>
      </c>
      <c r="F102" s="36">
        <f t="shared" si="55"/>
        <v>10</v>
      </c>
      <c r="G102" s="36">
        <f t="shared" si="56"/>
        <v>7</v>
      </c>
      <c r="H102" s="36">
        <f t="shared" si="57"/>
        <v>9</v>
      </c>
    </row>
    <row r="103" spans="4:8" x14ac:dyDescent="0.15">
      <c r="D103" s="36" t="s">
        <v>598</v>
      </c>
      <c r="E103" s="36">
        <f t="shared" si="54"/>
        <v>0</v>
      </c>
      <c r="F103" s="36">
        <f t="shared" si="55"/>
        <v>37</v>
      </c>
      <c r="G103" s="36">
        <f t="shared" si="56"/>
        <v>37</v>
      </c>
      <c r="H103" s="36">
        <f t="shared" si="57"/>
        <v>37</v>
      </c>
    </row>
    <row r="104" spans="4:8" x14ac:dyDescent="0.15">
      <c r="D104" s="36" t="s">
        <v>601</v>
      </c>
      <c r="E104" s="36">
        <f t="shared" si="54"/>
        <v>0</v>
      </c>
      <c r="F104" s="36">
        <f t="shared" si="55"/>
        <v>93</v>
      </c>
      <c r="G104" s="36">
        <f t="shared" si="56"/>
        <v>57</v>
      </c>
      <c r="H104" s="36">
        <f t="shared" si="57"/>
        <v>75</v>
      </c>
    </row>
    <row r="105" spans="4:8" x14ac:dyDescent="0.15">
      <c r="D105" s="36" t="s">
        <v>604</v>
      </c>
      <c r="E105" s="36">
        <f t="shared" si="54"/>
        <v>0</v>
      </c>
      <c r="F105" s="36">
        <f t="shared" si="55"/>
        <v>103</v>
      </c>
      <c r="G105" s="36">
        <f t="shared" si="56"/>
        <v>129</v>
      </c>
      <c r="H105" s="36">
        <f t="shared" si="57"/>
        <v>116</v>
      </c>
    </row>
    <row r="106" spans="4:8" x14ac:dyDescent="0.15">
      <c r="D106" s="36" t="s">
        <v>607</v>
      </c>
      <c r="E106" s="36">
        <f t="shared" si="54"/>
        <v>0</v>
      </c>
      <c r="F106" s="36">
        <f t="shared" si="55"/>
        <v>136</v>
      </c>
      <c r="G106" s="36">
        <f t="shared" si="56"/>
        <v>162</v>
      </c>
      <c r="H106" s="36">
        <f t="shared" si="57"/>
        <v>149</v>
      </c>
    </row>
    <row r="107" spans="4:8" x14ac:dyDescent="0.15">
      <c r="D107" s="36" t="s">
        <v>551</v>
      </c>
      <c r="E107" s="36">
        <f t="shared" si="54"/>
        <v>0</v>
      </c>
      <c r="F107" s="36">
        <f t="shared" si="55"/>
        <v>26</v>
      </c>
      <c r="G107" s="36">
        <f t="shared" si="56"/>
        <v>6</v>
      </c>
      <c r="H107" s="36">
        <f t="shared" si="57"/>
        <v>16</v>
      </c>
    </row>
    <row r="108" spans="4:8" x14ac:dyDescent="0.15">
      <c r="D108" s="36" t="s">
        <v>554</v>
      </c>
      <c r="E108" s="36">
        <f t="shared" si="54"/>
        <v>0</v>
      </c>
      <c r="F108" s="36">
        <f t="shared" si="55"/>
        <v>73</v>
      </c>
      <c r="G108" s="36">
        <f t="shared" si="56"/>
        <v>22</v>
      </c>
      <c r="H108" s="36">
        <f t="shared" si="57"/>
        <v>48</v>
      </c>
    </row>
    <row r="109" spans="4:8" x14ac:dyDescent="0.15">
      <c r="D109" s="36" t="s">
        <v>557</v>
      </c>
      <c r="E109" s="36">
        <f t="shared" si="54"/>
        <v>0</v>
      </c>
      <c r="F109" s="36">
        <f t="shared" si="55"/>
        <v>125</v>
      </c>
      <c r="G109" s="36">
        <f t="shared" si="56"/>
        <v>54</v>
      </c>
      <c r="H109" s="36">
        <f t="shared" si="57"/>
        <v>90</v>
      </c>
    </row>
    <row r="110" spans="4:8" x14ac:dyDescent="0.15">
      <c r="D110" s="36" t="s">
        <v>560</v>
      </c>
      <c r="E110" s="36">
        <f t="shared" si="54"/>
        <v>0</v>
      </c>
      <c r="F110" s="36">
        <f t="shared" si="55"/>
        <v>215</v>
      </c>
      <c r="G110" s="36">
        <f t="shared" si="56"/>
        <v>116</v>
      </c>
      <c r="H110" s="36">
        <f t="shared" si="57"/>
        <v>166</v>
      </c>
    </row>
    <row r="111" spans="4:8" x14ac:dyDescent="0.15">
      <c r="D111" s="36" t="s">
        <v>563</v>
      </c>
      <c r="E111" s="36">
        <f t="shared" si="54"/>
        <v>0</v>
      </c>
      <c r="F111" s="36">
        <f t="shared" si="55"/>
        <v>329</v>
      </c>
      <c r="G111" s="36">
        <f t="shared" si="56"/>
        <v>113</v>
      </c>
      <c r="H111" s="36">
        <f t="shared" si="57"/>
        <v>221</v>
      </c>
    </row>
    <row r="112" spans="4:8" x14ac:dyDescent="0.15">
      <c r="D112" s="36" t="s">
        <v>580</v>
      </c>
      <c r="E112" s="36">
        <f t="shared" si="54"/>
        <v>9</v>
      </c>
      <c r="F112" s="36">
        <f t="shared" si="55"/>
        <v>0</v>
      </c>
      <c r="G112" s="36">
        <f t="shared" si="56"/>
        <v>10</v>
      </c>
      <c r="H112" s="36">
        <f t="shared" si="57"/>
        <v>10</v>
      </c>
    </row>
    <row r="113" spans="4:8" x14ac:dyDescent="0.15">
      <c r="D113" s="36" t="s">
        <v>583</v>
      </c>
      <c r="E113" s="36">
        <f t="shared" si="54"/>
        <v>87</v>
      </c>
      <c r="F113" s="36">
        <f t="shared" si="55"/>
        <v>0</v>
      </c>
      <c r="G113" s="36">
        <f t="shared" si="56"/>
        <v>25</v>
      </c>
      <c r="H113" s="36">
        <f t="shared" si="57"/>
        <v>56</v>
      </c>
    </row>
    <row r="114" spans="4:8" x14ac:dyDescent="0.15">
      <c r="D114" s="36" t="s">
        <v>586</v>
      </c>
      <c r="E114" s="36">
        <f t="shared" si="54"/>
        <v>101</v>
      </c>
      <c r="F114" s="36">
        <f t="shared" si="55"/>
        <v>0</v>
      </c>
      <c r="G114" s="36">
        <f t="shared" si="56"/>
        <v>56</v>
      </c>
      <c r="H114" s="36">
        <f t="shared" si="57"/>
        <v>79</v>
      </c>
    </row>
    <row r="115" spans="4:8" x14ac:dyDescent="0.15">
      <c r="D115" s="36" t="s">
        <v>589</v>
      </c>
      <c r="E115" s="36">
        <f t="shared" si="54"/>
        <v>115</v>
      </c>
      <c r="F115" s="36">
        <f t="shared" si="55"/>
        <v>0</v>
      </c>
      <c r="G115" s="36">
        <f t="shared" si="56"/>
        <v>90</v>
      </c>
      <c r="H115" s="36">
        <f t="shared" si="57"/>
        <v>103</v>
      </c>
    </row>
    <row r="116" spans="4:8" x14ac:dyDescent="0.15">
      <c r="D116" s="36" t="s">
        <v>592</v>
      </c>
      <c r="E116" s="36">
        <f t="shared" si="54"/>
        <v>129</v>
      </c>
      <c r="F116" s="36">
        <f t="shared" si="55"/>
        <v>0</v>
      </c>
      <c r="G116" s="36">
        <f t="shared" si="56"/>
        <v>126</v>
      </c>
      <c r="H116" s="36">
        <f t="shared" si="57"/>
        <v>128</v>
      </c>
    </row>
    <row r="117" spans="4:8" x14ac:dyDescent="0.15">
      <c r="D117" s="36" t="s">
        <v>594</v>
      </c>
      <c r="E117" s="36">
        <f t="shared" si="54"/>
        <v>10</v>
      </c>
      <c r="F117" s="36">
        <f t="shared" si="55"/>
        <v>0</v>
      </c>
      <c r="G117" s="36">
        <f t="shared" si="56"/>
        <v>0</v>
      </c>
      <c r="H117" s="36">
        <f t="shared" si="57"/>
        <v>10</v>
      </c>
    </row>
    <row r="118" spans="4:8" x14ac:dyDescent="0.15">
      <c r="D118" s="36" t="s">
        <v>597</v>
      </c>
      <c r="E118" s="36">
        <f t="shared" si="54"/>
        <v>51</v>
      </c>
      <c r="F118" s="36">
        <f t="shared" si="55"/>
        <v>0</v>
      </c>
      <c r="G118" s="36">
        <f t="shared" si="56"/>
        <v>0</v>
      </c>
      <c r="H118" s="36">
        <f t="shared" si="57"/>
        <v>51</v>
      </c>
    </row>
    <row r="119" spans="4:8" x14ac:dyDescent="0.15">
      <c r="D119" s="36" t="s">
        <v>600</v>
      </c>
      <c r="E119" s="36">
        <f t="shared" si="54"/>
        <v>80</v>
      </c>
      <c r="F119" s="36">
        <f t="shared" si="55"/>
        <v>0</v>
      </c>
      <c r="G119" s="36">
        <f t="shared" si="56"/>
        <v>0</v>
      </c>
      <c r="H119" s="36">
        <f t="shared" si="57"/>
        <v>80</v>
      </c>
    </row>
    <row r="120" spans="4:8" x14ac:dyDescent="0.15">
      <c r="D120" s="36" t="s">
        <v>603</v>
      </c>
      <c r="E120" s="36">
        <f t="shared" si="54"/>
        <v>121</v>
      </c>
      <c r="F120" s="36">
        <f t="shared" si="55"/>
        <v>0</v>
      </c>
      <c r="G120" s="36">
        <f t="shared" si="56"/>
        <v>0</v>
      </c>
      <c r="H120" s="36">
        <f t="shared" si="57"/>
        <v>121</v>
      </c>
    </row>
    <row r="121" spans="4:8" x14ac:dyDescent="0.15">
      <c r="D121" s="36" t="s">
        <v>606</v>
      </c>
      <c r="E121" s="36">
        <f t="shared" si="54"/>
        <v>170</v>
      </c>
      <c r="F121" s="36">
        <f t="shared" si="55"/>
        <v>0</v>
      </c>
      <c r="G121" s="36">
        <f t="shared" si="56"/>
        <v>0</v>
      </c>
      <c r="H121" s="36">
        <f t="shared" si="57"/>
        <v>170</v>
      </c>
    </row>
    <row r="122" spans="4:8" x14ac:dyDescent="0.15">
      <c r="D122" s="36" t="s">
        <v>521</v>
      </c>
      <c r="E122" s="36">
        <f t="shared" si="54"/>
        <v>0</v>
      </c>
      <c r="F122" s="36">
        <f t="shared" si="55"/>
        <v>11</v>
      </c>
      <c r="G122" s="36">
        <f t="shared" si="56"/>
        <v>7</v>
      </c>
      <c r="H122" s="36">
        <f t="shared" si="57"/>
        <v>9</v>
      </c>
    </row>
    <row r="123" spans="4:8" x14ac:dyDescent="0.15">
      <c r="D123" s="36" t="s">
        <v>524</v>
      </c>
      <c r="E123" s="36">
        <f t="shared" si="54"/>
        <v>0</v>
      </c>
      <c r="F123" s="36">
        <f t="shared" si="55"/>
        <v>43</v>
      </c>
      <c r="G123" s="36">
        <f t="shared" si="56"/>
        <v>28</v>
      </c>
      <c r="H123" s="36">
        <f t="shared" si="57"/>
        <v>36</v>
      </c>
    </row>
    <row r="124" spans="4:8" x14ac:dyDescent="0.15">
      <c r="D124" s="36" t="s">
        <v>527</v>
      </c>
      <c r="E124" s="36">
        <f t="shared" si="54"/>
        <v>0</v>
      </c>
      <c r="F124" s="36">
        <f t="shared" si="55"/>
        <v>62</v>
      </c>
      <c r="G124" s="36">
        <f t="shared" si="56"/>
        <v>84</v>
      </c>
      <c r="H124" s="36">
        <f t="shared" si="57"/>
        <v>73</v>
      </c>
    </row>
    <row r="125" spans="4:8" x14ac:dyDescent="0.15">
      <c r="D125" s="36" t="s">
        <v>530</v>
      </c>
      <c r="E125" s="36">
        <f t="shared" si="54"/>
        <v>0</v>
      </c>
      <c r="F125" s="36">
        <f t="shared" si="55"/>
        <v>98</v>
      </c>
      <c r="G125" s="36">
        <f t="shared" si="56"/>
        <v>108</v>
      </c>
      <c r="H125" s="36">
        <f t="shared" si="57"/>
        <v>103</v>
      </c>
    </row>
    <row r="126" spans="4:8" x14ac:dyDescent="0.15">
      <c r="D126" s="36" t="s">
        <v>533</v>
      </c>
      <c r="E126" s="36">
        <f t="shared" si="54"/>
        <v>0</v>
      </c>
      <c r="F126" s="36">
        <f t="shared" si="55"/>
        <v>149</v>
      </c>
      <c r="G126" s="36">
        <f t="shared" si="56"/>
        <v>157</v>
      </c>
      <c r="H126" s="36">
        <f t="shared" si="57"/>
        <v>153</v>
      </c>
    </row>
    <row r="127" spans="4:8" x14ac:dyDescent="0.15">
      <c r="D127" s="36" t="s">
        <v>520</v>
      </c>
      <c r="E127" s="36">
        <f t="shared" si="54"/>
        <v>9</v>
      </c>
      <c r="F127" s="36">
        <f t="shared" si="55"/>
        <v>0</v>
      </c>
      <c r="G127" s="36">
        <f t="shared" si="56"/>
        <v>0</v>
      </c>
      <c r="H127" s="36">
        <f t="shared" si="57"/>
        <v>9</v>
      </c>
    </row>
    <row r="128" spans="4:8" x14ac:dyDescent="0.15">
      <c r="D128" s="36" t="s">
        <v>523</v>
      </c>
      <c r="E128" s="36">
        <f t="shared" si="54"/>
        <v>39</v>
      </c>
      <c r="F128" s="36">
        <f t="shared" si="55"/>
        <v>0</v>
      </c>
      <c r="G128" s="36">
        <f t="shared" si="56"/>
        <v>0</v>
      </c>
      <c r="H128" s="36">
        <f t="shared" si="57"/>
        <v>39</v>
      </c>
    </row>
    <row r="129" spans="4:8" x14ac:dyDescent="0.15">
      <c r="D129" s="36" t="s">
        <v>526</v>
      </c>
      <c r="E129" s="36">
        <f t="shared" si="54"/>
        <v>59</v>
      </c>
      <c r="F129" s="36">
        <f t="shared" si="55"/>
        <v>0</v>
      </c>
      <c r="G129" s="36">
        <f t="shared" si="56"/>
        <v>0</v>
      </c>
      <c r="H129" s="36">
        <f t="shared" si="57"/>
        <v>59</v>
      </c>
    </row>
    <row r="130" spans="4:8" x14ac:dyDescent="0.15">
      <c r="D130" s="36" t="s">
        <v>529</v>
      </c>
      <c r="E130" s="36">
        <f t="shared" si="54"/>
        <v>100</v>
      </c>
      <c r="F130" s="36">
        <f t="shared" si="55"/>
        <v>0</v>
      </c>
      <c r="G130" s="36">
        <f t="shared" si="56"/>
        <v>0</v>
      </c>
      <c r="H130" s="36">
        <f t="shared" si="57"/>
        <v>100</v>
      </c>
    </row>
    <row r="131" spans="4:8" x14ac:dyDescent="0.15">
      <c r="D131" s="36" t="s">
        <v>532</v>
      </c>
      <c r="E131" s="36">
        <f t="shared" si="54"/>
        <v>164</v>
      </c>
      <c r="F131" s="36">
        <f t="shared" ref="F131:F156" si="58">SUMIF($K$15:$K$64,D131,$L$15:$L$64)</f>
        <v>0</v>
      </c>
      <c r="G131" s="36">
        <f t="shared" ref="G131:G156" si="59">SUMIF($N$15:$N$64,D131,$O$15:$O$64)</f>
        <v>0</v>
      </c>
      <c r="H131" s="36">
        <f t="shared" ref="H131:H156" si="60">ROUNDUP(SUM(E131:G131)/COUNTIF(E131:G131,"&gt;0"),0)</f>
        <v>164</v>
      </c>
    </row>
    <row r="132" spans="4:8" x14ac:dyDescent="0.15">
      <c r="D132" s="36" t="s">
        <v>487</v>
      </c>
      <c r="E132" s="36">
        <f t="shared" ref="E132:E156" si="61">SUMIF($H$15:$H$64,D132,$I$15:$I$64)</f>
        <v>0</v>
      </c>
      <c r="F132" s="36">
        <f t="shared" si="58"/>
        <v>18</v>
      </c>
      <c r="G132" s="36">
        <f t="shared" si="59"/>
        <v>8</v>
      </c>
      <c r="H132" s="36">
        <f t="shared" si="60"/>
        <v>13</v>
      </c>
    </row>
    <row r="133" spans="4:8" x14ac:dyDescent="0.15">
      <c r="D133" s="36" t="s">
        <v>491</v>
      </c>
      <c r="E133" s="36">
        <f t="shared" si="61"/>
        <v>0</v>
      </c>
      <c r="F133" s="36">
        <f t="shared" si="58"/>
        <v>43</v>
      </c>
      <c r="G133" s="36">
        <f t="shared" si="59"/>
        <v>39</v>
      </c>
      <c r="H133" s="36">
        <f t="shared" si="60"/>
        <v>41</v>
      </c>
    </row>
    <row r="134" spans="4:8" x14ac:dyDescent="0.15">
      <c r="D134" s="36" t="s">
        <v>495</v>
      </c>
      <c r="E134" s="36">
        <f t="shared" si="61"/>
        <v>0</v>
      </c>
      <c r="F134" s="36">
        <f t="shared" si="58"/>
        <v>59</v>
      </c>
      <c r="G134" s="36">
        <f t="shared" si="59"/>
        <v>71</v>
      </c>
      <c r="H134" s="36">
        <f t="shared" si="60"/>
        <v>65</v>
      </c>
    </row>
    <row r="135" spans="4:8" x14ac:dyDescent="0.15">
      <c r="D135" s="36" t="s">
        <v>499</v>
      </c>
      <c r="E135" s="36">
        <f t="shared" si="61"/>
        <v>0</v>
      </c>
      <c r="F135" s="36">
        <f t="shared" si="58"/>
        <v>88</v>
      </c>
      <c r="G135" s="36">
        <f t="shared" si="59"/>
        <v>98</v>
      </c>
      <c r="H135" s="36">
        <f t="shared" si="60"/>
        <v>93</v>
      </c>
    </row>
    <row r="136" spans="4:8" x14ac:dyDescent="0.15">
      <c r="D136" s="36" t="s">
        <v>503</v>
      </c>
      <c r="E136" s="36">
        <f t="shared" si="61"/>
        <v>0</v>
      </c>
      <c r="F136" s="36">
        <f t="shared" si="58"/>
        <v>127</v>
      </c>
      <c r="G136" s="36">
        <f t="shared" si="59"/>
        <v>149</v>
      </c>
      <c r="H136" s="36">
        <f t="shared" si="60"/>
        <v>138</v>
      </c>
    </row>
    <row r="137" spans="4:8" x14ac:dyDescent="0.15">
      <c r="D137" s="36" t="s">
        <v>535</v>
      </c>
      <c r="E137" s="36">
        <f t="shared" si="61"/>
        <v>9</v>
      </c>
      <c r="F137" s="36">
        <f t="shared" si="58"/>
        <v>0</v>
      </c>
      <c r="G137" s="36">
        <f t="shared" si="59"/>
        <v>0</v>
      </c>
      <c r="H137" s="36">
        <f t="shared" si="60"/>
        <v>9</v>
      </c>
    </row>
    <row r="138" spans="4:8" x14ac:dyDescent="0.15">
      <c r="D138" s="36" t="s">
        <v>538</v>
      </c>
      <c r="E138" s="36">
        <f t="shared" si="61"/>
        <v>38</v>
      </c>
      <c r="F138" s="36">
        <f t="shared" si="58"/>
        <v>0</v>
      </c>
      <c r="G138" s="36">
        <f t="shared" si="59"/>
        <v>0</v>
      </c>
      <c r="H138" s="36">
        <f t="shared" si="60"/>
        <v>38</v>
      </c>
    </row>
    <row r="139" spans="4:8" x14ac:dyDescent="0.15">
      <c r="D139" s="36" t="s">
        <v>541</v>
      </c>
      <c r="E139" s="36">
        <f t="shared" si="61"/>
        <v>54</v>
      </c>
      <c r="F139" s="36">
        <f t="shared" si="58"/>
        <v>0</v>
      </c>
      <c r="G139" s="36">
        <f t="shared" si="59"/>
        <v>0</v>
      </c>
      <c r="H139" s="36">
        <f t="shared" si="60"/>
        <v>54</v>
      </c>
    </row>
    <row r="140" spans="4:8" x14ac:dyDescent="0.15">
      <c r="D140" s="36" t="s">
        <v>544</v>
      </c>
      <c r="E140" s="36">
        <f t="shared" si="61"/>
        <v>128</v>
      </c>
      <c r="F140" s="36">
        <f t="shared" si="58"/>
        <v>0</v>
      </c>
      <c r="G140" s="36">
        <f t="shared" si="59"/>
        <v>0</v>
      </c>
      <c r="H140" s="36">
        <f t="shared" si="60"/>
        <v>128</v>
      </c>
    </row>
    <row r="141" spans="4:8" x14ac:dyDescent="0.15">
      <c r="D141" s="36" t="s">
        <v>547</v>
      </c>
      <c r="E141" s="36">
        <f t="shared" si="61"/>
        <v>174</v>
      </c>
      <c r="F141" s="36">
        <f t="shared" si="58"/>
        <v>0</v>
      </c>
      <c r="G141" s="36">
        <f t="shared" si="59"/>
        <v>0</v>
      </c>
      <c r="H141" s="36">
        <f t="shared" si="60"/>
        <v>174</v>
      </c>
    </row>
    <row r="142" spans="4:8" x14ac:dyDescent="0.15">
      <c r="D142" s="36" t="s">
        <v>609</v>
      </c>
      <c r="E142" s="36">
        <f t="shared" si="61"/>
        <v>14</v>
      </c>
      <c r="F142" s="36">
        <f t="shared" si="58"/>
        <v>0</v>
      </c>
      <c r="G142" s="36">
        <f t="shared" si="59"/>
        <v>7</v>
      </c>
      <c r="H142" s="36">
        <f t="shared" si="60"/>
        <v>11</v>
      </c>
    </row>
    <row r="143" spans="4:8" x14ac:dyDescent="0.15">
      <c r="D143" s="36" t="s">
        <v>611</v>
      </c>
      <c r="E143" s="36">
        <f t="shared" si="61"/>
        <v>35</v>
      </c>
      <c r="F143" s="36">
        <f t="shared" si="58"/>
        <v>0</v>
      </c>
      <c r="G143" s="36">
        <f t="shared" si="59"/>
        <v>23</v>
      </c>
      <c r="H143" s="36">
        <f t="shared" si="60"/>
        <v>29</v>
      </c>
    </row>
    <row r="144" spans="4:8" x14ac:dyDescent="0.15">
      <c r="D144" s="36" t="s">
        <v>613</v>
      </c>
      <c r="E144" s="36">
        <f t="shared" si="61"/>
        <v>59</v>
      </c>
      <c r="F144" s="36">
        <f t="shared" si="58"/>
        <v>0</v>
      </c>
      <c r="G144" s="36">
        <f t="shared" si="59"/>
        <v>58</v>
      </c>
      <c r="H144" s="36">
        <f t="shared" si="60"/>
        <v>59</v>
      </c>
    </row>
    <row r="145" spans="4:8" x14ac:dyDescent="0.15">
      <c r="D145" s="36" t="s">
        <v>615</v>
      </c>
      <c r="E145" s="36">
        <f t="shared" si="61"/>
        <v>90</v>
      </c>
      <c r="F145" s="36">
        <f t="shared" si="58"/>
        <v>0</v>
      </c>
      <c r="G145" s="36">
        <f t="shared" si="59"/>
        <v>129</v>
      </c>
      <c r="H145" s="36">
        <f t="shared" si="60"/>
        <v>110</v>
      </c>
    </row>
    <row r="146" spans="4:8" x14ac:dyDescent="0.15">
      <c r="D146" s="36" t="s">
        <v>617</v>
      </c>
      <c r="E146" s="36">
        <f t="shared" si="61"/>
        <v>128</v>
      </c>
      <c r="F146" s="36">
        <f t="shared" si="58"/>
        <v>0</v>
      </c>
      <c r="G146" s="36">
        <f t="shared" si="59"/>
        <v>128</v>
      </c>
      <c r="H146" s="36">
        <f t="shared" si="60"/>
        <v>128</v>
      </c>
    </row>
    <row r="147" spans="4:8" x14ac:dyDescent="0.15">
      <c r="D147" s="36" t="s">
        <v>505</v>
      </c>
      <c r="E147" s="36">
        <f t="shared" si="61"/>
        <v>16</v>
      </c>
      <c r="F147" s="36">
        <f t="shared" si="58"/>
        <v>0</v>
      </c>
      <c r="G147" s="36">
        <f t="shared" si="59"/>
        <v>0</v>
      </c>
      <c r="H147" s="36">
        <f t="shared" si="60"/>
        <v>16</v>
      </c>
    </row>
    <row r="148" spans="4:8" x14ac:dyDescent="0.15">
      <c r="D148" s="36" t="s">
        <v>508</v>
      </c>
      <c r="E148" s="36">
        <f t="shared" si="61"/>
        <v>38</v>
      </c>
      <c r="F148" s="36">
        <f t="shared" si="58"/>
        <v>0</v>
      </c>
      <c r="G148" s="36">
        <f t="shared" si="59"/>
        <v>0</v>
      </c>
      <c r="H148" s="36">
        <f t="shared" si="60"/>
        <v>38</v>
      </c>
    </row>
    <row r="149" spans="4:8" x14ac:dyDescent="0.15">
      <c r="D149" s="36" t="s">
        <v>511</v>
      </c>
      <c r="E149" s="36">
        <f t="shared" si="61"/>
        <v>65</v>
      </c>
      <c r="F149" s="36">
        <f t="shared" si="58"/>
        <v>0</v>
      </c>
      <c r="G149" s="36">
        <f t="shared" si="59"/>
        <v>0</v>
      </c>
      <c r="H149" s="36">
        <f t="shared" si="60"/>
        <v>65</v>
      </c>
    </row>
    <row r="150" spans="4:8" x14ac:dyDescent="0.15">
      <c r="D150" s="36" t="s">
        <v>514</v>
      </c>
      <c r="E150" s="36">
        <f t="shared" si="61"/>
        <v>87</v>
      </c>
      <c r="F150" s="36">
        <f t="shared" si="58"/>
        <v>0</v>
      </c>
      <c r="G150" s="36">
        <f t="shared" si="59"/>
        <v>0</v>
      </c>
      <c r="H150" s="36">
        <f t="shared" si="60"/>
        <v>87</v>
      </c>
    </row>
    <row r="151" spans="4:8" x14ac:dyDescent="0.15">
      <c r="D151" s="36" t="s">
        <v>517</v>
      </c>
      <c r="E151" s="36">
        <f t="shared" si="61"/>
        <v>129</v>
      </c>
      <c r="F151" s="36">
        <f t="shared" si="58"/>
        <v>0</v>
      </c>
      <c r="G151" s="36">
        <f t="shared" si="59"/>
        <v>0</v>
      </c>
      <c r="H151" s="36">
        <f t="shared" si="60"/>
        <v>129</v>
      </c>
    </row>
    <row r="152" spans="4:8" x14ac:dyDescent="0.15">
      <c r="D152" s="36" t="s">
        <v>506</v>
      </c>
      <c r="E152" s="36">
        <f t="shared" si="61"/>
        <v>0</v>
      </c>
      <c r="F152" s="36">
        <f t="shared" si="58"/>
        <v>11</v>
      </c>
      <c r="G152" s="36">
        <f t="shared" si="59"/>
        <v>12</v>
      </c>
      <c r="H152" s="36">
        <f t="shared" si="60"/>
        <v>12</v>
      </c>
    </row>
    <row r="153" spans="4:8" x14ac:dyDescent="0.15">
      <c r="D153" s="36" t="s">
        <v>509</v>
      </c>
      <c r="E153" s="36">
        <f t="shared" si="61"/>
        <v>0</v>
      </c>
      <c r="F153" s="36">
        <f t="shared" si="58"/>
        <v>44</v>
      </c>
      <c r="G153" s="36">
        <f t="shared" si="59"/>
        <v>27</v>
      </c>
      <c r="H153" s="36">
        <f t="shared" si="60"/>
        <v>36</v>
      </c>
    </row>
    <row r="154" spans="4:8" x14ac:dyDescent="0.15">
      <c r="D154" s="36" t="s">
        <v>512</v>
      </c>
      <c r="E154" s="36">
        <f t="shared" si="61"/>
        <v>0</v>
      </c>
      <c r="F154" s="36">
        <f t="shared" si="58"/>
        <v>68</v>
      </c>
      <c r="G154" s="36">
        <f t="shared" si="59"/>
        <v>62</v>
      </c>
      <c r="H154" s="36">
        <f t="shared" si="60"/>
        <v>65</v>
      </c>
    </row>
    <row r="155" spans="4:8" x14ac:dyDescent="0.15">
      <c r="D155" s="36" t="s">
        <v>515</v>
      </c>
      <c r="E155" s="36">
        <f t="shared" si="61"/>
        <v>0</v>
      </c>
      <c r="F155" s="36">
        <f t="shared" si="58"/>
        <v>115</v>
      </c>
      <c r="G155" s="36">
        <f t="shared" si="59"/>
        <v>83</v>
      </c>
      <c r="H155" s="36">
        <f t="shared" si="60"/>
        <v>99</v>
      </c>
    </row>
    <row r="156" spans="4:8" x14ac:dyDescent="0.15">
      <c r="D156" s="36" t="s">
        <v>518</v>
      </c>
      <c r="E156" s="36">
        <f t="shared" si="61"/>
        <v>0</v>
      </c>
      <c r="F156" s="36">
        <f t="shared" si="58"/>
        <v>150</v>
      </c>
      <c r="G156" s="36">
        <f t="shared" si="59"/>
        <v>123</v>
      </c>
      <c r="H156" s="36">
        <f t="shared" si="60"/>
        <v>137</v>
      </c>
    </row>
  </sheetData>
  <mergeCells count="14">
    <mergeCell ref="F13:G13"/>
    <mergeCell ref="N13:P13"/>
    <mergeCell ref="K13:M13"/>
    <mergeCell ref="H13:J13"/>
    <mergeCell ref="AO3:AR3"/>
    <mergeCell ref="AK3:AN3"/>
    <mergeCell ref="AG3:AJ3"/>
    <mergeCell ref="E3:H3"/>
    <mergeCell ref="I3:L3"/>
    <mergeCell ref="M3:P3"/>
    <mergeCell ref="Q3:T3"/>
    <mergeCell ref="U3:X3"/>
    <mergeCell ref="Y3:AB3"/>
    <mergeCell ref="AC3:AF3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3:X54"/>
  <sheetViews>
    <sheetView topLeftCell="B1" workbookViewId="0">
      <pane ySplit="4" topLeftCell="A5" activePane="bottomLeft" state="frozen"/>
      <selection pane="bottomLeft" activeCell="W12" sqref="W12"/>
    </sheetView>
  </sheetViews>
  <sheetFormatPr defaultRowHeight="12" x14ac:dyDescent="0.15"/>
  <cols>
    <col min="1" max="2" width="9" style="36"/>
    <col min="3" max="3" width="10.5" style="36" bestFit="1" customWidth="1"/>
    <col min="4" max="4" width="9" style="36"/>
    <col min="5" max="5" width="9.75" style="36" bestFit="1" customWidth="1"/>
    <col min="6" max="6" width="9" style="36"/>
    <col min="7" max="7" width="10.5" style="36" bestFit="1" customWidth="1"/>
    <col min="8" max="8" width="10.5" style="36" customWidth="1"/>
    <col min="9" max="9" width="11.375" style="36" bestFit="1" customWidth="1"/>
    <col min="10" max="10" width="9" style="36"/>
    <col min="11" max="11" width="10.5" style="36" bestFit="1" customWidth="1"/>
    <col min="12" max="12" width="11.375" style="36" bestFit="1" customWidth="1"/>
    <col min="13" max="13" width="9.75" style="36" bestFit="1" customWidth="1"/>
    <col min="14" max="14" width="9" style="36"/>
    <col min="15" max="15" width="11.375" style="36" bestFit="1" customWidth="1"/>
    <col min="16" max="16" width="9" style="36"/>
    <col min="17" max="17" width="9.75" style="36" bestFit="1" customWidth="1"/>
    <col min="18" max="22" width="9" style="36"/>
    <col min="23" max="23" width="10.5" style="36" bestFit="1" customWidth="1"/>
    <col min="24" max="16384" width="9" style="36"/>
  </cols>
  <sheetData>
    <row r="3" spans="2:24" x14ac:dyDescent="0.15">
      <c r="C3" s="205" t="s">
        <v>638</v>
      </c>
      <c r="D3" s="205"/>
      <c r="E3" s="205" t="s">
        <v>651</v>
      </c>
      <c r="F3" s="205"/>
      <c r="G3" s="205" t="s">
        <v>640</v>
      </c>
      <c r="H3" s="205"/>
      <c r="I3" s="205" t="s">
        <v>656</v>
      </c>
      <c r="J3" s="205"/>
      <c r="K3" s="205" t="s">
        <v>657</v>
      </c>
      <c r="L3" s="205"/>
      <c r="M3" s="205" t="s">
        <v>641</v>
      </c>
      <c r="N3" s="205"/>
      <c r="O3" s="204" t="s">
        <v>645</v>
      </c>
      <c r="P3" s="204"/>
      <c r="Q3" s="204" t="s">
        <v>648</v>
      </c>
      <c r="R3" s="204"/>
      <c r="S3" s="204" t="s">
        <v>650</v>
      </c>
      <c r="T3" s="204"/>
      <c r="U3" s="204" t="s">
        <v>652</v>
      </c>
      <c r="V3" s="204"/>
      <c r="W3" s="204" t="s">
        <v>654</v>
      </c>
      <c r="X3" s="204"/>
    </row>
    <row r="4" spans="2:24" x14ac:dyDescent="0.15">
      <c r="B4" s="36" t="s">
        <v>655</v>
      </c>
      <c r="C4" s="39" t="s">
        <v>642</v>
      </c>
      <c r="D4" s="39" t="s">
        <v>639</v>
      </c>
      <c r="E4" s="39" t="s">
        <v>643</v>
      </c>
      <c r="F4" s="39" t="s">
        <v>639</v>
      </c>
      <c r="G4" s="39" t="s">
        <v>666</v>
      </c>
      <c r="H4" s="39" t="s">
        <v>639</v>
      </c>
      <c r="I4" s="39" t="s">
        <v>646</v>
      </c>
      <c r="J4" s="39" t="s">
        <v>639</v>
      </c>
      <c r="K4" s="39" t="s">
        <v>642</v>
      </c>
      <c r="L4" s="39" t="s">
        <v>639</v>
      </c>
      <c r="M4" s="39" t="s">
        <v>644</v>
      </c>
      <c r="N4" s="39" t="s">
        <v>639</v>
      </c>
      <c r="O4" s="104" t="s">
        <v>647</v>
      </c>
      <c r="P4" s="104" t="s">
        <v>639</v>
      </c>
      <c r="Q4" s="104" t="s">
        <v>649</v>
      </c>
      <c r="R4" s="104" t="s">
        <v>639</v>
      </c>
      <c r="S4" s="104" t="s">
        <v>649</v>
      </c>
      <c r="T4" s="104" t="s">
        <v>639</v>
      </c>
      <c r="U4" s="104" t="s">
        <v>653</v>
      </c>
      <c r="V4" s="104" t="s">
        <v>639</v>
      </c>
      <c r="W4" s="104" t="s">
        <v>665</v>
      </c>
      <c r="X4" s="104" t="s">
        <v>639</v>
      </c>
    </row>
    <row r="5" spans="2:24" x14ac:dyDescent="0.15">
      <c r="B5" s="36">
        <v>1</v>
      </c>
      <c r="C5" s="36">
        <f>ROUNDUP((INT((3000+INT(B5*167.973671798328))*(1+0.173652825416791))+500+INT(B5*3.75)+B5^2)*0.2,0)</f>
        <v>844</v>
      </c>
      <c r="D5" s="36">
        <v>1</v>
      </c>
      <c r="E5" s="36">
        <v>2</v>
      </c>
      <c r="F5" s="36">
        <v>10</v>
      </c>
      <c r="G5" s="36">
        <v>2</v>
      </c>
      <c r="H5" s="36">
        <v>10</v>
      </c>
      <c r="I5" s="36">
        <v>1</v>
      </c>
      <c r="J5" s="36">
        <v>0</v>
      </c>
      <c r="K5" s="36">
        <f>ROUNDUP((INT((3000+INT(B5*167.973671798328))*(1+0.173652825416791))+500+INT(B5*3.75)+B5^2)*0.2,0)</f>
        <v>844</v>
      </c>
      <c r="L5" s="36">
        <v>0</v>
      </c>
      <c r="M5" s="36">
        <v>15</v>
      </c>
      <c r="N5" s="36">
        <v>10</v>
      </c>
      <c r="O5" s="36">
        <v>5</v>
      </c>
      <c r="P5" s="36">
        <v>5</v>
      </c>
      <c r="Q5" s="36">
        <v>15</v>
      </c>
      <c r="R5" s="36">
        <v>0</v>
      </c>
      <c r="S5" s="36">
        <v>2</v>
      </c>
      <c r="T5" s="36">
        <v>10</v>
      </c>
      <c r="U5" s="36">
        <v>20</v>
      </c>
      <c r="V5" s="36">
        <v>0</v>
      </c>
      <c r="W5" s="36">
        <v>20</v>
      </c>
      <c r="X5" s="36">
        <v>10</v>
      </c>
    </row>
    <row r="6" spans="2:24" x14ac:dyDescent="0.15">
      <c r="B6" s="36">
        <v>2</v>
      </c>
      <c r="C6" s="36">
        <f t="shared" ref="C6:C54" si="0">ROUNDUP((INT((3000+INT(B6*167.973671798328))*(1+0.173652825416791))+500+INT(B6*3.75)+B6^2)*0.2,0)</f>
        <v>885</v>
      </c>
      <c r="D6" s="36">
        <v>1</v>
      </c>
      <c r="E6" s="36">
        <v>2</v>
      </c>
      <c r="F6" s="36">
        <v>10</v>
      </c>
      <c r="G6" s="36">
        <v>2</v>
      </c>
      <c r="H6" s="36">
        <v>10</v>
      </c>
      <c r="I6" s="36">
        <v>1</v>
      </c>
      <c r="J6" s="36">
        <v>0</v>
      </c>
      <c r="K6" s="36">
        <f t="shared" ref="K6:K54" si="1">ROUNDUP((INT((3000+INT(B6*167.973671798328))*(1+0.173652825416791))+500+INT(B6*3.75)+B6^2)*0.2,0)</f>
        <v>885</v>
      </c>
      <c r="L6" s="36">
        <v>0</v>
      </c>
      <c r="M6" s="36">
        <v>15</v>
      </c>
      <c r="N6" s="36">
        <v>10</v>
      </c>
      <c r="O6" s="36">
        <v>5</v>
      </c>
      <c r="P6" s="36">
        <v>5</v>
      </c>
      <c r="Q6" s="36">
        <v>15</v>
      </c>
      <c r="R6" s="36">
        <v>0</v>
      </c>
      <c r="S6" s="36">
        <v>2</v>
      </c>
      <c r="T6" s="36">
        <v>10</v>
      </c>
      <c r="U6" s="36">
        <v>20</v>
      </c>
      <c r="V6" s="36">
        <v>0</v>
      </c>
      <c r="W6" s="36">
        <v>20</v>
      </c>
      <c r="X6" s="36">
        <v>10</v>
      </c>
    </row>
    <row r="7" spans="2:24" x14ac:dyDescent="0.15">
      <c r="B7" s="36">
        <v>3</v>
      </c>
      <c r="C7" s="36">
        <f t="shared" si="0"/>
        <v>927</v>
      </c>
      <c r="D7" s="36">
        <v>1</v>
      </c>
      <c r="E7" s="36">
        <v>2</v>
      </c>
      <c r="F7" s="36">
        <v>10</v>
      </c>
      <c r="G7" s="36">
        <v>2</v>
      </c>
      <c r="H7" s="36">
        <v>10</v>
      </c>
      <c r="I7" s="36">
        <v>1</v>
      </c>
      <c r="J7" s="36">
        <v>0</v>
      </c>
      <c r="K7" s="36">
        <f t="shared" si="1"/>
        <v>927</v>
      </c>
      <c r="L7" s="36">
        <v>0</v>
      </c>
      <c r="M7" s="36">
        <v>15</v>
      </c>
      <c r="N7" s="36">
        <v>10</v>
      </c>
      <c r="O7" s="36">
        <v>5</v>
      </c>
      <c r="P7" s="36">
        <v>5</v>
      </c>
      <c r="Q7" s="36">
        <v>15</v>
      </c>
      <c r="R7" s="36">
        <v>0</v>
      </c>
      <c r="S7" s="36">
        <v>2</v>
      </c>
      <c r="T7" s="36">
        <v>10</v>
      </c>
      <c r="U7" s="36">
        <v>20</v>
      </c>
      <c r="V7" s="36">
        <v>0</v>
      </c>
      <c r="W7" s="36">
        <v>20</v>
      </c>
      <c r="X7" s="36">
        <v>10</v>
      </c>
    </row>
    <row r="8" spans="2:24" x14ac:dyDescent="0.15">
      <c r="B8" s="36">
        <v>4</v>
      </c>
      <c r="C8" s="36">
        <f t="shared" si="0"/>
        <v>968</v>
      </c>
      <c r="D8" s="36">
        <v>1</v>
      </c>
      <c r="E8" s="36">
        <v>2</v>
      </c>
      <c r="F8" s="36">
        <v>10</v>
      </c>
      <c r="G8" s="36">
        <v>2</v>
      </c>
      <c r="H8" s="36">
        <v>10</v>
      </c>
      <c r="I8" s="36">
        <v>1</v>
      </c>
      <c r="J8" s="36">
        <v>0</v>
      </c>
      <c r="K8" s="36">
        <f t="shared" si="1"/>
        <v>968</v>
      </c>
      <c r="L8" s="36">
        <v>0</v>
      </c>
      <c r="M8" s="36">
        <v>15</v>
      </c>
      <c r="N8" s="36">
        <v>10</v>
      </c>
      <c r="O8" s="36">
        <v>5</v>
      </c>
      <c r="P8" s="36">
        <v>5</v>
      </c>
      <c r="Q8" s="36">
        <v>15</v>
      </c>
      <c r="R8" s="36">
        <v>0</v>
      </c>
      <c r="S8" s="36">
        <v>2</v>
      </c>
      <c r="T8" s="36">
        <v>10</v>
      </c>
      <c r="U8" s="36">
        <v>20</v>
      </c>
      <c r="V8" s="36">
        <v>0</v>
      </c>
      <c r="W8" s="36">
        <v>20</v>
      </c>
      <c r="X8" s="36">
        <v>10</v>
      </c>
    </row>
    <row r="9" spans="2:24" x14ac:dyDescent="0.15">
      <c r="B9" s="36">
        <v>5</v>
      </c>
      <c r="C9" s="36">
        <f t="shared" si="0"/>
        <v>1010</v>
      </c>
      <c r="D9" s="36">
        <v>1</v>
      </c>
      <c r="E9" s="36">
        <v>2</v>
      </c>
      <c r="F9" s="36">
        <v>10</v>
      </c>
      <c r="G9" s="36">
        <v>2</v>
      </c>
      <c r="H9" s="36">
        <v>10</v>
      </c>
      <c r="I9" s="36">
        <v>1</v>
      </c>
      <c r="J9" s="36">
        <v>0</v>
      </c>
      <c r="K9" s="36">
        <f t="shared" si="1"/>
        <v>1010</v>
      </c>
      <c r="L9" s="36">
        <v>0</v>
      </c>
      <c r="M9" s="36">
        <v>15</v>
      </c>
      <c r="N9" s="36">
        <v>10</v>
      </c>
      <c r="O9" s="36">
        <v>5</v>
      </c>
      <c r="P9" s="36">
        <v>5</v>
      </c>
      <c r="Q9" s="36">
        <v>15</v>
      </c>
      <c r="R9" s="36">
        <v>0</v>
      </c>
      <c r="S9" s="36">
        <v>2</v>
      </c>
      <c r="T9" s="36">
        <v>10</v>
      </c>
      <c r="U9" s="36">
        <v>20</v>
      </c>
      <c r="V9" s="36">
        <v>0</v>
      </c>
      <c r="W9" s="36">
        <v>20</v>
      </c>
      <c r="X9" s="36">
        <v>10</v>
      </c>
    </row>
    <row r="10" spans="2:24" x14ac:dyDescent="0.15">
      <c r="B10" s="36">
        <v>6</v>
      </c>
      <c r="C10" s="36">
        <f t="shared" si="0"/>
        <v>1052</v>
      </c>
      <c r="D10" s="36">
        <v>1</v>
      </c>
      <c r="E10" s="36">
        <v>2</v>
      </c>
      <c r="F10" s="36">
        <v>10</v>
      </c>
      <c r="G10" s="36">
        <v>2</v>
      </c>
      <c r="H10" s="36">
        <v>10</v>
      </c>
      <c r="I10" s="36">
        <v>1</v>
      </c>
      <c r="J10" s="36">
        <v>0</v>
      </c>
      <c r="K10" s="36">
        <f t="shared" si="1"/>
        <v>1052</v>
      </c>
      <c r="L10" s="36">
        <v>0</v>
      </c>
      <c r="M10" s="36">
        <v>15</v>
      </c>
      <c r="N10" s="36">
        <v>10</v>
      </c>
      <c r="O10" s="36">
        <v>5</v>
      </c>
      <c r="P10" s="36">
        <v>5</v>
      </c>
      <c r="Q10" s="36">
        <v>15</v>
      </c>
      <c r="R10" s="36">
        <v>0</v>
      </c>
      <c r="S10" s="36">
        <v>2</v>
      </c>
      <c r="T10" s="36">
        <v>10</v>
      </c>
      <c r="U10" s="36">
        <v>20</v>
      </c>
      <c r="V10" s="36">
        <v>0</v>
      </c>
      <c r="W10" s="36">
        <v>20</v>
      </c>
      <c r="X10" s="36">
        <v>10</v>
      </c>
    </row>
    <row r="11" spans="2:24" x14ac:dyDescent="0.15">
      <c r="B11" s="36">
        <v>7</v>
      </c>
      <c r="C11" s="36">
        <f t="shared" si="0"/>
        <v>1095</v>
      </c>
      <c r="D11" s="36">
        <v>1</v>
      </c>
      <c r="E11" s="36">
        <v>2</v>
      </c>
      <c r="F11" s="36">
        <v>10</v>
      </c>
      <c r="G11" s="36">
        <v>2</v>
      </c>
      <c r="H11" s="36">
        <v>10</v>
      </c>
      <c r="I11" s="36">
        <v>1</v>
      </c>
      <c r="J11" s="36">
        <v>0</v>
      </c>
      <c r="K11" s="36">
        <f t="shared" si="1"/>
        <v>1095</v>
      </c>
      <c r="L11" s="36">
        <v>0</v>
      </c>
      <c r="M11" s="36">
        <v>15</v>
      </c>
      <c r="N11" s="36">
        <v>10</v>
      </c>
      <c r="O11" s="36">
        <v>5</v>
      </c>
      <c r="P11" s="36">
        <v>5</v>
      </c>
      <c r="Q11" s="36">
        <v>15</v>
      </c>
      <c r="R11" s="36">
        <v>0</v>
      </c>
      <c r="S11" s="36">
        <v>2</v>
      </c>
      <c r="T11" s="36">
        <v>10</v>
      </c>
      <c r="U11" s="36">
        <v>20</v>
      </c>
      <c r="V11" s="36">
        <v>0</v>
      </c>
      <c r="W11" s="36">
        <v>20</v>
      </c>
      <c r="X11" s="36">
        <v>10</v>
      </c>
    </row>
    <row r="12" spans="2:24" x14ac:dyDescent="0.15">
      <c r="B12" s="36">
        <v>8</v>
      </c>
      <c r="C12" s="36">
        <f t="shared" si="0"/>
        <v>1139</v>
      </c>
      <c r="D12" s="36">
        <v>1</v>
      </c>
      <c r="E12" s="36">
        <v>2</v>
      </c>
      <c r="F12" s="36">
        <v>10</v>
      </c>
      <c r="G12" s="36">
        <v>2</v>
      </c>
      <c r="H12" s="36">
        <v>10</v>
      </c>
      <c r="I12" s="36">
        <v>1</v>
      </c>
      <c r="J12" s="36">
        <v>0</v>
      </c>
      <c r="K12" s="36">
        <f t="shared" si="1"/>
        <v>1139</v>
      </c>
      <c r="L12" s="36">
        <v>0</v>
      </c>
      <c r="M12" s="36">
        <v>15</v>
      </c>
      <c r="N12" s="36">
        <v>10</v>
      </c>
      <c r="O12" s="36">
        <v>5</v>
      </c>
      <c r="P12" s="36">
        <v>5</v>
      </c>
      <c r="Q12" s="36">
        <v>15</v>
      </c>
      <c r="R12" s="36">
        <v>0</v>
      </c>
      <c r="S12" s="36">
        <v>2</v>
      </c>
      <c r="T12" s="36">
        <v>10</v>
      </c>
      <c r="U12" s="36">
        <v>20</v>
      </c>
      <c r="V12" s="36">
        <v>0</v>
      </c>
      <c r="W12" s="36">
        <v>20</v>
      </c>
      <c r="X12" s="36">
        <v>10</v>
      </c>
    </row>
    <row r="13" spans="2:24" x14ac:dyDescent="0.15">
      <c r="B13" s="36">
        <v>9</v>
      </c>
      <c r="C13" s="36">
        <f t="shared" si="0"/>
        <v>1182</v>
      </c>
      <c r="D13" s="36">
        <v>1</v>
      </c>
      <c r="E13" s="36">
        <v>2</v>
      </c>
      <c r="F13" s="36">
        <v>10</v>
      </c>
      <c r="G13" s="36">
        <v>2</v>
      </c>
      <c r="H13" s="36">
        <v>10</v>
      </c>
      <c r="I13" s="36">
        <v>1</v>
      </c>
      <c r="J13" s="36">
        <v>0</v>
      </c>
      <c r="K13" s="36">
        <f t="shared" si="1"/>
        <v>1182</v>
      </c>
      <c r="L13" s="36">
        <v>0</v>
      </c>
      <c r="M13" s="36">
        <v>15</v>
      </c>
      <c r="N13" s="36">
        <v>10</v>
      </c>
      <c r="O13" s="36">
        <v>5</v>
      </c>
      <c r="P13" s="36">
        <v>5</v>
      </c>
      <c r="Q13" s="36">
        <v>15</v>
      </c>
      <c r="R13" s="36">
        <v>0</v>
      </c>
      <c r="S13" s="36">
        <v>2</v>
      </c>
      <c r="T13" s="36">
        <v>10</v>
      </c>
      <c r="U13" s="36">
        <v>20</v>
      </c>
      <c r="V13" s="36">
        <v>0</v>
      </c>
      <c r="W13" s="36">
        <v>20</v>
      </c>
      <c r="X13" s="36">
        <v>10</v>
      </c>
    </row>
    <row r="14" spans="2:24" x14ac:dyDescent="0.15">
      <c r="B14" s="36">
        <v>10</v>
      </c>
      <c r="C14" s="36">
        <f t="shared" si="0"/>
        <v>1226</v>
      </c>
      <c r="D14" s="36">
        <v>1</v>
      </c>
      <c r="E14" s="36">
        <v>2</v>
      </c>
      <c r="F14" s="36">
        <v>10</v>
      </c>
      <c r="G14" s="36">
        <v>2</v>
      </c>
      <c r="H14" s="36">
        <v>10</v>
      </c>
      <c r="I14" s="36">
        <v>1</v>
      </c>
      <c r="J14" s="36">
        <v>0</v>
      </c>
      <c r="K14" s="36">
        <f t="shared" si="1"/>
        <v>1226</v>
      </c>
      <c r="L14" s="36">
        <v>0</v>
      </c>
      <c r="M14" s="36">
        <v>15</v>
      </c>
      <c r="N14" s="36">
        <v>10</v>
      </c>
      <c r="O14" s="36">
        <v>5</v>
      </c>
      <c r="P14" s="36">
        <v>5</v>
      </c>
      <c r="Q14" s="36">
        <v>15</v>
      </c>
      <c r="R14" s="36">
        <v>0</v>
      </c>
      <c r="S14" s="36">
        <v>2</v>
      </c>
      <c r="T14" s="36">
        <v>10</v>
      </c>
      <c r="U14" s="36">
        <v>20</v>
      </c>
      <c r="V14" s="36">
        <v>0</v>
      </c>
      <c r="W14" s="36">
        <v>20</v>
      </c>
      <c r="X14" s="36">
        <v>10</v>
      </c>
    </row>
    <row r="15" spans="2:24" x14ac:dyDescent="0.15">
      <c r="B15" s="36">
        <v>11</v>
      </c>
      <c r="C15" s="36">
        <f t="shared" si="0"/>
        <v>1270</v>
      </c>
      <c r="D15" s="36">
        <v>1</v>
      </c>
      <c r="E15" s="36">
        <v>2</v>
      </c>
      <c r="F15" s="36">
        <v>10</v>
      </c>
      <c r="G15" s="36">
        <v>2</v>
      </c>
      <c r="H15" s="36">
        <v>10</v>
      </c>
      <c r="I15" s="36">
        <v>1</v>
      </c>
      <c r="J15" s="36">
        <v>0</v>
      </c>
      <c r="K15" s="36">
        <f t="shared" si="1"/>
        <v>1270</v>
      </c>
      <c r="L15" s="36">
        <v>0</v>
      </c>
      <c r="M15" s="36">
        <v>15</v>
      </c>
      <c r="N15" s="36">
        <v>10</v>
      </c>
      <c r="O15" s="36">
        <v>5</v>
      </c>
      <c r="P15" s="36">
        <v>5</v>
      </c>
      <c r="Q15" s="36">
        <v>15</v>
      </c>
      <c r="R15" s="36">
        <v>0</v>
      </c>
      <c r="S15" s="36">
        <v>2</v>
      </c>
      <c r="T15" s="36">
        <v>10</v>
      </c>
      <c r="U15" s="36">
        <v>20</v>
      </c>
      <c r="V15" s="36">
        <v>0</v>
      </c>
      <c r="W15" s="36">
        <v>20</v>
      </c>
      <c r="X15" s="36">
        <v>10</v>
      </c>
    </row>
    <row r="16" spans="2:24" x14ac:dyDescent="0.15">
      <c r="B16" s="36">
        <v>12</v>
      </c>
      <c r="C16" s="36">
        <f t="shared" si="0"/>
        <v>1315</v>
      </c>
      <c r="D16" s="36">
        <v>1</v>
      </c>
      <c r="E16" s="36">
        <v>2</v>
      </c>
      <c r="F16" s="36">
        <v>10</v>
      </c>
      <c r="G16" s="36">
        <v>2</v>
      </c>
      <c r="H16" s="36">
        <v>10</v>
      </c>
      <c r="I16" s="36">
        <v>1</v>
      </c>
      <c r="J16" s="36">
        <v>0</v>
      </c>
      <c r="K16" s="36">
        <f t="shared" si="1"/>
        <v>1315</v>
      </c>
      <c r="L16" s="36">
        <v>0</v>
      </c>
      <c r="M16" s="36">
        <v>15</v>
      </c>
      <c r="N16" s="36">
        <v>10</v>
      </c>
      <c r="O16" s="36">
        <v>5</v>
      </c>
      <c r="P16" s="36">
        <v>5</v>
      </c>
      <c r="Q16" s="36">
        <v>15</v>
      </c>
      <c r="R16" s="36">
        <v>0</v>
      </c>
      <c r="S16" s="36">
        <v>2</v>
      </c>
      <c r="T16" s="36">
        <v>10</v>
      </c>
      <c r="U16" s="36">
        <v>20</v>
      </c>
      <c r="V16" s="36">
        <v>0</v>
      </c>
      <c r="W16" s="36">
        <v>20</v>
      </c>
      <c r="X16" s="36">
        <v>10</v>
      </c>
    </row>
    <row r="17" spans="2:24" x14ac:dyDescent="0.15">
      <c r="B17" s="36">
        <v>13</v>
      </c>
      <c r="C17" s="36">
        <f t="shared" si="0"/>
        <v>1360</v>
      </c>
      <c r="D17" s="36">
        <v>1</v>
      </c>
      <c r="E17" s="36">
        <v>2</v>
      </c>
      <c r="F17" s="36">
        <v>10</v>
      </c>
      <c r="G17" s="36">
        <v>2</v>
      </c>
      <c r="H17" s="36">
        <v>10</v>
      </c>
      <c r="I17" s="36">
        <v>1</v>
      </c>
      <c r="J17" s="36">
        <v>0</v>
      </c>
      <c r="K17" s="36">
        <f t="shared" si="1"/>
        <v>1360</v>
      </c>
      <c r="L17" s="36">
        <v>0</v>
      </c>
      <c r="M17" s="36">
        <v>15</v>
      </c>
      <c r="N17" s="36">
        <v>10</v>
      </c>
      <c r="O17" s="36">
        <v>5</v>
      </c>
      <c r="P17" s="36">
        <v>5</v>
      </c>
      <c r="Q17" s="36">
        <v>15</v>
      </c>
      <c r="R17" s="36">
        <v>0</v>
      </c>
      <c r="S17" s="36">
        <v>2</v>
      </c>
      <c r="T17" s="36">
        <v>10</v>
      </c>
      <c r="U17" s="36">
        <v>20</v>
      </c>
      <c r="V17" s="36">
        <v>0</v>
      </c>
      <c r="W17" s="36">
        <v>20</v>
      </c>
      <c r="X17" s="36">
        <v>10</v>
      </c>
    </row>
    <row r="18" spans="2:24" x14ac:dyDescent="0.15">
      <c r="B18" s="36">
        <v>14</v>
      </c>
      <c r="C18" s="36">
        <f t="shared" si="0"/>
        <v>1406</v>
      </c>
      <c r="D18" s="36">
        <v>1</v>
      </c>
      <c r="E18" s="36">
        <v>2</v>
      </c>
      <c r="F18" s="36">
        <v>10</v>
      </c>
      <c r="G18" s="36">
        <v>2</v>
      </c>
      <c r="H18" s="36">
        <v>10</v>
      </c>
      <c r="I18" s="36">
        <v>1</v>
      </c>
      <c r="J18" s="36">
        <v>0</v>
      </c>
      <c r="K18" s="36">
        <f t="shared" si="1"/>
        <v>1406</v>
      </c>
      <c r="L18" s="36">
        <v>0</v>
      </c>
      <c r="M18" s="36">
        <v>15</v>
      </c>
      <c r="N18" s="36">
        <v>10</v>
      </c>
      <c r="O18" s="36">
        <v>5</v>
      </c>
      <c r="P18" s="36">
        <v>5</v>
      </c>
      <c r="Q18" s="36">
        <v>15</v>
      </c>
      <c r="R18" s="36">
        <v>0</v>
      </c>
      <c r="S18" s="36">
        <v>2</v>
      </c>
      <c r="T18" s="36">
        <v>10</v>
      </c>
      <c r="U18" s="36">
        <v>20</v>
      </c>
      <c r="V18" s="36">
        <v>0</v>
      </c>
      <c r="W18" s="36">
        <v>20</v>
      </c>
      <c r="X18" s="36">
        <v>10</v>
      </c>
    </row>
    <row r="19" spans="2:24" x14ac:dyDescent="0.15">
      <c r="B19" s="36">
        <v>15</v>
      </c>
      <c r="C19" s="36">
        <f t="shared" si="0"/>
        <v>1452</v>
      </c>
      <c r="D19" s="36">
        <v>1</v>
      </c>
      <c r="E19" s="36">
        <v>2</v>
      </c>
      <c r="F19" s="36">
        <v>10</v>
      </c>
      <c r="G19" s="36">
        <v>2</v>
      </c>
      <c r="H19" s="36">
        <v>10</v>
      </c>
      <c r="I19" s="36">
        <v>1</v>
      </c>
      <c r="J19" s="36">
        <v>0</v>
      </c>
      <c r="K19" s="36">
        <f t="shared" si="1"/>
        <v>1452</v>
      </c>
      <c r="L19" s="36">
        <v>0</v>
      </c>
      <c r="M19" s="36">
        <v>15</v>
      </c>
      <c r="N19" s="36">
        <v>10</v>
      </c>
      <c r="O19" s="36">
        <v>5</v>
      </c>
      <c r="P19" s="36">
        <v>5</v>
      </c>
      <c r="Q19" s="36">
        <v>15</v>
      </c>
      <c r="R19" s="36">
        <v>0</v>
      </c>
      <c r="S19" s="36">
        <v>2</v>
      </c>
      <c r="T19" s="36">
        <v>10</v>
      </c>
      <c r="U19" s="36">
        <v>20</v>
      </c>
      <c r="V19" s="36">
        <v>0</v>
      </c>
      <c r="W19" s="36">
        <v>20</v>
      </c>
      <c r="X19" s="36">
        <v>10</v>
      </c>
    </row>
    <row r="20" spans="2:24" x14ac:dyDescent="0.15">
      <c r="B20" s="36">
        <v>16</v>
      </c>
      <c r="C20" s="36">
        <f t="shared" si="0"/>
        <v>1498</v>
      </c>
      <c r="D20" s="36">
        <v>1</v>
      </c>
      <c r="E20" s="36">
        <v>2</v>
      </c>
      <c r="F20" s="36">
        <v>10</v>
      </c>
      <c r="G20" s="36">
        <v>2</v>
      </c>
      <c r="H20" s="36">
        <v>10</v>
      </c>
      <c r="I20" s="36">
        <v>1</v>
      </c>
      <c r="J20" s="36">
        <v>0</v>
      </c>
      <c r="K20" s="36">
        <f t="shared" si="1"/>
        <v>1498</v>
      </c>
      <c r="L20" s="36">
        <v>0</v>
      </c>
      <c r="M20" s="36">
        <v>15</v>
      </c>
      <c r="N20" s="36">
        <v>10</v>
      </c>
      <c r="O20" s="36">
        <v>5</v>
      </c>
      <c r="P20" s="36">
        <v>5</v>
      </c>
      <c r="Q20" s="36">
        <v>15</v>
      </c>
      <c r="R20" s="36">
        <v>0</v>
      </c>
      <c r="S20" s="36">
        <v>2</v>
      </c>
      <c r="T20" s="36">
        <v>10</v>
      </c>
      <c r="U20" s="36">
        <v>20</v>
      </c>
      <c r="V20" s="36">
        <v>0</v>
      </c>
      <c r="W20" s="36">
        <v>20</v>
      </c>
      <c r="X20" s="36">
        <v>10</v>
      </c>
    </row>
    <row r="21" spans="2:24" x14ac:dyDescent="0.15">
      <c r="B21" s="36">
        <v>17</v>
      </c>
      <c r="C21" s="36">
        <f t="shared" si="0"/>
        <v>1545</v>
      </c>
      <c r="D21" s="36">
        <v>1</v>
      </c>
      <c r="E21" s="36">
        <v>2</v>
      </c>
      <c r="F21" s="36">
        <v>10</v>
      </c>
      <c r="G21" s="36">
        <v>2</v>
      </c>
      <c r="H21" s="36">
        <v>10</v>
      </c>
      <c r="I21" s="36">
        <v>1</v>
      </c>
      <c r="J21" s="36">
        <v>0</v>
      </c>
      <c r="K21" s="36">
        <f t="shared" si="1"/>
        <v>1545</v>
      </c>
      <c r="L21" s="36">
        <v>0</v>
      </c>
      <c r="M21" s="36">
        <v>15</v>
      </c>
      <c r="N21" s="36">
        <v>10</v>
      </c>
      <c r="O21" s="36">
        <v>5</v>
      </c>
      <c r="P21" s="36">
        <v>5</v>
      </c>
      <c r="Q21" s="36">
        <v>15</v>
      </c>
      <c r="R21" s="36">
        <v>0</v>
      </c>
      <c r="S21" s="36">
        <v>2</v>
      </c>
      <c r="T21" s="36">
        <v>10</v>
      </c>
      <c r="U21" s="36">
        <v>20</v>
      </c>
      <c r="V21" s="36">
        <v>0</v>
      </c>
      <c r="W21" s="36">
        <v>20</v>
      </c>
      <c r="X21" s="36">
        <v>10</v>
      </c>
    </row>
    <row r="22" spans="2:24" x14ac:dyDescent="0.15">
      <c r="B22" s="36">
        <v>18</v>
      </c>
      <c r="C22" s="36">
        <f t="shared" si="0"/>
        <v>1592</v>
      </c>
      <c r="D22" s="36">
        <v>1</v>
      </c>
      <c r="E22" s="36">
        <v>2</v>
      </c>
      <c r="F22" s="36">
        <v>10</v>
      </c>
      <c r="G22" s="36">
        <v>2</v>
      </c>
      <c r="H22" s="36">
        <v>10</v>
      </c>
      <c r="I22" s="36">
        <v>1</v>
      </c>
      <c r="J22" s="36">
        <v>0</v>
      </c>
      <c r="K22" s="36">
        <f t="shared" si="1"/>
        <v>1592</v>
      </c>
      <c r="L22" s="36">
        <v>0</v>
      </c>
      <c r="M22" s="36">
        <v>15</v>
      </c>
      <c r="N22" s="36">
        <v>10</v>
      </c>
      <c r="O22" s="36">
        <v>5</v>
      </c>
      <c r="P22" s="36">
        <v>5</v>
      </c>
      <c r="Q22" s="36">
        <v>15</v>
      </c>
      <c r="R22" s="36">
        <v>0</v>
      </c>
      <c r="S22" s="36">
        <v>2</v>
      </c>
      <c r="T22" s="36">
        <v>10</v>
      </c>
      <c r="U22" s="36">
        <v>20</v>
      </c>
      <c r="V22" s="36">
        <v>0</v>
      </c>
      <c r="W22" s="36">
        <v>20</v>
      </c>
      <c r="X22" s="36">
        <v>10</v>
      </c>
    </row>
    <row r="23" spans="2:24" x14ac:dyDescent="0.15">
      <c r="B23" s="36">
        <v>19</v>
      </c>
      <c r="C23" s="36">
        <f t="shared" si="0"/>
        <v>1640</v>
      </c>
      <c r="D23" s="36">
        <v>1</v>
      </c>
      <c r="E23" s="36">
        <v>2</v>
      </c>
      <c r="F23" s="36">
        <v>10</v>
      </c>
      <c r="G23" s="36">
        <v>2</v>
      </c>
      <c r="H23" s="36">
        <v>10</v>
      </c>
      <c r="I23" s="36">
        <v>1</v>
      </c>
      <c r="J23" s="36">
        <v>0</v>
      </c>
      <c r="K23" s="36">
        <f t="shared" si="1"/>
        <v>1640</v>
      </c>
      <c r="L23" s="36">
        <v>0</v>
      </c>
      <c r="M23" s="36">
        <v>15</v>
      </c>
      <c r="N23" s="36">
        <v>10</v>
      </c>
      <c r="O23" s="36">
        <v>5</v>
      </c>
      <c r="P23" s="36">
        <v>5</v>
      </c>
      <c r="Q23" s="36">
        <v>15</v>
      </c>
      <c r="R23" s="36">
        <v>0</v>
      </c>
      <c r="S23" s="36">
        <v>2</v>
      </c>
      <c r="T23" s="36">
        <v>10</v>
      </c>
      <c r="U23" s="36">
        <v>20</v>
      </c>
      <c r="V23" s="36">
        <v>0</v>
      </c>
      <c r="W23" s="36">
        <v>20</v>
      </c>
      <c r="X23" s="36">
        <v>10</v>
      </c>
    </row>
    <row r="24" spans="2:24" x14ac:dyDescent="0.15">
      <c r="B24" s="36">
        <v>20</v>
      </c>
      <c r="C24" s="36">
        <f t="shared" si="0"/>
        <v>1688</v>
      </c>
      <c r="D24" s="36">
        <v>1</v>
      </c>
      <c r="E24" s="36">
        <v>2</v>
      </c>
      <c r="F24" s="36">
        <v>10</v>
      </c>
      <c r="G24" s="36">
        <v>2</v>
      </c>
      <c r="H24" s="36">
        <v>10</v>
      </c>
      <c r="I24" s="36">
        <v>1</v>
      </c>
      <c r="J24" s="36">
        <v>0</v>
      </c>
      <c r="K24" s="36">
        <f t="shared" si="1"/>
        <v>1688</v>
      </c>
      <c r="L24" s="36">
        <v>0</v>
      </c>
      <c r="M24" s="36">
        <v>15</v>
      </c>
      <c r="N24" s="36">
        <v>10</v>
      </c>
      <c r="O24" s="36">
        <v>5</v>
      </c>
      <c r="P24" s="36">
        <v>5</v>
      </c>
      <c r="Q24" s="36">
        <v>15</v>
      </c>
      <c r="R24" s="36">
        <v>0</v>
      </c>
      <c r="S24" s="36">
        <v>2</v>
      </c>
      <c r="T24" s="36">
        <v>10</v>
      </c>
      <c r="U24" s="36">
        <v>20</v>
      </c>
      <c r="V24" s="36">
        <v>0</v>
      </c>
      <c r="W24" s="36">
        <v>20</v>
      </c>
      <c r="X24" s="36">
        <v>10</v>
      </c>
    </row>
    <row r="25" spans="2:24" x14ac:dyDescent="0.15">
      <c r="B25" s="36">
        <v>21</v>
      </c>
      <c r="C25" s="36">
        <f t="shared" si="0"/>
        <v>1736</v>
      </c>
      <c r="D25" s="36">
        <v>1</v>
      </c>
      <c r="E25" s="36">
        <v>2</v>
      </c>
      <c r="F25" s="36">
        <v>10</v>
      </c>
      <c r="G25" s="36">
        <v>2</v>
      </c>
      <c r="H25" s="36">
        <v>10</v>
      </c>
      <c r="I25" s="36">
        <v>1</v>
      </c>
      <c r="J25" s="36">
        <v>0</v>
      </c>
      <c r="K25" s="36">
        <f t="shared" si="1"/>
        <v>1736</v>
      </c>
      <c r="L25" s="36">
        <v>0</v>
      </c>
      <c r="M25" s="36">
        <v>15</v>
      </c>
      <c r="N25" s="36">
        <v>10</v>
      </c>
      <c r="O25" s="36">
        <v>5</v>
      </c>
      <c r="P25" s="36">
        <v>5</v>
      </c>
      <c r="Q25" s="36">
        <v>15</v>
      </c>
      <c r="R25" s="36">
        <v>0</v>
      </c>
      <c r="S25" s="36">
        <v>2</v>
      </c>
      <c r="T25" s="36">
        <v>10</v>
      </c>
      <c r="U25" s="36">
        <v>20</v>
      </c>
      <c r="V25" s="36">
        <v>0</v>
      </c>
      <c r="W25" s="36">
        <v>20</v>
      </c>
      <c r="X25" s="36">
        <v>10</v>
      </c>
    </row>
    <row r="26" spans="2:24" x14ac:dyDescent="0.15">
      <c r="B26" s="36">
        <v>22</v>
      </c>
      <c r="C26" s="36">
        <f t="shared" si="0"/>
        <v>1785</v>
      </c>
      <c r="D26" s="36">
        <v>1</v>
      </c>
      <c r="E26" s="36">
        <v>2</v>
      </c>
      <c r="F26" s="36">
        <v>10</v>
      </c>
      <c r="G26" s="36">
        <v>2</v>
      </c>
      <c r="H26" s="36">
        <v>10</v>
      </c>
      <c r="I26" s="36">
        <v>1</v>
      </c>
      <c r="J26" s="36">
        <v>0</v>
      </c>
      <c r="K26" s="36">
        <f t="shared" si="1"/>
        <v>1785</v>
      </c>
      <c r="L26" s="36">
        <v>0</v>
      </c>
      <c r="M26" s="36">
        <v>15</v>
      </c>
      <c r="N26" s="36">
        <v>10</v>
      </c>
      <c r="O26" s="36">
        <v>5</v>
      </c>
      <c r="P26" s="36">
        <v>5</v>
      </c>
      <c r="Q26" s="36">
        <v>15</v>
      </c>
      <c r="R26" s="36">
        <v>0</v>
      </c>
      <c r="S26" s="36">
        <v>2</v>
      </c>
      <c r="T26" s="36">
        <v>10</v>
      </c>
      <c r="U26" s="36">
        <v>20</v>
      </c>
      <c r="V26" s="36">
        <v>0</v>
      </c>
      <c r="W26" s="36">
        <v>20</v>
      </c>
      <c r="X26" s="36">
        <v>10</v>
      </c>
    </row>
    <row r="27" spans="2:24" x14ac:dyDescent="0.15">
      <c r="B27" s="36">
        <v>23</v>
      </c>
      <c r="C27" s="36">
        <f t="shared" si="0"/>
        <v>1834</v>
      </c>
      <c r="D27" s="36">
        <v>1</v>
      </c>
      <c r="E27" s="36">
        <v>2</v>
      </c>
      <c r="F27" s="36">
        <v>10</v>
      </c>
      <c r="G27" s="36">
        <v>2</v>
      </c>
      <c r="H27" s="36">
        <v>10</v>
      </c>
      <c r="I27" s="36">
        <v>1</v>
      </c>
      <c r="J27" s="36">
        <v>0</v>
      </c>
      <c r="K27" s="36">
        <f t="shared" si="1"/>
        <v>1834</v>
      </c>
      <c r="L27" s="36">
        <v>0</v>
      </c>
      <c r="M27" s="36">
        <v>15</v>
      </c>
      <c r="N27" s="36">
        <v>10</v>
      </c>
      <c r="O27" s="36">
        <v>5</v>
      </c>
      <c r="P27" s="36">
        <v>5</v>
      </c>
      <c r="Q27" s="36">
        <v>15</v>
      </c>
      <c r="R27" s="36">
        <v>0</v>
      </c>
      <c r="S27" s="36">
        <v>2</v>
      </c>
      <c r="T27" s="36">
        <v>10</v>
      </c>
      <c r="U27" s="36">
        <v>20</v>
      </c>
      <c r="V27" s="36">
        <v>0</v>
      </c>
      <c r="W27" s="36">
        <v>20</v>
      </c>
      <c r="X27" s="36">
        <v>10</v>
      </c>
    </row>
    <row r="28" spans="2:24" x14ac:dyDescent="0.15">
      <c r="B28" s="36">
        <v>24</v>
      </c>
      <c r="C28" s="36">
        <f t="shared" si="0"/>
        <v>1884</v>
      </c>
      <c r="D28" s="36">
        <v>1</v>
      </c>
      <c r="E28" s="36">
        <v>2</v>
      </c>
      <c r="F28" s="36">
        <v>10</v>
      </c>
      <c r="G28" s="36">
        <v>2</v>
      </c>
      <c r="H28" s="36">
        <v>10</v>
      </c>
      <c r="I28" s="36">
        <v>1</v>
      </c>
      <c r="J28" s="36">
        <v>0</v>
      </c>
      <c r="K28" s="36">
        <f t="shared" si="1"/>
        <v>1884</v>
      </c>
      <c r="L28" s="36">
        <v>0</v>
      </c>
      <c r="M28" s="36">
        <v>15</v>
      </c>
      <c r="N28" s="36">
        <v>10</v>
      </c>
      <c r="O28" s="36">
        <v>5</v>
      </c>
      <c r="P28" s="36">
        <v>5</v>
      </c>
      <c r="Q28" s="36">
        <v>15</v>
      </c>
      <c r="R28" s="36">
        <v>0</v>
      </c>
      <c r="S28" s="36">
        <v>2</v>
      </c>
      <c r="T28" s="36">
        <v>10</v>
      </c>
      <c r="U28" s="36">
        <v>20</v>
      </c>
      <c r="V28" s="36">
        <v>0</v>
      </c>
      <c r="W28" s="36">
        <v>20</v>
      </c>
      <c r="X28" s="36">
        <v>10</v>
      </c>
    </row>
    <row r="29" spans="2:24" x14ac:dyDescent="0.15">
      <c r="B29" s="36">
        <v>25</v>
      </c>
      <c r="C29" s="36">
        <f t="shared" si="0"/>
        <v>1934</v>
      </c>
      <c r="D29" s="36">
        <v>1</v>
      </c>
      <c r="E29" s="36">
        <v>2</v>
      </c>
      <c r="F29" s="36">
        <v>10</v>
      </c>
      <c r="G29" s="36">
        <v>2</v>
      </c>
      <c r="H29" s="36">
        <v>10</v>
      </c>
      <c r="I29" s="36">
        <v>1</v>
      </c>
      <c r="J29" s="36">
        <v>0</v>
      </c>
      <c r="K29" s="36">
        <f t="shared" si="1"/>
        <v>1934</v>
      </c>
      <c r="L29" s="36">
        <v>0</v>
      </c>
      <c r="M29" s="36">
        <v>15</v>
      </c>
      <c r="N29" s="36">
        <v>10</v>
      </c>
      <c r="O29" s="36">
        <v>5</v>
      </c>
      <c r="P29" s="36">
        <v>5</v>
      </c>
      <c r="Q29" s="36">
        <v>15</v>
      </c>
      <c r="R29" s="36">
        <v>0</v>
      </c>
      <c r="S29" s="36">
        <v>2</v>
      </c>
      <c r="T29" s="36">
        <v>10</v>
      </c>
      <c r="U29" s="36">
        <v>20</v>
      </c>
      <c r="V29" s="36">
        <v>0</v>
      </c>
      <c r="W29" s="36">
        <v>20</v>
      </c>
      <c r="X29" s="36">
        <v>10</v>
      </c>
    </row>
    <row r="30" spans="2:24" x14ac:dyDescent="0.15">
      <c r="B30" s="36">
        <v>26</v>
      </c>
      <c r="C30" s="36">
        <f t="shared" si="0"/>
        <v>1984</v>
      </c>
      <c r="D30" s="36">
        <v>1</v>
      </c>
      <c r="E30" s="36">
        <v>2</v>
      </c>
      <c r="F30" s="36">
        <v>10</v>
      </c>
      <c r="G30" s="36">
        <v>2</v>
      </c>
      <c r="H30" s="36">
        <v>10</v>
      </c>
      <c r="I30" s="36">
        <v>1</v>
      </c>
      <c r="J30" s="36">
        <v>0</v>
      </c>
      <c r="K30" s="36">
        <f t="shared" si="1"/>
        <v>1984</v>
      </c>
      <c r="L30" s="36">
        <v>0</v>
      </c>
      <c r="M30" s="36">
        <v>15</v>
      </c>
      <c r="N30" s="36">
        <v>10</v>
      </c>
      <c r="O30" s="36">
        <v>5</v>
      </c>
      <c r="P30" s="36">
        <v>5</v>
      </c>
      <c r="Q30" s="36">
        <v>15</v>
      </c>
      <c r="R30" s="36">
        <v>0</v>
      </c>
      <c r="S30" s="36">
        <v>2</v>
      </c>
      <c r="T30" s="36">
        <v>10</v>
      </c>
      <c r="U30" s="36">
        <v>20</v>
      </c>
      <c r="V30" s="36">
        <v>0</v>
      </c>
      <c r="W30" s="36">
        <v>20</v>
      </c>
      <c r="X30" s="36">
        <v>10</v>
      </c>
    </row>
    <row r="31" spans="2:24" x14ac:dyDescent="0.15">
      <c r="B31" s="36">
        <v>27</v>
      </c>
      <c r="C31" s="36">
        <f t="shared" si="0"/>
        <v>2035</v>
      </c>
      <c r="D31" s="36">
        <v>1</v>
      </c>
      <c r="E31" s="36">
        <v>2</v>
      </c>
      <c r="F31" s="36">
        <v>10</v>
      </c>
      <c r="G31" s="36">
        <v>2</v>
      </c>
      <c r="H31" s="36">
        <v>10</v>
      </c>
      <c r="I31" s="36">
        <v>1</v>
      </c>
      <c r="J31" s="36">
        <v>0</v>
      </c>
      <c r="K31" s="36">
        <f t="shared" si="1"/>
        <v>2035</v>
      </c>
      <c r="L31" s="36">
        <v>0</v>
      </c>
      <c r="M31" s="36">
        <v>15</v>
      </c>
      <c r="N31" s="36">
        <v>10</v>
      </c>
      <c r="O31" s="36">
        <v>5</v>
      </c>
      <c r="P31" s="36">
        <v>5</v>
      </c>
      <c r="Q31" s="36">
        <v>15</v>
      </c>
      <c r="R31" s="36">
        <v>0</v>
      </c>
      <c r="S31" s="36">
        <v>2</v>
      </c>
      <c r="T31" s="36">
        <v>10</v>
      </c>
      <c r="U31" s="36">
        <v>20</v>
      </c>
      <c r="V31" s="36">
        <v>0</v>
      </c>
      <c r="W31" s="36">
        <v>20</v>
      </c>
      <c r="X31" s="36">
        <v>10</v>
      </c>
    </row>
    <row r="32" spans="2:24" x14ac:dyDescent="0.15">
      <c r="B32" s="36">
        <v>28</v>
      </c>
      <c r="C32" s="36">
        <f t="shared" si="0"/>
        <v>2086</v>
      </c>
      <c r="D32" s="36">
        <v>1</v>
      </c>
      <c r="E32" s="36">
        <v>2</v>
      </c>
      <c r="F32" s="36">
        <v>10</v>
      </c>
      <c r="G32" s="36">
        <v>2</v>
      </c>
      <c r="H32" s="36">
        <v>10</v>
      </c>
      <c r="I32" s="36">
        <v>1</v>
      </c>
      <c r="J32" s="36">
        <v>0</v>
      </c>
      <c r="K32" s="36">
        <f t="shared" si="1"/>
        <v>2086</v>
      </c>
      <c r="L32" s="36">
        <v>0</v>
      </c>
      <c r="M32" s="36">
        <v>15</v>
      </c>
      <c r="N32" s="36">
        <v>10</v>
      </c>
      <c r="O32" s="36">
        <v>5</v>
      </c>
      <c r="P32" s="36">
        <v>5</v>
      </c>
      <c r="Q32" s="36">
        <v>15</v>
      </c>
      <c r="R32" s="36">
        <v>0</v>
      </c>
      <c r="S32" s="36">
        <v>2</v>
      </c>
      <c r="T32" s="36">
        <v>10</v>
      </c>
      <c r="U32" s="36">
        <v>20</v>
      </c>
      <c r="V32" s="36">
        <v>0</v>
      </c>
      <c r="W32" s="36">
        <v>20</v>
      </c>
      <c r="X32" s="36">
        <v>10</v>
      </c>
    </row>
    <row r="33" spans="2:24" x14ac:dyDescent="0.15">
      <c r="B33" s="36">
        <v>29</v>
      </c>
      <c r="C33" s="36">
        <f t="shared" si="0"/>
        <v>2138</v>
      </c>
      <c r="D33" s="36">
        <v>1</v>
      </c>
      <c r="E33" s="36">
        <v>2</v>
      </c>
      <c r="F33" s="36">
        <v>10</v>
      </c>
      <c r="G33" s="36">
        <v>2</v>
      </c>
      <c r="H33" s="36">
        <v>10</v>
      </c>
      <c r="I33" s="36">
        <v>1</v>
      </c>
      <c r="J33" s="36">
        <v>0</v>
      </c>
      <c r="K33" s="36">
        <f t="shared" si="1"/>
        <v>2138</v>
      </c>
      <c r="L33" s="36">
        <v>0</v>
      </c>
      <c r="M33" s="36">
        <v>15</v>
      </c>
      <c r="N33" s="36">
        <v>10</v>
      </c>
      <c r="O33" s="36">
        <v>5</v>
      </c>
      <c r="P33" s="36">
        <v>5</v>
      </c>
      <c r="Q33" s="36">
        <v>15</v>
      </c>
      <c r="R33" s="36">
        <v>0</v>
      </c>
      <c r="S33" s="36">
        <v>2</v>
      </c>
      <c r="T33" s="36">
        <v>10</v>
      </c>
      <c r="U33" s="36">
        <v>20</v>
      </c>
      <c r="V33" s="36">
        <v>0</v>
      </c>
      <c r="W33" s="36">
        <v>20</v>
      </c>
      <c r="X33" s="36">
        <v>10</v>
      </c>
    </row>
    <row r="34" spans="2:24" x14ac:dyDescent="0.15">
      <c r="B34" s="36">
        <v>30</v>
      </c>
      <c r="C34" s="36">
        <f t="shared" si="0"/>
        <v>2190</v>
      </c>
      <c r="D34" s="36">
        <v>1</v>
      </c>
      <c r="E34" s="36">
        <v>2</v>
      </c>
      <c r="F34" s="36">
        <v>10</v>
      </c>
      <c r="G34" s="36">
        <v>2</v>
      </c>
      <c r="H34" s="36">
        <v>10</v>
      </c>
      <c r="I34" s="36">
        <v>1</v>
      </c>
      <c r="J34" s="36">
        <v>0</v>
      </c>
      <c r="K34" s="36">
        <f t="shared" si="1"/>
        <v>2190</v>
      </c>
      <c r="L34" s="36">
        <v>0</v>
      </c>
      <c r="M34" s="36">
        <v>15</v>
      </c>
      <c r="N34" s="36">
        <v>10</v>
      </c>
      <c r="O34" s="36">
        <v>5</v>
      </c>
      <c r="P34" s="36">
        <v>5</v>
      </c>
      <c r="Q34" s="36">
        <v>15</v>
      </c>
      <c r="R34" s="36">
        <v>0</v>
      </c>
      <c r="S34" s="36">
        <v>2</v>
      </c>
      <c r="T34" s="36">
        <v>10</v>
      </c>
      <c r="U34" s="36">
        <v>20</v>
      </c>
      <c r="V34" s="36">
        <v>0</v>
      </c>
      <c r="W34" s="36">
        <v>20</v>
      </c>
      <c r="X34" s="36">
        <v>10</v>
      </c>
    </row>
    <row r="35" spans="2:24" x14ac:dyDescent="0.15">
      <c r="B35" s="36">
        <v>31</v>
      </c>
      <c r="C35" s="36">
        <f t="shared" si="0"/>
        <v>2242</v>
      </c>
      <c r="D35" s="36">
        <v>1</v>
      </c>
      <c r="E35" s="36">
        <v>2</v>
      </c>
      <c r="F35" s="36">
        <v>10</v>
      </c>
      <c r="G35" s="36">
        <v>2</v>
      </c>
      <c r="H35" s="36">
        <v>10</v>
      </c>
      <c r="I35" s="36">
        <v>1</v>
      </c>
      <c r="J35" s="36">
        <v>0</v>
      </c>
      <c r="K35" s="36">
        <f t="shared" si="1"/>
        <v>2242</v>
      </c>
      <c r="L35" s="36">
        <v>0</v>
      </c>
      <c r="M35" s="36">
        <v>15</v>
      </c>
      <c r="N35" s="36">
        <v>10</v>
      </c>
      <c r="O35" s="36">
        <v>5</v>
      </c>
      <c r="P35" s="36">
        <v>5</v>
      </c>
      <c r="Q35" s="36">
        <v>15</v>
      </c>
      <c r="R35" s="36">
        <v>0</v>
      </c>
      <c r="S35" s="36">
        <v>2</v>
      </c>
      <c r="T35" s="36">
        <v>10</v>
      </c>
      <c r="U35" s="36">
        <v>20</v>
      </c>
      <c r="V35" s="36">
        <v>0</v>
      </c>
      <c r="W35" s="36">
        <v>20</v>
      </c>
      <c r="X35" s="36">
        <v>10</v>
      </c>
    </row>
    <row r="36" spans="2:24" x14ac:dyDescent="0.15">
      <c r="B36" s="36">
        <v>32</v>
      </c>
      <c r="C36" s="36">
        <f t="shared" si="0"/>
        <v>2295</v>
      </c>
      <c r="D36" s="36">
        <v>1</v>
      </c>
      <c r="E36" s="36">
        <v>2</v>
      </c>
      <c r="F36" s="36">
        <v>10</v>
      </c>
      <c r="G36" s="36">
        <v>2</v>
      </c>
      <c r="H36" s="36">
        <v>10</v>
      </c>
      <c r="I36" s="36">
        <v>1</v>
      </c>
      <c r="J36" s="36">
        <v>0</v>
      </c>
      <c r="K36" s="36">
        <f t="shared" si="1"/>
        <v>2295</v>
      </c>
      <c r="L36" s="36">
        <v>0</v>
      </c>
      <c r="M36" s="36">
        <v>15</v>
      </c>
      <c r="N36" s="36">
        <v>10</v>
      </c>
      <c r="O36" s="36">
        <v>5</v>
      </c>
      <c r="P36" s="36">
        <v>5</v>
      </c>
      <c r="Q36" s="36">
        <v>15</v>
      </c>
      <c r="R36" s="36">
        <v>0</v>
      </c>
      <c r="S36" s="36">
        <v>2</v>
      </c>
      <c r="T36" s="36">
        <v>10</v>
      </c>
      <c r="U36" s="36">
        <v>20</v>
      </c>
      <c r="V36" s="36">
        <v>0</v>
      </c>
      <c r="W36" s="36">
        <v>20</v>
      </c>
      <c r="X36" s="36">
        <v>10</v>
      </c>
    </row>
    <row r="37" spans="2:24" x14ac:dyDescent="0.15">
      <c r="B37" s="36">
        <v>33</v>
      </c>
      <c r="C37" s="36">
        <f t="shared" si="0"/>
        <v>2348</v>
      </c>
      <c r="D37" s="36">
        <v>1</v>
      </c>
      <c r="E37" s="36">
        <v>2</v>
      </c>
      <c r="F37" s="36">
        <v>10</v>
      </c>
      <c r="G37" s="36">
        <v>2</v>
      </c>
      <c r="H37" s="36">
        <v>10</v>
      </c>
      <c r="I37" s="36">
        <v>1</v>
      </c>
      <c r="J37" s="36">
        <v>0</v>
      </c>
      <c r="K37" s="36">
        <f t="shared" si="1"/>
        <v>2348</v>
      </c>
      <c r="L37" s="36">
        <v>0</v>
      </c>
      <c r="M37" s="36">
        <v>15</v>
      </c>
      <c r="N37" s="36">
        <v>10</v>
      </c>
      <c r="O37" s="36">
        <v>5</v>
      </c>
      <c r="P37" s="36">
        <v>5</v>
      </c>
      <c r="Q37" s="36">
        <v>15</v>
      </c>
      <c r="R37" s="36">
        <v>0</v>
      </c>
      <c r="S37" s="36">
        <v>2</v>
      </c>
      <c r="T37" s="36">
        <v>10</v>
      </c>
      <c r="U37" s="36">
        <v>20</v>
      </c>
      <c r="V37" s="36">
        <v>0</v>
      </c>
      <c r="W37" s="36">
        <v>20</v>
      </c>
      <c r="X37" s="36">
        <v>10</v>
      </c>
    </row>
    <row r="38" spans="2:24" x14ac:dyDescent="0.15">
      <c r="B38" s="36">
        <v>34</v>
      </c>
      <c r="C38" s="36">
        <f t="shared" si="0"/>
        <v>2402</v>
      </c>
      <c r="D38" s="36">
        <v>1</v>
      </c>
      <c r="E38" s="36">
        <v>2</v>
      </c>
      <c r="F38" s="36">
        <v>10</v>
      </c>
      <c r="G38" s="36">
        <v>2</v>
      </c>
      <c r="H38" s="36">
        <v>10</v>
      </c>
      <c r="I38" s="36">
        <v>1</v>
      </c>
      <c r="J38" s="36">
        <v>0</v>
      </c>
      <c r="K38" s="36">
        <f t="shared" si="1"/>
        <v>2402</v>
      </c>
      <c r="L38" s="36">
        <v>0</v>
      </c>
      <c r="M38" s="36">
        <v>15</v>
      </c>
      <c r="N38" s="36">
        <v>10</v>
      </c>
      <c r="O38" s="36">
        <v>5</v>
      </c>
      <c r="P38" s="36">
        <v>5</v>
      </c>
      <c r="Q38" s="36">
        <v>15</v>
      </c>
      <c r="R38" s="36">
        <v>0</v>
      </c>
      <c r="S38" s="36">
        <v>2</v>
      </c>
      <c r="T38" s="36">
        <v>10</v>
      </c>
      <c r="U38" s="36">
        <v>20</v>
      </c>
      <c r="V38" s="36">
        <v>0</v>
      </c>
      <c r="W38" s="36">
        <v>20</v>
      </c>
      <c r="X38" s="36">
        <v>10</v>
      </c>
    </row>
    <row r="39" spans="2:24" x14ac:dyDescent="0.15">
      <c r="B39" s="36">
        <v>35</v>
      </c>
      <c r="C39" s="36">
        <f t="shared" si="0"/>
        <v>2456</v>
      </c>
      <c r="D39" s="36">
        <v>1</v>
      </c>
      <c r="E39" s="36">
        <v>2</v>
      </c>
      <c r="F39" s="36">
        <v>10</v>
      </c>
      <c r="G39" s="36">
        <v>2</v>
      </c>
      <c r="H39" s="36">
        <v>10</v>
      </c>
      <c r="I39" s="36">
        <v>1</v>
      </c>
      <c r="J39" s="36">
        <v>0</v>
      </c>
      <c r="K39" s="36">
        <f t="shared" si="1"/>
        <v>2456</v>
      </c>
      <c r="L39" s="36">
        <v>0</v>
      </c>
      <c r="M39" s="36">
        <v>15</v>
      </c>
      <c r="N39" s="36">
        <v>10</v>
      </c>
      <c r="O39" s="36">
        <v>5</v>
      </c>
      <c r="P39" s="36">
        <v>5</v>
      </c>
      <c r="Q39" s="36">
        <v>15</v>
      </c>
      <c r="R39" s="36">
        <v>0</v>
      </c>
      <c r="S39" s="36">
        <v>2</v>
      </c>
      <c r="T39" s="36">
        <v>10</v>
      </c>
      <c r="U39" s="36">
        <v>20</v>
      </c>
      <c r="V39" s="36">
        <v>0</v>
      </c>
      <c r="W39" s="36">
        <v>20</v>
      </c>
      <c r="X39" s="36">
        <v>10</v>
      </c>
    </row>
    <row r="40" spans="2:24" x14ac:dyDescent="0.15">
      <c r="B40" s="36">
        <v>36</v>
      </c>
      <c r="C40" s="36">
        <f t="shared" si="0"/>
        <v>2510</v>
      </c>
      <c r="D40" s="36">
        <v>1</v>
      </c>
      <c r="E40" s="36">
        <v>2</v>
      </c>
      <c r="F40" s="36">
        <v>10</v>
      </c>
      <c r="G40" s="36">
        <v>2</v>
      </c>
      <c r="H40" s="36">
        <v>10</v>
      </c>
      <c r="I40" s="36">
        <v>1</v>
      </c>
      <c r="J40" s="36">
        <v>0</v>
      </c>
      <c r="K40" s="36">
        <f t="shared" si="1"/>
        <v>2510</v>
      </c>
      <c r="L40" s="36">
        <v>0</v>
      </c>
      <c r="M40" s="36">
        <v>15</v>
      </c>
      <c r="N40" s="36">
        <v>10</v>
      </c>
      <c r="O40" s="36">
        <v>5</v>
      </c>
      <c r="P40" s="36">
        <v>5</v>
      </c>
      <c r="Q40" s="36">
        <v>15</v>
      </c>
      <c r="R40" s="36">
        <v>0</v>
      </c>
      <c r="S40" s="36">
        <v>2</v>
      </c>
      <c r="T40" s="36">
        <v>10</v>
      </c>
      <c r="U40" s="36">
        <v>20</v>
      </c>
      <c r="V40" s="36">
        <v>0</v>
      </c>
      <c r="W40" s="36">
        <v>20</v>
      </c>
      <c r="X40" s="36">
        <v>10</v>
      </c>
    </row>
    <row r="41" spans="2:24" x14ac:dyDescent="0.15">
      <c r="B41" s="36">
        <v>37</v>
      </c>
      <c r="C41" s="36">
        <f t="shared" si="0"/>
        <v>2565</v>
      </c>
      <c r="D41" s="36">
        <v>1</v>
      </c>
      <c r="E41" s="36">
        <v>2</v>
      </c>
      <c r="F41" s="36">
        <v>10</v>
      </c>
      <c r="G41" s="36">
        <v>2</v>
      </c>
      <c r="H41" s="36">
        <v>10</v>
      </c>
      <c r="I41" s="36">
        <v>1</v>
      </c>
      <c r="J41" s="36">
        <v>0</v>
      </c>
      <c r="K41" s="36">
        <f t="shared" si="1"/>
        <v>2565</v>
      </c>
      <c r="L41" s="36">
        <v>0</v>
      </c>
      <c r="M41" s="36">
        <v>15</v>
      </c>
      <c r="N41" s="36">
        <v>10</v>
      </c>
      <c r="O41" s="36">
        <v>5</v>
      </c>
      <c r="P41" s="36">
        <v>5</v>
      </c>
      <c r="Q41" s="36">
        <v>15</v>
      </c>
      <c r="R41" s="36">
        <v>0</v>
      </c>
      <c r="S41" s="36">
        <v>2</v>
      </c>
      <c r="T41" s="36">
        <v>10</v>
      </c>
      <c r="U41" s="36">
        <v>20</v>
      </c>
      <c r="V41" s="36">
        <v>0</v>
      </c>
      <c r="W41" s="36">
        <v>20</v>
      </c>
      <c r="X41" s="36">
        <v>10</v>
      </c>
    </row>
    <row r="42" spans="2:24" x14ac:dyDescent="0.15">
      <c r="B42" s="36">
        <v>38</v>
      </c>
      <c r="C42" s="36">
        <f t="shared" si="0"/>
        <v>2620</v>
      </c>
      <c r="D42" s="36">
        <v>1</v>
      </c>
      <c r="E42" s="36">
        <v>2</v>
      </c>
      <c r="F42" s="36">
        <v>10</v>
      </c>
      <c r="G42" s="36">
        <v>2</v>
      </c>
      <c r="H42" s="36">
        <v>10</v>
      </c>
      <c r="I42" s="36">
        <v>1</v>
      </c>
      <c r="J42" s="36">
        <v>0</v>
      </c>
      <c r="K42" s="36">
        <f t="shared" si="1"/>
        <v>2620</v>
      </c>
      <c r="L42" s="36">
        <v>0</v>
      </c>
      <c r="M42" s="36">
        <v>15</v>
      </c>
      <c r="N42" s="36">
        <v>10</v>
      </c>
      <c r="O42" s="36">
        <v>5</v>
      </c>
      <c r="P42" s="36">
        <v>5</v>
      </c>
      <c r="Q42" s="36">
        <v>15</v>
      </c>
      <c r="R42" s="36">
        <v>0</v>
      </c>
      <c r="S42" s="36">
        <v>2</v>
      </c>
      <c r="T42" s="36">
        <v>10</v>
      </c>
      <c r="U42" s="36">
        <v>20</v>
      </c>
      <c r="V42" s="36">
        <v>0</v>
      </c>
      <c r="W42" s="36">
        <v>20</v>
      </c>
      <c r="X42" s="36">
        <v>10</v>
      </c>
    </row>
    <row r="43" spans="2:24" x14ac:dyDescent="0.15">
      <c r="B43" s="36">
        <v>39</v>
      </c>
      <c r="C43" s="36">
        <f t="shared" si="0"/>
        <v>2675</v>
      </c>
      <c r="D43" s="36">
        <v>1</v>
      </c>
      <c r="E43" s="36">
        <v>2</v>
      </c>
      <c r="F43" s="36">
        <v>10</v>
      </c>
      <c r="G43" s="36">
        <v>2</v>
      </c>
      <c r="H43" s="36">
        <v>10</v>
      </c>
      <c r="I43" s="36">
        <v>1</v>
      </c>
      <c r="J43" s="36">
        <v>0</v>
      </c>
      <c r="K43" s="36">
        <f t="shared" si="1"/>
        <v>2675</v>
      </c>
      <c r="L43" s="36">
        <v>0</v>
      </c>
      <c r="M43" s="36">
        <v>15</v>
      </c>
      <c r="N43" s="36">
        <v>10</v>
      </c>
      <c r="O43" s="36">
        <v>5</v>
      </c>
      <c r="P43" s="36">
        <v>5</v>
      </c>
      <c r="Q43" s="36">
        <v>15</v>
      </c>
      <c r="R43" s="36">
        <v>0</v>
      </c>
      <c r="S43" s="36">
        <v>2</v>
      </c>
      <c r="T43" s="36">
        <v>10</v>
      </c>
      <c r="U43" s="36">
        <v>20</v>
      </c>
      <c r="V43" s="36">
        <v>0</v>
      </c>
      <c r="W43" s="36">
        <v>20</v>
      </c>
      <c r="X43" s="36">
        <v>10</v>
      </c>
    </row>
    <row r="44" spans="2:24" x14ac:dyDescent="0.15">
      <c r="B44" s="36">
        <v>40</v>
      </c>
      <c r="C44" s="36">
        <f t="shared" si="0"/>
        <v>2731</v>
      </c>
      <c r="D44" s="36">
        <v>1</v>
      </c>
      <c r="E44" s="36">
        <v>2</v>
      </c>
      <c r="F44" s="36">
        <v>10</v>
      </c>
      <c r="G44" s="36">
        <v>2</v>
      </c>
      <c r="H44" s="36">
        <v>10</v>
      </c>
      <c r="I44" s="36">
        <v>1</v>
      </c>
      <c r="J44" s="36">
        <v>0</v>
      </c>
      <c r="K44" s="36">
        <f t="shared" si="1"/>
        <v>2731</v>
      </c>
      <c r="L44" s="36">
        <v>0</v>
      </c>
      <c r="M44" s="36">
        <v>15</v>
      </c>
      <c r="N44" s="36">
        <v>10</v>
      </c>
      <c r="O44" s="36">
        <v>5</v>
      </c>
      <c r="P44" s="36">
        <v>5</v>
      </c>
      <c r="Q44" s="36">
        <v>15</v>
      </c>
      <c r="R44" s="36">
        <v>0</v>
      </c>
      <c r="S44" s="36">
        <v>2</v>
      </c>
      <c r="T44" s="36">
        <v>10</v>
      </c>
      <c r="U44" s="36">
        <v>20</v>
      </c>
      <c r="V44" s="36">
        <v>0</v>
      </c>
      <c r="W44" s="36">
        <v>20</v>
      </c>
      <c r="X44" s="36">
        <v>10</v>
      </c>
    </row>
    <row r="45" spans="2:24" x14ac:dyDescent="0.15">
      <c r="B45" s="36">
        <v>41</v>
      </c>
      <c r="C45" s="36">
        <f t="shared" si="0"/>
        <v>2788</v>
      </c>
      <c r="D45" s="36">
        <v>1</v>
      </c>
      <c r="E45" s="36">
        <v>2</v>
      </c>
      <c r="F45" s="36">
        <v>10</v>
      </c>
      <c r="G45" s="36">
        <v>2</v>
      </c>
      <c r="H45" s="36">
        <v>10</v>
      </c>
      <c r="I45" s="36">
        <v>1</v>
      </c>
      <c r="J45" s="36">
        <v>0</v>
      </c>
      <c r="K45" s="36">
        <f t="shared" si="1"/>
        <v>2788</v>
      </c>
      <c r="L45" s="36">
        <v>0</v>
      </c>
      <c r="M45" s="36">
        <v>15</v>
      </c>
      <c r="N45" s="36">
        <v>10</v>
      </c>
      <c r="O45" s="36">
        <v>5</v>
      </c>
      <c r="P45" s="36">
        <v>5</v>
      </c>
      <c r="Q45" s="36">
        <v>15</v>
      </c>
      <c r="R45" s="36">
        <v>0</v>
      </c>
      <c r="S45" s="36">
        <v>2</v>
      </c>
      <c r="T45" s="36">
        <v>10</v>
      </c>
      <c r="U45" s="36">
        <v>20</v>
      </c>
      <c r="V45" s="36">
        <v>0</v>
      </c>
      <c r="W45" s="36">
        <v>20</v>
      </c>
      <c r="X45" s="36">
        <v>10</v>
      </c>
    </row>
    <row r="46" spans="2:24" x14ac:dyDescent="0.15">
      <c r="B46" s="36">
        <v>42</v>
      </c>
      <c r="C46" s="36">
        <f t="shared" si="0"/>
        <v>2844</v>
      </c>
      <c r="D46" s="36">
        <v>1</v>
      </c>
      <c r="E46" s="36">
        <v>2</v>
      </c>
      <c r="F46" s="36">
        <v>10</v>
      </c>
      <c r="G46" s="36">
        <v>2</v>
      </c>
      <c r="H46" s="36">
        <v>10</v>
      </c>
      <c r="I46" s="36">
        <v>1</v>
      </c>
      <c r="J46" s="36">
        <v>0</v>
      </c>
      <c r="K46" s="36">
        <f t="shared" si="1"/>
        <v>2844</v>
      </c>
      <c r="L46" s="36">
        <v>0</v>
      </c>
      <c r="M46" s="36">
        <v>15</v>
      </c>
      <c r="N46" s="36">
        <v>10</v>
      </c>
      <c r="O46" s="36">
        <v>5</v>
      </c>
      <c r="P46" s="36">
        <v>5</v>
      </c>
      <c r="Q46" s="36">
        <v>15</v>
      </c>
      <c r="R46" s="36">
        <v>0</v>
      </c>
      <c r="S46" s="36">
        <v>2</v>
      </c>
      <c r="T46" s="36">
        <v>10</v>
      </c>
      <c r="U46" s="36">
        <v>20</v>
      </c>
      <c r="V46" s="36">
        <v>0</v>
      </c>
      <c r="W46" s="36">
        <v>20</v>
      </c>
      <c r="X46" s="36">
        <v>10</v>
      </c>
    </row>
    <row r="47" spans="2:24" x14ac:dyDescent="0.15">
      <c r="B47" s="36">
        <v>43</v>
      </c>
      <c r="C47" s="36">
        <f t="shared" si="0"/>
        <v>2902</v>
      </c>
      <c r="D47" s="36">
        <v>1</v>
      </c>
      <c r="E47" s="36">
        <v>2</v>
      </c>
      <c r="F47" s="36">
        <v>10</v>
      </c>
      <c r="G47" s="36">
        <v>2</v>
      </c>
      <c r="H47" s="36">
        <v>10</v>
      </c>
      <c r="I47" s="36">
        <v>1</v>
      </c>
      <c r="J47" s="36">
        <v>0</v>
      </c>
      <c r="K47" s="36">
        <f t="shared" si="1"/>
        <v>2902</v>
      </c>
      <c r="L47" s="36">
        <v>0</v>
      </c>
      <c r="M47" s="36">
        <v>15</v>
      </c>
      <c r="N47" s="36">
        <v>10</v>
      </c>
      <c r="O47" s="36">
        <v>5</v>
      </c>
      <c r="P47" s="36">
        <v>5</v>
      </c>
      <c r="Q47" s="36">
        <v>15</v>
      </c>
      <c r="R47" s="36">
        <v>0</v>
      </c>
      <c r="S47" s="36">
        <v>2</v>
      </c>
      <c r="T47" s="36">
        <v>10</v>
      </c>
      <c r="U47" s="36">
        <v>20</v>
      </c>
      <c r="V47" s="36">
        <v>0</v>
      </c>
      <c r="W47" s="36">
        <v>20</v>
      </c>
      <c r="X47" s="36">
        <v>10</v>
      </c>
    </row>
    <row r="48" spans="2:24" x14ac:dyDescent="0.15">
      <c r="B48" s="36">
        <v>44</v>
      </c>
      <c r="C48" s="36">
        <f t="shared" si="0"/>
        <v>2959</v>
      </c>
      <c r="D48" s="36">
        <v>1</v>
      </c>
      <c r="E48" s="36">
        <v>2</v>
      </c>
      <c r="F48" s="36">
        <v>10</v>
      </c>
      <c r="G48" s="36">
        <v>2</v>
      </c>
      <c r="H48" s="36">
        <v>10</v>
      </c>
      <c r="I48" s="36">
        <v>1</v>
      </c>
      <c r="J48" s="36">
        <v>0</v>
      </c>
      <c r="K48" s="36">
        <f t="shared" si="1"/>
        <v>2959</v>
      </c>
      <c r="L48" s="36">
        <v>0</v>
      </c>
      <c r="M48" s="36">
        <v>15</v>
      </c>
      <c r="N48" s="36">
        <v>10</v>
      </c>
      <c r="O48" s="36">
        <v>5</v>
      </c>
      <c r="P48" s="36">
        <v>5</v>
      </c>
      <c r="Q48" s="36">
        <v>15</v>
      </c>
      <c r="R48" s="36">
        <v>0</v>
      </c>
      <c r="S48" s="36">
        <v>2</v>
      </c>
      <c r="T48" s="36">
        <v>10</v>
      </c>
      <c r="U48" s="36">
        <v>20</v>
      </c>
      <c r="V48" s="36">
        <v>0</v>
      </c>
      <c r="W48" s="36">
        <v>20</v>
      </c>
      <c r="X48" s="36">
        <v>10</v>
      </c>
    </row>
    <row r="49" spans="2:24" x14ac:dyDescent="0.15">
      <c r="B49" s="36">
        <v>45</v>
      </c>
      <c r="C49" s="36">
        <f t="shared" si="0"/>
        <v>3017</v>
      </c>
      <c r="D49" s="36">
        <v>1</v>
      </c>
      <c r="E49" s="36">
        <v>2</v>
      </c>
      <c r="F49" s="36">
        <v>10</v>
      </c>
      <c r="G49" s="36">
        <v>2</v>
      </c>
      <c r="H49" s="36">
        <v>10</v>
      </c>
      <c r="I49" s="36">
        <v>1</v>
      </c>
      <c r="J49" s="36">
        <v>0</v>
      </c>
      <c r="K49" s="36">
        <f t="shared" si="1"/>
        <v>3017</v>
      </c>
      <c r="L49" s="36">
        <v>0</v>
      </c>
      <c r="M49" s="36">
        <v>15</v>
      </c>
      <c r="N49" s="36">
        <v>10</v>
      </c>
      <c r="O49" s="36">
        <v>5</v>
      </c>
      <c r="P49" s="36">
        <v>5</v>
      </c>
      <c r="Q49" s="36">
        <v>15</v>
      </c>
      <c r="R49" s="36">
        <v>0</v>
      </c>
      <c r="S49" s="36">
        <v>2</v>
      </c>
      <c r="T49" s="36">
        <v>10</v>
      </c>
      <c r="U49" s="36">
        <v>20</v>
      </c>
      <c r="V49" s="36">
        <v>0</v>
      </c>
      <c r="W49" s="36">
        <v>20</v>
      </c>
      <c r="X49" s="36">
        <v>10</v>
      </c>
    </row>
    <row r="50" spans="2:24" x14ac:dyDescent="0.15">
      <c r="B50" s="36">
        <v>46</v>
      </c>
      <c r="C50" s="36">
        <f t="shared" si="0"/>
        <v>3076</v>
      </c>
      <c r="D50" s="36">
        <v>1</v>
      </c>
      <c r="E50" s="36">
        <v>2</v>
      </c>
      <c r="F50" s="36">
        <v>10</v>
      </c>
      <c r="G50" s="36">
        <v>2</v>
      </c>
      <c r="H50" s="36">
        <v>10</v>
      </c>
      <c r="I50" s="36">
        <v>1</v>
      </c>
      <c r="J50" s="36">
        <v>0</v>
      </c>
      <c r="K50" s="36">
        <f t="shared" si="1"/>
        <v>3076</v>
      </c>
      <c r="L50" s="36">
        <v>0</v>
      </c>
      <c r="M50" s="36">
        <v>15</v>
      </c>
      <c r="N50" s="36">
        <v>10</v>
      </c>
      <c r="O50" s="36">
        <v>5</v>
      </c>
      <c r="P50" s="36">
        <v>5</v>
      </c>
      <c r="Q50" s="36">
        <v>15</v>
      </c>
      <c r="R50" s="36">
        <v>0</v>
      </c>
      <c r="S50" s="36">
        <v>2</v>
      </c>
      <c r="T50" s="36">
        <v>10</v>
      </c>
      <c r="U50" s="36">
        <v>20</v>
      </c>
      <c r="V50" s="36">
        <v>0</v>
      </c>
      <c r="W50" s="36">
        <v>20</v>
      </c>
      <c r="X50" s="36">
        <v>10</v>
      </c>
    </row>
    <row r="51" spans="2:24" x14ac:dyDescent="0.15">
      <c r="B51" s="36">
        <v>47</v>
      </c>
      <c r="C51" s="36">
        <f t="shared" si="0"/>
        <v>3134</v>
      </c>
      <c r="D51" s="36">
        <v>1</v>
      </c>
      <c r="E51" s="36">
        <v>2</v>
      </c>
      <c r="F51" s="36">
        <v>10</v>
      </c>
      <c r="G51" s="36">
        <v>2</v>
      </c>
      <c r="H51" s="36">
        <v>10</v>
      </c>
      <c r="I51" s="36">
        <v>1</v>
      </c>
      <c r="J51" s="36">
        <v>0</v>
      </c>
      <c r="K51" s="36">
        <f t="shared" si="1"/>
        <v>3134</v>
      </c>
      <c r="L51" s="36">
        <v>0</v>
      </c>
      <c r="M51" s="36">
        <v>15</v>
      </c>
      <c r="N51" s="36">
        <v>10</v>
      </c>
      <c r="O51" s="36">
        <v>5</v>
      </c>
      <c r="P51" s="36">
        <v>5</v>
      </c>
      <c r="Q51" s="36">
        <v>15</v>
      </c>
      <c r="R51" s="36">
        <v>0</v>
      </c>
      <c r="S51" s="36">
        <v>2</v>
      </c>
      <c r="T51" s="36">
        <v>10</v>
      </c>
      <c r="U51" s="36">
        <v>20</v>
      </c>
      <c r="V51" s="36">
        <v>0</v>
      </c>
      <c r="W51" s="36">
        <v>20</v>
      </c>
      <c r="X51" s="36">
        <v>10</v>
      </c>
    </row>
    <row r="52" spans="2:24" x14ac:dyDescent="0.15">
      <c r="B52" s="36">
        <v>48</v>
      </c>
      <c r="C52" s="36">
        <f t="shared" si="0"/>
        <v>3194</v>
      </c>
      <c r="D52" s="36">
        <v>1</v>
      </c>
      <c r="E52" s="36">
        <v>2</v>
      </c>
      <c r="F52" s="36">
        <v>10</v>
      </c>
      <c r="G52" s="36">
        <v>2</v>
      </c>
      <c r="H52" s="36">
        <v>10</v>
      </c>
      <c r="I52" s="36">
        <v>1</v>
      </c>
      <c r="J52" s="36">
        <v>0</v>
      </c>
      <c r="K52" s="36">
        <f t="shared" si="1"/>
        <v>3194</v>
      </c>
      <c r="L52" s="36">
        <v>0</v>
      </c>
      <c r="M52" s="36">
        <v>15</v>
      </c>
      <c r="N52" s="36">
        <v>10</v>
      </c>
      <c r="O52" s="36">
        <v>5</v>
      </c>
      <c r="P52" s="36">
        <v>5</v>
      </c>
      <c r="Q52" s="36">
        <v>15</v>
      </c>
      <c r="R52" s="36">
        <v>0</v>
      </c>
      <c r="S52" s="36">
        <v>2</v>
      </c>
      <c r="T52" s="36">
        <v>10</v>
      </c>
      <c r="U52" s="36">
        <v>20</v>
      </c>
      <c r="V52" s="36">
        <v>0</v>
      </c>
      <c r="W52" s="36">
        <v>20</v>
      </c>
      <c r="X52" s="36">
        <v>10</v>
      </c>
    </row>
    <row r="53" spans="2:24" x14ac:dyDescent="0.15">
      <c r="B53" s="36">
        <v>49</v>
      </c>
      <c r="C53" s="36">
        <f t="shared" si="0"/>
        <v>3253</v>
      </c>
      <c r="D53" s="36">
        <v>1</v>
      </c>
      <c r="E53" s="36">
        <v>2</v>
      </c>
      <c r="F53" s="36">
        <v>10</v>
      </c>
      <c r="G53" s="36">
        <v>2</v>
      </c>
      <c r="H53" s="36">
        <v>10</v>
      </c>
      <c r="I53" s="36">
        <v>1</v>
      </c>
      <c r="J53" s="36">
        <v>0</v>
      </c>
      <c r="K53" s="36">
        <f t="shared" si="1"/>
        <v>3253</v>
      </c>
      <c r="L53" s="36">
        <v>0</v>
      </c>
      <c r="M53" s="36">
        <v>15</v>
      </c>
      <c r="N53" s="36">
        <v>10</v>
      </c>
      <c r="O53" s="36">
        <v>5</v>
      </c>
      <c r="P53" s="36">
        <v>5</v>
      </c>
      <c r="Q53" s="36">
        <v>15</v>
      </c>
      <c r="R53" s="36">
        <v>0</v>
      </c>
      <c r="S53" s="36">
        <v>2</v>
      </c>
      <c r="T53" s="36">
        <v>10</v>
      </c>
      <c r="U53" s="36">
        <v>20</v>
      </c>
      <c r="V53" s="36">
        <v>0</v>
      </c>
      <c r="W53" s="36">
        <v>20</v>
      </c>
      <c r="X53" s="36">
        <v>10</v>
      </c>
    </row>
    <row r="54" spans="2:24" x14ac:dyDescent="0.15">
      <c r="B54" s="36">
        <v>50</v>
      </c>
      <c r="C54" s="36">
        <f t="shared" si="0"/>
        <v>3313</v>
      </c>
      <c r="D54" s="36">
        <v>1</v>
      </c>
      <c r="E54" s="36">
        <v>2</v>
      </c>
      <c r="F54" s="36">
        <v>10</v>
      </c>
      <c r="G54" s="36">
        <v>2</v>
      </c>
      <c r="H54" s="36">
        <v>10</v>
      </c>
      <c r="I54" s="36">
        <v>1</v>
      </c>
      <c r="J54" s="36">
        <v>0</v>
      </c>
      <c r="K54" s="36">
        <f t="shared" si="1"/>
        <v>3313</v>
      </c>
      <c r="L54" s="36">
        <v>0</v>
      </c>
      <c r="M54" s="36">
        <v>15</v>
      </c>
      <c r="N54" s="36">
        <v>10</v>
      </c>
      <c r="O54" s="36">
        <v>5</v>
      </c>
      <c r="P54" s="36">
        <v>5</v>
      </c>
      <c r="Q54" s="36">
        <v>15</v>
      </c>
      <c r="R54" s="36">
        <v>0</v>
      </c>
      <c r="S54" s="36">
        <v>2</v>
      </c>
      <c r="T54" s="36">
        <v>10</v>
      </c>
      <c r="U54" s="36">
        <v>20</v>
      </c>
      <c r="V54" s="36">
        <v>0</v>
      </c>
      <c r="W54" s="36">
        <v>20</v>
      </c>
      <c r="X54" s="36">
        <v>10</v>
      </c>
    </row>
  </sheetData>
  <mergeCells count="11">
    <mergeCell ref="M3:N3"/>
    <mergeCell ref="C3:D3"/>
    <mergeCell ref="E3:F3"/>
    <mergeCell ref="G3:H3"/>
    <mergeCell ref="I3:J3"/>
    <mergeCell ref="K3:L3"/>
    <mergeCell ref="O3:P3"/>
    <mergeCell ref="Q3:R3"/>
    <mergeCell ref="S3:T3"/>
    <mergeCell ref="U3:V3"/>
    <mergeCell ref="W3:X3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D1:CN178"/>
  <sheetViews>
    <sheetView workbookViewId="0">
      <pane ySplit="2" topLeftCell="A3" activePane="bottomLeft" state="frozen"/>
      <selection pane="bottomLeft" activeCell="L7" sqref="L7"/>
    </sheetView>
  </sheetViews>
  <sheetFormatPr defaultRowHeight="12" x14ac:dyDescent="0.15"/>
  <cols>
    <col min="1" max="7" width="9" style="36"/>
    <col min="8" max="9" width="11.375" style="36" bestFit="1" customWidth="1"/>
    <col min="10" max="10" width="8" style="36" bestFit="1" customWidth="1"/>
    <col min="11" max="11" width="9" style="36"/>
    <col min="12" max="12" width="82.125" style="36" customWidth="1"/>
    <col min="13" max="22" width="9" style="36"/>
    <col min="23" max="23" width="11.375" style="36" bestFit="1" customWidth="1"/>
    <col min="24" max="25" width="11.375" style="36" customWidth="1"/>
    <col min="26" max="30" width="9" style="36"/>
    <col min="31" max="31" width="11.375" style="36" bestFit="1" customWidth="1"/>
    <col min="32" max="33" width="11.375" style="36" customWidth="1"/>
    <col min="34" max="16384" width="9" style="36"/>
  </cols>
  <sheetData>
    <row r="1" spans="4:92" x14ac:dyDescent="0.15">
      <c r="F1" s="36" t="s">
        <v>876</v>
      </c>
      <c r="G1" s="108" t="s">
        <v>870</v>
      </c>
      <c r="H1" s="111" t="s">
        <v>871</v>
      </c>
      <c r="I1" s="111" t="s">
        <v>872</v>
      </c>
      <c r="J1" s="108" t="s">
        <v>873</v>
      </c>
      <c r="K1" s="108" t="s">
        <v>874</v>
      </c>
      <c r="L1" s="108" t="s">
        <v>875</v>
      </c>
      <c r="P1" s="41"/>
      <c r="X1" s="41"/>
      <c r="AF1" s="41"/>
      <c r="AN1" s="41"/>
      <c r="AW1" s="41"/>
      <c r="BF1" s="41"/>
      <c r="BO1" s="41"/>
      <c r="BX1" s="41"/>
      <c r="CG1" s="41"/>
      <c r="CN1" s="80"/>
    </row>
    <row r="2" spans="4:92" x14ac:dyDescent="0.15">
      <c r="D2" s="212" t="s">
        <v>878</v>
      </c>
      <c r="E2" s="212"/>
      <c r="G2" s="36" t="s">
        <v>911</v>
      </c>
      <c r="O2" s="107" t="s">
        <v>680</v>
      </c>
      <c r="P2" s="80" t="s">
        <v>867</v>
      </c>
      <c r="Q2" s="80" t="s">
        <v>868</v>
      </c>
      <c r="R2" s="36" t="s">
        <v>682</v>
      </c>
      <c r="S2" s="36" t="s">
        <v>683</v>
      </c>
      <c r="T2" s="36" t="s">
        <v>684</v>
      </c>
      <c r="U2" s="36" t="s">
        <v>866</v>
      </c>
      <c r="W2" s="107" t="s">
        <v>770</v>
      </c>
      <c r="X2" s="80" t="s">
        <v>867</v>
      </c>
      <c r="Y2" s="80" t="s">
        <v>868</v>
      </c>
      <c r="Z2" s="36" t="s">
        <v>682</v>
      </c>
      <c r="AA2" s="36" t="s">
        <v>683</v>
      </c>
      <c r="AB2" s="36" t="s">
        <v>684</v>
      </c>
      <c r="AC2" s="36" t="s">
        <v>866</v>
      </c>
      <c r="AE2" s="108" t="s">
        <v>771</v>
      </c>
      <c r="AF2" s="80" t="s">
        <v>867</v>
      </c>
      <c r="AG2" s="80" t="s">
        <v>868</v>
      </c>
      <c r="AH2" s="36" t="s">
        <v>682</v>
      </c>
      <c r="AI2" s="36" t="s">
        <v>683</v>
      </c>
      <c r="AJ2" s="36" t="s">
        <v>684</v>
      </c>
      <c r="AK2" s="36" t="s">
        <v>866</v>
      </c>
      <c r="AM2" s="108" t="s">
        <v>879</v>
      </c>
      <c r="AN2" s="80" t="s">
        <v>867</v>
      </c>
      <c r="AO2" s="80" t="s">
        <v>868</v>
      </c>
      <c r="AP2" s="36" t="s">
        <v>682</v>
      </c>
      <c r="AQ2" s="36" t="s">
        <v>683</v>
      </c>
      <c r="AR2" s="36" t="s">
        <v>684</v>
      </c>
      <c r="AS2" s="36" t="s">
        <v>866</v>
      </c>
      <c r="AV2" s="108" t="s">
        <v>889</v>
      </c>
      <c r="AW2" s="80" t="s">
        <v>867</v>
      </c>
      <c r="AX2" s="80" t="s">
        <v>868</v>
      </c>
      <c r="AY2" s="36" t="s">
        <v>682</v>
      </c>
      <c r="AZ2" s="36" t="s">
        <v>683</v>
      </c>
      <c r="BA2" s="36" t="s">
        <v>684</v>
      </c>
      <c r="BB2" s="36" t="s">
        <v>866</v>
      </c>
      <c r="BE2" s="108" t="s">
        <v>890</v>
      </c>
      <c r="BF2" s="80" t="s">
        <v>867</v>
      </c>
      <c r="BG2" s="80" t="s">
        <v>868</v>
      </c>
      <c r="BH2" s="36" t="s">
        <v>682</v>
      </c>
      <c r="BI2" s="36" t="s">
        <v>683</v>
      </c>
      <c r="BJ2" s="36" t="s">
        <v>684</v>
      </c>
      <c r="BK2" s="36" t="s">
        <v>866</v>
      </c>
      <c r="BN2" s="108" t="s">
        <v>891</v>
      </c>
      <c r="BO2" s="80" t="s">
        <v>867</v>
      </c>
      <c r="BP2" s="80" t="s">
        <v>868</v>
      </c>
      <c r="BQ2" s="36" t="s">
        <v>682</v>
      </c>
      <c r="BR2" s="36" t="s">
        <v>683</v>
      </c>
      <c r="BS2" s="36" t="s">
        <v>684</v>
      </c>
      <c r="BT2" s="36" t="s">
        <v>866</v>
      </c>
      <c r="BW2" s="108" t="s">
        <v>892</v>
      </c>
      <c r="BX2" s="80" t="s">
        <v>867</v>
      </c>
      <c r="BY2" s="80" t="s">
        <v>868</v>
      </c>
      <c r="BZ2" s="36" t="s">
        <v>682</v>
      </c>
      <c r="CA2" s="36" t="s">
        <v>683</v>
      </c>
      <c r="CB2" s="36" t="s">
        <v>684</v>
      </c>
      <c r="CC2" s="36" t="s">
        <v>866</v>
      </c>
      <c r="CF2" s="108" t="s">
        <v>893</v>
      </c>
      <c r="CG2" s="80" t="s">
        <v>867</v>
      </c>
      <c r="CH2" s="80" t="s">
        <v>868</v>
      </c>
      <c r="CI2" s="36" t="s">
        <v>682</v>
      </c>
      <c r="CJ2" s="36" t="s">
        <v>683</v>
      </c>
      <c r="CK2" s="36" t="s">
        <v>684</v>
      </c>
      <c r="CL2" s="36" t="s">
        <v>866</v>
      </c>
      <c r="CN2" s="109"/>
    </row>
    <row r="3" spans="4:92" x14ac:dyDescent="0.15">
      <c r="F3" s="36">
        <v>1</v>
      </c>
      <c r="G3" s="36">
        <v>70090000</v>
      </c>
      <c r="H3" s="108">
        <v>0</v>
      </c>
      <c r="I3" s="108">
        <v>1</v>
      </c>
      <c r="J3" s="108">
        <v>1</v>
      </c>
      <c r="K3" s="108">
        <v>1000</v>
      </c>
      <c r="L3" s="36" t="s">
        <v>912</v>
      </c>
      <c r="M3" s="36" t="s">
        <v>877</v>
      </c>
      <c r="O3" s="100" t="s">
        <v>484</v>
      </c>
      <c r="P3" s="109">
        <v>1</v>
      </c>
      <c r="Q3" s="36">
        <v>10</v>
      </c>
      <c r="R3" s="108">
        <v>30000100</v>
      </c>
      <c r="S3" s="36">
        <v>200</v>
      </c>
      <c r="T3" s="36">
        <v>1</v>
      </c>
      <c r="U3" s="36">
        <v>1</v>
      </c>
      <c r="W3" s="100" t="s">
        <v>685</v>
      </c>
      <c r="X3" s="109">
        <v>1</v>
      </c>
      <c r="Y3" s="36">
        <v>10</v>
      </c>
      <c r="Z3" s="108">
        <v>30100100</v>
      </c>
      <c r="AA3" s="36">
        <v>100</v>
      </c>
      <c r="AB3" s="36">
        <v>1</v>
      </c>
      <c r="AC3" s="36">
        <v>1</v>
      </c>
      <c r="AE3" s="36" t="s">
        <v>486</v>
      </c>
      <c r="AF3" s="109">
        <v>1</v>
      </c>
      <c r="AG3" s="36">
        <v>10</v>
      </c>
      <c r="AH3" s="108">
        <v>30200100</v>
      </c>
      <c r="AI3" s="36">
        <v>100</v>
      </c>
      <c r="AJ3" s="36">
        <v>1</v>
      </c>
      <c r="AK3" s="36">
        <v>1</v>
      </c>
      <c r="AM3" s="36" t="s">
        <v>880</v>
      </c>
      <c r="AN3" s="36">
        <v>1</v>
      </c>
      <c r="AO3" s="36">
        <v>50</v>
      </c>
      <c r="AP3" s="108">
        <v>30300001</v>
      </c>
      <c r="AQ3" s="36">
        <v>50</v>
      </c>
      <c r="AR3" s="36">
        <v>1</v>
      </c>
      <c r="AS3" s="36">
        <v>1</v>
      </c>
      <c r="AU3" s="80" t="s">
        <v>869</v>
      </c>
      <c r="AV3" s="36" t="s">
        <v>778</v>
      </c>
      <c r="AW3" s="36">
        <v>1</v>
      </c>
      <c r="AX3" s="109">
        <v>10</v>
      </c>
      <c r="AY3" s="109">
        <v>20000100</v>
      </c>
      <c r="AZ3" s="36">
        <v>1000</v>
      </c>
      <c r="BA3" s="109">
        <v>1</v>
      </c>
      <c r="BB3" s="36">
        <v>1</v>
      </c>
      <c r="BD3" s="80" t="s">
        <v>869</v>
      </c>
      <c r="BE3" s="36" t="s">
        <v>778</v>
      </c>
      <c r="BF3" s="36">
        <v>1</v>
      </c>
      <c r="BG3" s="109">
        <v>10</v>
      </c>
      <c r="BH3" s="110">
        <v>20000101</v>
      </c>
      <c r="BI3" s="36">
        <v>1000</v>
      </c>
      <c r="BJ3" s="109">
        <v>1</v>
      </c>
      <c r="BK3" s="36">
        <v>1</v>
      </c>
      <c r="BM3" s="80" t="s">
        <v>869</v>
      </c>
      <c r="BN3" s="36" t="s">
        <v>778</v>
      </c>
      <c r="BO3" s="36">
        <v>1</v>
      </c>
      <c r="BP3" s="109">
        <v>10</v>
      </c>
      <c r="BQ3" s="109">
        <v>20000102</v>
      </c>
      <c r="BR3" s="36">
        <v>1000</v>
      </c>
      <c r="BS3" s="109">
        <v>1</v>
      </c>
      <c r="BT3" s="36">
        <v>1</v>
      </c>
      <c r="BV3" s="80" t="s">
        <v>869</v>
      </c>
      <c r="BW3" s="36" t="s">
        <v>778</v>
      </c>
      <c r="BX3" s="36">
        <v>1</v>
      </c>
      <c r="BY3" s="109">
        <v>10</v>
      </c>
      <c r="BZ3" s="109">
        <v>20000103</v>
      </c>
      <c r="CA3" s="36">
        <v>1000</v>
      </c>
      <c r="CB3" s="109">
        <v>1</v>
      </c>
      <c r="CC3" s="36">
        <v>1</v>
      </c>
      <c r="CE3" s="80" t="s">
        <v>869</v>
      </c>
      <c r="CF3" s="36" t="s">
        <v>778</v>
      </c>
      <c r="CG3" s="36">
        <v>1</v>
      </c>
      <c r="CH3" s="109">
        <v>10</v>
      </c>
      <c r="CI3" s="109">
        <v>20000104</v>
      </c>
      <c r="CJ3" s="36">
        <v>1000</v>
      </c>
      <c r="CK3" s="109">
        <v>1</v>
      </c>
      <c r="CL3" s="36">
        <v>1</v>
      </c>
      <c r="CN3" s="109"/>
    </row>
    <row r="4" spans="4:92" x14ac:dyDescent="0.15">
      <c r="D4" s="206"/>
      <c r="E4" s="207"/>
      <c r="F4" s="36">
        <v>2</v>
      </c>
      <c r="G4" s="36">
        <v>70090001</v>
      </c>
      <c r="H4" s="108">
        <v>0</v>
      </c>
      <c r="I4" s="108">
        <v>1</v>
      </c>
      <c r="J4" s="108">
        <v>1</v>
      </c>
      <c r="K4" s="108">
        <v>1000</v>
      </c>
      <c r="L4" s="36" t="s">
        <v>912</v>
      </c>
      <c r="M4" s="36" t="s">
        <v>877</v>
      </c>
      <c r="O4" s="100" t="s">
        <v>488</v>
      </c>
      <c r="P4" s="109">
        <v>11</v>
      </c>
      <c r="Q4" s="36">
        <v>20</v>
      </c>
      <c r="R4" s="108">
        <v>30000101</v>
      </c>
      <c r="S4" s="36">
        <v>200</v>
      </c>
      <c r="T4" s="36">
        <v>1</v>
      </c>
      <c r="U4" s="36">
        <v>1</v>
      </c>
      <c r="W4" s="100" t="s">
        <v>686</v>
      </c>
      <c r="X4" s="109">
        <v>11</v>
      </c>
      <c r="Y4" s="36">
        <v>20</v>
      </c>
      <c r="Z4" s="108">
        <v>30100101</v>
      </c>
      <c r="AA4" s="36">
        <v>100</v>
      </c>
      <c r="AB4" s="36">
        <v>1</v>
      </c>
      <c r="AC4" s="36">
        <v>1</v>
      </c>
      <c r="AE4" s="36" t="s">
        <v>490</v>
      </c>
      <c r="AF4" s="109">
        <v>11</v>
      </c>
      <c r="AG4" s="36">
        <v>20</v>
      </c>
      <c r="AH4" s="108">
        <v>30200101</v>
      </c>
      <c r="AI4" s="36">
        <v>100</v>
      </c>
      <c r="AJ4" s="36">
        <v>1</v>
      </c>
      <c r="AK4" s="36">
        <v>1</v>
      </c>
      <c r="AM4" s="36" t="s">
        <v>881</v>
      </c>
      <c r="AN4" s="36">
        <v>1</v>
      </c>
      <c r="AO4" s="36">
        <v>50</v>
      </c>
      <c r="AP4" s="108">
        <v>30300002</v>
      </c>
      <c r="AQ4" s="36">
        <v>50</v>
      </c>
      <c r="AR4" s="36">
        <v>1</v>
      </c>
      <c r="AS4" s="36">
        <v>1</v>
      </c>
      <c r="AU4" s="109"/>
      <c r="AV4" s="36" t="s">
        <v>779</v>
      </c>
      <c r="AW4" s="109">
        <v>5</v>
      </c>
      <c r="AX4" s="109">
        <v>15</v>
      </c>
      <c r="AY4" s="110">
        <v>20000500</v>
      </c>
      <c r="AZ4" s="36">
        <v>1000</v>
      </c>
      <c r="BA4" s="109">
        <v>1</v>
      </c>
      <c r="BB4" s="36">
        <v>1</v>
      </c>
      <c r="BD4" s="109"/>
      <c r="BE4" s="36" t="s">
        <v>779</v>
      </c>
      <c r="BF4" s="109">
        <v>5</v>
      </c>
      <c r="BG4" s="109">
        <v>15</v>
      </c>
      <c r="BH4" s="110">
        <v>20000501</v>
      </c>
      <c r="BI4" s="36">
        <v>1000</v>
      </c>
      <c r="BJ4" s="109">
        <v>1</v>
      </c>
      <c r="BK4" s="36">
        <v>1</v>
      </c>
      <c r="BM4" s="109"/>
      <c r="BN4" s="36" t="s">
        <v>779</v>
      </c>
      <c r="BO4" s="109">
        <v>5</v>
      </c>
      <c r="BP4" s="109">
        <v>15</v>
      </c>
      <c r="BQ4" s="110">
        <v>20000502</v>
      </c>
      <c r="BR4" s="36">
        <v>1000</v>
      </c>
      <c r="BS4" s="109">
        <v>1</v>
      </c>
      <c r="BT4" s="36">
        <v>1</v>
      </c>
      <c r="BV4" s="109"/>
      <c r="BW4" s="36" t="s">
        <v>779</v>
      </c>
      <c r="BX4" s="109">
        <v>5</v>
      </c>
      <c r="BY4" s="109">
        <v>15</v>
      </c>
      <c r="BZ4" s="110">
        <v>20000503</v>
      </c>
      <c r="CA4" s="36">
        <v>1000</v>
      </c>
      <c r="CB4" s="109">
        <v>1</v>
      </c>
      <c r="CC4" s="36">
        <v>1</v>
      </c>
      <c r="CE4" s="109"/>
      <c r="CF4" s="36" t="s">
        <v>779</v>
      </c>
      <c r="CG4" s="109">
        <v>5</v>
      </c>
      <c r="CH4" s="109">
        <v>15</v>
      </c>
      <c r="CI4" s="110">
        <v>20000504</v>
      </c>
      <c r="CJ4" s="36">
        <v>1000</v>
      </c>
      <c r="CK4" s="109">
        <v>1</v>
      </c>
      <c r="CL4" s="36">
        <v>1</v>
      </c>
      <c r="CN4" s="109"/>
    </row>
    <row r="5" spans="4:92" x14ac:dyDescent="0.15">
      <c r="D5" s="208"/>
      <c r="E5" s="209"/>
      <c r="F5" s="36">
        <v>3</v>
      </c>
      <c r="G5" s="36">
        <v>70090002</v>
      </c>
      <c r="H5" s="108">
        <v>0</v>
      </c>
      <c r="I5" s="108">
        <v>1</v>
      </c>
      <c r="J5" s="108">
        <v>1</v>
      </c>
      <c r="K5" s="108">
        <v>1000</v>
      </c>
      <c r="L5" s="36" t="s">
        <v>912</v>
      </c>
      <c r="M5" s="36" t="s">
        <v>877</v>
      </c>
      <c r="O5" s="100" t="s">
        <v>492</v>
      </c>
      <c r="P5" s="109">
        <v>21</v>
      </c>
      <c r="Q5" s="36">
        <v>30</v>
      </c>
      <c r="R5" s="108">
        <v>30000102</v>
      </c>
      <c r="S5" s="36">
        <v>200</v>
      </c>
      <c r="T5" s="36">
        <v>1</v>
      </c>
      <c r="U5" s="36">
        <v>1</v>
      </c>
      <c r="W5" s="100" t="s">
        <v>687</v>
      </c>
      <c r="X5" s="109">
        <v>21</v>
      </c>
      <c r="Y5" s="36">
        <v>30</v>
      </c>
      <c r="Z5" s="108">
        <v>30100102</v>
      </c>
      <c r="AA5" s="36">
        <v>100</v>
      </c>
      <c r="AB5" s="36">
        <v>1</v>
      </c>
      <c r="AC5" s="36">
        <v>1</v>
      </c>
      <c r="AE5" s="36" t="s">
        <v>494</v>
      </c>
      <c r="AF5" s="109">
        <v>21</v>
      </c>
      <c r="AG5" s="36">
        <v>30</v>
      </c>
      <c r="AH5" s="108">
        <v>30200102</v>
      </c>
      <c r="AI5" s="36">
        <v>100</v>
      </c>
      <c r="AJ5" s="36">
        <v>1</v>
      </c>
      <c r="AK5" s="36">
        <v>1</v>
      </c>
      <c r="AM5" s="36" t="s">
        <v>882</v>
      </c>
      <c r="AN5" s="36">
        <v>1</v>
      </c>
      <c r="AO5" s="36">
        <v>50</v>
      </c>
      <c r="AP5" s="108">
        <v>30300003</v>
      </c>
      <c r="AQ5" s="36">
        <v>50</v>
      </c>
      <c r="AR5" s="36">
        <v>1</v>
      </c>
      <c r="AS5" s="36">
        <v>1</v>
      </c>
      <c r="AU5" s="109"/>
      <c r="AV5" s="36" t="s">
        <v>780</v>
      </c>
      <c r="AW5" s="109">
        <v>10</v>
      </c>
      <c r="AX5" s="109">
        <v>20</v>
      </c>
      <c r="AY5" s="110">
        <v>20001000</v>
      </c>
      <c r="AZ5" s="36">
        <v>1000</v>
      </c>
      <c r="BA5" s="109">
        <v>1</v>
      </c>
      <c r="BB5" s="36">
        <v>1</v>
      </c>
      <c r="BD5" s="109"/>
      <c r="BE5" s="36" t="s">
        <v>780</v>
      </c>
      <c r="BF5" s="109">
        <v>10</v>
      </c>
      <c r="BG5" s="109">
        <v>20</v>
      </c>
      <c r="BH5" s="110">
        <v>20001001</v>
      </c>
      <c r="BI5" s="36">
        <v>1000</v>
      </c>
      <c r="BJ5" s="109">
        <v>1</v>
      </c>
      <c r="BK5" s="36">
        <v>1</v>
      </c>
      <c r="BM5" s="109"/>
      <c r="BN5" s="36" t="s">
        <v>780</v>
      </c>
      <c r="BO5" s="109">
        <v>10</v>
      </c>
      <c r="BP5" s="109">
        <v>20</v>
      </c>
      <c r="BQ5" s="110">
        <v>20001002</v>
      </c>
      <c r="BR5" s="36">
        <v>1000</v>
      </c>
      <c r="BS5" s="109">
        <v>1</v>
      </c>
      <c r="BT5" s="36">
        <v>1</v>
      </c>
      <c r="BV5" s="109"/>
      <c r="BW5" s="36" t="s">
        <v>780</v>
      </c>
      <c r="BX5" s="109">
        <v>10</v>
      </c>
      <c r="BY5" s="109">
        <v>20</v>
      </c>
      <c r="BZ5" s="110">
        <v>20001003</v>
      </c>
      <c r="CA5" s="36">
        <v>1000</v>
      </c>
      <c r="CB5" s="109">
        <v>1</v>
      </c>
      <c r="CC5" s="36">
        <v>1</v>
      </c>
      <c r="CE5" s="109"/>
      <c r="CF5" s="36" t="s">
        <v>780</v>
      </c>
      <c r="CG5" s="109">
        <v>10</v>
      </c>
      <c r="CH5" s="109">
        <v>20</v>
      </c>
      <c r="CI5" s="110">
        <v>20001004</v>
      </c>
      <c r="CJ5" s="36">
        <v>1000</v>
      </c>
      <c r="CK5" s="109">
        <v>1</v>
      </c>
      <c r="CL5" s="36">
        <v>1</v>
      </c>
      <c r="CN5" s="109"/>
    </row>
    <row r="6" spans="4:92" x14ac:dyDescent="0.15">
      <c r="D6" s="210"/>
      <c r="E6" s="211"/>
      <c r="F6" s="36">
        <v>4</v>
      </c>
      <c r="G6" s="36">
        <v>70090003</v>
      </c>
      <c r="H6" s="108">
        <v>0</v>
      </c>
      <c r="I6" s="108">
        <v>1</v>
      </c>
      <c r="J6" s="108">
        <v>1</v>
      </c>
      <c r="K6" s="108">
        <v>1000</v>
      </c>
      <c r="L6" s="36" t="s">
        <v>912</v>
      </c>
      <c r="M6" s="36" t="s">
        <v>877</v>
      </c>
      <c r="O6" s="100" t="s">
        <v>496</v>
      </c>
      <c r="P6" s="109">
        <v>31</v>
      </c>
      <c r="Q6" s="36">
        <v>40</v>
      </c>
      <c r="R6" s="108">
        <v>30000103</v>
      </c>
      <c r="S6" s="36">
        <v>200</v>
      </c>
      <c r="T6" s="36">
        <v>1</v>
      </c>
      <c r="U6" s="36">
        <v>1</v>
      </c>
      <c r="W6" s="100" t="s">
        <v>688</v>
      </c>
      <c r="X6" s="109">
        <v>31</v>
      </c>
      <c r="Y6" s="36">
        <v>40</v>
      </c>
      <c r="Z6" s="108">
        <v>30100103</v>
      </c>
      <c r="AA6" s="36">
        <v>100</v>
      </c>
      <c r="AB6" s="36">
        <v>1</v>
      </c>
      <c r="AC6" s="36">
        <v>1</v>
      </c>
      <c r="AE6" s="36" t="s">
        <v>498</v>
      </c>
      <c r="AF6" s="109">
        <v>31</v>
      </c>
      <c r="AG6" s="36">
        <v>40</v>
      </c>
      <c r="AH6" s="108">
        <v>30200103</v>
      </c>
      <c r="AI6" s="36">
        <v>100</v>
      </c>
      <c r="AJ6" s="36">
        <v>1</v>
      </c>
      <c r="AK6" s="36">
        <v>1</v>
      </c>
      <c r="AM6" s="36" t="s">
        <v>883</v>
      </c>
      <c r="AN6" s="36">
        <v>1</v>
      </c>
      <c r="AO6" s="36">
        <v>50</v>
      </c>
      <c r="AP6" s="108">
        <v>30300004</v>
      </c>
      <c r="AQ6" s="36">
        <v>50</v>
      </c>
      <c r="AR6" s="36">
        <v>1</v>
      </c>
      <c r="AS6" s="36">
        <v>1</v>
      </c>
      <c r="AU6" s="109"/>
      <c r="AV6" s="36" t="s">
        <v>781</v>
      </c>
      <c r="AW6" s="109">
        <v>15</v>
      </c>
      <c r="AX6" s="109">
        <v>25</v>
      </c>
      <c r="AY6" s="110">
        <v>20001500</v>
      </c>
      <c r="AZ6" s="36">
        <v>1000</v>
      </c>
      <c r="BA6" s="109">
        <v>1</v>
      </c>
      <c r="BB6" s="36">
        <v>1</v>
      </c>
      <c r="BD6" s="109"/>
      <c r="BE6" s="36" t="s">
        <v>781</v>
      </c>
      <c r="BF6" s="109">
        <v>15</v>
      </c>
      <c r="BG6" s="109">
        <v>25</v>
      </c>
      <c r="BH6" s="110">
        <v>20001501</v>
      </c>
      <c r="BI6" s="36">
        <v>1000</v>
      </c>
      <c r="BJ6" s="109">
        <v>1</v>
      </c>
      <c r="BK6" s="36">
        <v>1</v>
      </c>
      <c r="BM6" s="109"/>
      <c r="BN6" s="36" t="s">
        <v>781</v>
      </c>
      <c r="BO6" s="109">
        <v>15</v>
      </c>
      <c r="BP6" s="109">
        <v>25</v>
      </c>
      <c r="BQ6" s="110">
        <v>20001502</v>
      </c>
      <c r="BR6" s="36">
        <v>1000</v>
      </c>
      <c r="BS6" s="109">
        <v>1</v>
      </c>
      <c r="BT6" s="36">
        <v>1</v>
      </c>
      <c r="BV6" s="109"/>
      <c r="BW6" s="36" t="s">
        <v>781</v>
      </c>
      <c r="BX6" s="109">
        <v>15</v>
      </c>
      <c r="BY6" s="109">
        <v>25</v>
      </c>
      <c r="BZ6" s="110">
        <v>20001503</v>
      </c>
      <c r="CA6" s="36">
        <v>1000</v>
      </c>
      <c r="CB6" s="109">
        <v>1</v>
      </c>
      <c r="CC6" s="36">
        <v>1</v>
      </c>
      <c r="CE6" s="109"/>
      <c r="CF6" s="36" t="s">
        <v>781</v>
      </c>
      <c r="CG6" s="109">
        <v>15</v>
      </c>
      <c r="CH6" s="109">
        <v>25</v>
      </c>
      <c r="CI6" s="110">
        <v>20001504</v>
      </c>
      <c r="CJ6" s="36">
        <v>1000</v>
      </c>
      <c r="CK6" s="109">
        <v>1</v>
      </c>
      <c r="CL6" s="36">
        <v>1</v>
      </c>
      <c r="CN6" s="109"/>
    </row>
    <row r="7" spans="4:92" x14ac:dyDescent="0.15">
      <c r="F7" s="36">
        <v>5</v>
      </c>
      <c r="G7" s="36">
        <v>70090004</v>
      </c>
      <c r="H7" s="108">
        <v>0</v>
      </c>
      <c r="I7" s="108">
        <v>1</v>
      </c>
      <c r="J7" s="108">
        <v>1</v>
      </c>
      <c r="K7" s="108">
        <v>1000</v>
      </c>
      <c r="L7" s="36" t="s">
        <v>913</v>
      </c>
      <c r="M7" s="36" t="s">
        <v>877</v>
      </c>
      <c r="O7" s="100" t="s">
        <v>500</v>
      </c>
      <c r="P7" s="109">
        <v>41</v>
      </c>
      <c r="Q7" s="36">
        <v>50</v>
      </c>
      <c r="R7" s="108">
        <v>30000104</v>
      </c>
      <c r="S7" s="36">
        <v>200</v>
      </c>
      <c r="T7" s="36">
        <v>1</v>
      </c>
      <c r="U7" s="36">
        <v>1</v>
      </c>
      <c r="W7" s="100" t="s">
        <v>689</v>
      </c>
      <c r="X7" s="109">
        <v>41</v>
      </c>
      <c r="Y7" s="36">
        <v>50</v>
      </c>
      <c r="Z7" s="108">
        <v>30100104</v>
      </c>
      <c r="AA7" s="36">
        <v>100</v>
      </c>
      <c r="AB7" s="36">
        <v>1</v>
      </c>
      <c r="AC7" s="36">
        <v>1</v>
      </c>
      <c r="AE7" s="36" t="s">
        <v>502</v>
      </c>
      <c r="AF7" s="109">
        <v>41</v>
      </c>
      <c r="AG7" s="36">
        <v>50</v>
      </c>
      <c r="AH7" s="108">
        <v>30200104</v>
      </c>
      <c r="AI7" s="36">
        <v>100</v>
      </c>
      <c r="AJ7" s="36">
        <v>1</v>
      </c>
      <c r="AK7" s="36">
        <v>1</v>
      </c>
      <c r="AM7" s="36" t="s">
        <v>884</v>
      </c>
      <c r="AN7" s="36">
        <v>1</v>
      </c>
      <c r="AO7" s="36">
        <v>50</v>
      </c>
      <c r="AP7" s="108">
        <v>30300005</v>
      </c>
      <c r="AQ7" s="36">
        <v>50</v>
      </c>
      <c r="AR7" s="36">
        <v>1</v>
      </c>
      <c r="AS7" s="36">
        <v>1</v>
      </c>
      <c r="AU7" s="109"/>
      <c r="AV7" s="36" t="s">
        <v>782</v>
      </c>
      <c r="AW7" s="109">
        <v>20</v>
      </c>
      <c r="AX7" s="109">
        <v>30</v>
      </c>
      <c r="AY7" s="110">
        <v>20002000</v>
      </c>
      <c r="AZ7" s="36">
        <v>1000</v>
      </c>
      <c r="BA7" s="109">
        <v>1</v>
      </c>
      <c r="BB7" s="36">
        <v>1</v>
      </c>
      <c r="BD7" s="109"/>
      <c r="BE7" s="36" t="s">
        <v>782</v>
      </c>
      <c r="BF7" s="109">
        <v>20</v>
      </c>
      <c r="BG7" s="109">
        <v>30</v>
      </c>
      <c r="BH7" s="110">
        <v>20002001</v>
      </c>
      <c r="BI7" s="36">
        <v>1000</v>
      </c>
      <c r="BJ7" s="109">
        <v>1</v>
      </c>
      <c r="BK7" s="36">
        <v>1</v>
      </c>
      <c r="BM7" s="109"/>
      <c r="BN7" s="36" t="s">
        <v>782</v>
      </c>
      <c r="BO7" s="109">
        <v>20</v>
      </c>
      <c r="BP7" s="109">
        <v>30</v>
      </c>
      <c r="BQ7" s="110">
        <v>20002002</v>
      </c>
      <c r="BR7" s="36">
        <v>1000</v>
      </c>
      <c r="BS7" s="109">
        <v>1</v>
      </c>
      <c r="BT7" s="36">
        <v>1</v>
      </c>
      <c r="BV7" s="109"/>
      <c r="BW7" s="36" t="s">
        <v>782</v>
      </c>
      <c r="BX7" s="109">
        <v>20</v>
      </c>
      <c r="BY7" s="109">
        <v>30</v>
      </c>
      <c r="BZ7" s="110">
        <v>20002003</v>
      </c>
      <c r="CA7" s="36">
        <v>1000</v>
      </c>
      <c r="CB7" s="109">
        <v>1</v>
      </c>
      <c r="CC7" s="36">
        <v>1</v>
      </c>
      <c r="CE7" s="109"/>
      <c r="CF7" s="36" t="s">
        <v>782</v>
      </c>
      <c r="CG7" s="109">
        <v>20</v>
      </c>
      <c r="CH7" s="109">
        <v>30</v>
      </c>
      <c r="CI7" s="110">
        <v>20002004</v>
      </c>
      <c r="CJ7" s="36">
        <v>1000</v>
      </c>
      <c r="CK7" s="109">
        <v>1</v>
      </c>
      <c r="CL7" s="36">
        <v>1</v>
      </c>
      <c r="CN7" s="109"/>
    </row>
    <row r="8" spans="4:92" x14ac:dyDescent="0.15">
      <c r="D8" s="206"/>
      <c r="E8" s="207"/>
      <c r="F8" s="36">
        <v>6</v>
      </c>
      <c r="G8" s="36">
        <v>70090005</v>
      </c>
      <c r="H8" s="108">
        <v>0</v>
      </c>
      <c r="I8" s="108">
        <v>1</v>
      </c>
      <c r="J8" s="108">
        <v>1</v>
      </c>
      <c r="K8" s="108">
        <v>1000</v>
      </c>
      <c r="L8" s="36" t="s">
        <v>913</v>
      </c>
      <c r="M8" s="36" t="s">
        <v>877</v>
      </c>
      <c r="O8" s="100" t="s">
        <v>504</v>
      </c>
      <c r="P8" s="109">
        <v>1</v>
      </c>
      <c r="Q8" s="36">
        <v>10</v>
      </c>
      <c r="R8" s="108">
        <v>30000200</v>
      </c>
      <c r="S8" s="36">
        <v>200</v>
      </c>
      <c r="T8" s="36">
        <v>1</v>
      </c>
      <c r="U8" s="36">
        <v>1</v>
      </c>
      <c r="W8" s="100" t="s">
        <v>690</v>
      </c>
      <c r="X8" s="109">
        <v>1</v>
      </c>
      <c r="Y8" s="36">
        <v>10</v>
      </c>
      <c r="Z8" s="108">
        <v>30100200</v>
      </c>
      <c r="AA8" s="36">
        <v>100</v>
      </c>
      <c r="AB8" s="36">
        <v>1</v>
      </c>
      <c r="AC8" s="36">
        <v>1</v>
      </c>
      <c r="AE8" s="36" t="s">
        <v>566</v>
      </c>
      <c r="AF8" s="109">
        <v>1</v>
      </c>
      <c r="AG8" s="36">
        <v>10</v>
      </c>
      <c r="AH8" s="108">
        <v>30200200</v>
      </c>
      <c r="AI8" s="36">
        <v>100</v>
      </c>
      <c r="AJ8" s="36">
        <v>1</v>
      </c>
      <c r="AK8" s="36">
        <v>1</v>
      </c>
      <c r="AM8" s="36" t="s">
        <v>885</v>
      </c>
      <c r="AN8" s="36">
        <v>1</v>
      </c>
      <c r="AO8" s="36">
        <v>50</v>
      </c>
      <c r="AP8" s="108">
        <v>30300006</v>
      </c>
      <c r="AQ8" s="36">
        <v>50</v>
      </c>
      <c r="AR8" s="36">
        <v>1</v>
      </c>
      <c r="AS8" s="36">
        <v>1</v>
      </c>
      <c r="AU8" s="109"/>
      <c r="AV8" s="36" t="s">
        <v>783</v>
      </c>
      <c r="AW8" s="109">
        <v>25</v>
      </c>
      <c r="AX8" s="109">
        <v>35</v>
      </c>
      <c r="AY8" s="110">
        <v>20002500</v>
      </c>
      <c r="AZ8" s="36">
        <v>1000</v>
      </c>
      <c r="BA8" s="109">
        <v>1</v>
      </c>
      <c r="BB8" s="36">
        <v>1</v>
      </c>
      <c r="BD8" s="109"/>
      <c r="BE8" s="36" t="s">
        <v>783</v>
      </c>
      <c r="BF8" s="109">
        <v>25</v>
      </c>
      <c r="BG8" s="109">
        <v>35</v>
      </c>
      <c r="BH8" s="110">
        <v>20002501</v>
      </c>
      <c r="BI8" s="36">
        <v>1000</v>
      </c>
      <c r="BJ8" s="109">
        <v>1</v>
      </c>
      <c r="BK8" s="36">
        <v>1</v>
      </c>
      <c r="BL8" s="109"/>
      <c r="BM8" s="109"/>
      <c r="BN8" s="36" t="s">
        <v>783</v>
      </c>
      <c r="BO8" s="109">
        <v>25</v>
      </c>
      <c r="BP8" s="109">
        <v>35</v>
      </c>
      <c r="BQ8" s="110">
        <v>20002502</v>
      </c>
      <c r="BR8" s="36">
        <v>1000</v>
      </c>
      <c r="BS8" s="109">
        <v>1</v>
      </c>
      <c r="BT8" s="36">
        <v>1</v>
      </c>
      <c r="BV8" s="109"/>
      <c r="BW8" s="36" t="s">
        <v>783</v>
      </c>
      <c r="BX8" s="109">
        <v>25</v>
      </c>
      <c r="BY8" s="109">
        <v>35</v>
      </c>
      <c r="BZ8" s="110">
        <v>20002503</v>
      </c>
      <c r="CA8" s="36">
        <v>1000</v>
      </c>
      <c r="CB8" s="109">
        <v>1</v>
      </c>
      <c r="CC8" s="36">
        <v>1</v>
      </c>
      <c r="CE8" s="109"/>
      <c r="CF8" s="36" t="s">
        <v>783</v>
      </c>
      <c r="CG8" s="109">
        <v>25</v>
      </c>
      <c r="CH8" s="109">
        <v>35</v>
      </c>
      <c r="CI8" s="110">
        <v>20002504</v>
      </c>
      <c r="CJ8" s="36">
        <v>1000</v>
      </c>
      <c r="CK8" s="109">
        <v>1</v>
      </c>
      <c r="CL8" s="36">
        <v>1</v>
      </c>
      <c r="CN8" s="109"/>
    </row>
    <row r="9" spans="4:92" x14ac:dyDescent="0.15">
      <c r="D9" s="208"/>
      <c r="E9" s="209"/>
      <c r="F9" s="36">
        <v>7</v>
      </c>
      <c r="G9" s="36">
        <v>70090006</v>
      </c>
      <c r="H9" s="108">
        <v>0</v>
      </c>
      <c r="I9" s="108">
        <v>1</v>
      </c>
      <c r="J9" s="108">
        <v>1</v>
      </c>
      <c r="K9" s="108">
        <v>1000</v>
      </c>
      <c r="L9" s="36" t="s">
        <v>913</v>
      </c>
      <c r="M9" s="36" t="s">
        <v>877</v>
      </c>
      <c r="O9" s="100" t="s">
        <v>507</v>
      </c>
      <c r="P9" s="109">
        <v>11</v>
      </c>
      <c r="Q9" s="36">
        <v>20</v>
      </c>
      <c r="R9" s="108">
        <v>30000201</v>
      </c>
      <c r="S9" s="36">
        <v>200</v>
      </c>
      <c r="T9" s="36">
        <v>1</v>
      </c>
      <c r="U9" s="36">
        <v>1</v>
      </c>
      <c r="W9" s="100" t="s">
        <v>691</v>
      </c>
      <c r="X9" s="109">
        <v>11</v>
      </c>
      <c r="Y9" s="36">
        <v>20</v>
      </c>
      <c r="Z9" s="108">
        <v>30100201</v>
      </c>
      <c r="AA9" s="36">
        <v>100</v>
      </c>
      <c r="AB9" s="36">
        <v>1</v>
      </c>
      <c r="AC9" s="36">
        <v>1</v>
      </c>
      <c r="AE9" s="36" t="s">
        <v>569</v>
      </c>
      <c r="AF9" s="109">
        <v>11</v>
      </c>
      <c r="AG9" s="36">
        <v>20</v>
      </c>
      <c r="AH9" s="108">
        <v>30200201</v>
      </c>
      <c r="AI9" s="36">
        <v>100</v>
      </c>
      <c r="AJ9" s="36">
        <v>1</v>
      </c>
      <c r="AK9" s="36">
        <v>1</v>
      </c>
      <c r="AM9" s="36" t="s">
        <v>886</v>
      </c>
      <c r="AN9" s="36">
        <v>1</v>
      </c>
      <c r="AO9" s="36">
        <v>50</v>
      </c>
      <c r="AP9" s="108">
        <v>30300007</v>
      </c>
      <c r="AQ9" s="36">
        <v>50</v>
      </c>
      <c r="AR9" s="36">
        <v>1</v>
      </c>
      <c r="AS9" s="36">
        <v>1</v>
      </c>
      <c r="AU9" s="109"/>
      <c r="AV9" s="36" t="s">
        <v>784</v>
      </c>
      <c r="AW9" s="109">
        <v>30</v>
      </c>
      <c r="AX9" s="109">
        <v>40</v>
      </c>
      <c r="AY9" s="110">
        <v>20003000</v>
      </c>
      <c r="AZ9" s="36">
        <v>1000</v>
      </c>
      <c r="BA9" s="109">
        <v>1</v>
      </c>
      <c r="BB9" s="36">
        <v>1</v>
      </c>
      <c r="BD9" s="109"/>
      <c r="BE9" s="36" t="s">
        <v>784</v>
      </c>
      <c r="BF9" s="109">
        <v>30</v>
      </c>
      <c r="BG9" s="109">
        <v>40</v>
      </c>
      <c r="BH9" s="110">
        <v>20003001</v>
      </c>
      <c r="BI9" s="36">
        <v>1000</v>
      </c>
      <c r="BJ9" s="109">
        <v>1</v>
      </c>
      <c r="BK9" s="36">
        <v>1</v>
      </c>
      <c r="BL9" s="109"/>
      <c r="BM9" s="109"/>
      <c r="BN9" s="36" t="s">
        <v>784</v>
      </c>
      <c r="BO9" s="109">
        <v>30</v>
      </c>
      <c r="BP9" s="109">
        <v>40</v>
      </c>
      <c r="BQ9" s="110">
        <v>20003002</v>
      </c>
      <c r="BR9" s="36">
        <v>1000</v>
      </c>
      <c r="BS9" s="109">
        <v>1</v>
      </c>
      <c r="BT9" s="36">
        <v>1</v>
      </c>
      <c r="BV9" s="109"/>
      <c r="BW9" s="36" t="s">
        <v>784</v>
      </c>
      <c r="BX9" s="109">
        <v>30</v>
      </c>
      <c r="BY9" s="109">
        <v>40</v>
      </c>
      <c r="BZ9" s="110">
        <v>20003003</v>
      </c>
      <c r="CA9" s="36">
        <v>1000</v>
      </c>
      <c r="CB9" s="109">
        <v>1</v>
      </c>
      <c r="CC9" s="36">
        <v>1</v>
      </c>
      <c r="CE9" s="109"/>
      <c r="CF9" s="36" t="s">
        <v>784</v>
      </c>
      <c r="CG9" s="109">
        <v>30</v>
      </c>
      <c r="CH9" s="109">
        <v>40</v>
      </c>
      <c r="CI9" s="110">
        <v>20003004</v>
      </c>
      <c r="CJ9" s="36">
        <v>1000</v>
      </c>
      <c r="CK9" s="109">
        <v>1</v>
      </c>
      <c r="CL9" s="36">
        <v>1</v>
      </c>
      <c r="CN9" s="109"/>
    </row>
    <row r="10" spans="4:92" x14ac:dyDescent="0.15">
      <c r="D10" s="210"/>
      <c r="E10" s="211"/>
      <c r="F10" s="36">
        <v>8</v>
      </c>
      <c r="G10" s="36">
        <v>70090007</v>
      </c>
      <c r="H10" s="108">
        <v>0</v>
      </c>
      <c r="I10" s="108">
        <v>1</v>
      </c>
      <c r="J10" s="108">
        <v>1</v>
      </c>
      <c r="K10" s="108">
        <v>1000</v>
      </c>
      <c r="L10" s="36" t="s">
        <v>913</v>
      </c>
      <c r="M10" s="36" t="s">
        <v>877</v>
      </c>
      <c r="O10" s="100" t="s">
        <v>510</v>
      </c>
      <c r="P10" s="109">
        <v>21</v>
      </c>
      <c r="Q10" s="36">
        <v>30</v>
      </c>
      <c r="R10" s="108">
        <v>30000202</v>
      </c>
      <c r="S10" s="36">
        <v>200</v>
      </c>
      <c r="T10" s="36">
        <v>1</v>
      </c>
      <c r="U10" s="36">
        <v>1</v>
      </c>
      <c r="W10" s="100" t="s">
        <v>692</v>
      </c>
      <c r="X10" s="109">
        <v>21</v>
      </c>
      <c r="Y10" s="36">
        <v>30</v>
      </c>
      <c r="Z10" s="108">
        <v>30100202</v>
      </c>
      <c r="AA10" s="36">
        <v>100</v>
      </c>
      <c r="AB10" s="36">
        <v>1</v>
      </c>
      <c r="AC10" s="36">
        <v>1</v>
      </c>
      <c r="AE10" s="36" t="s">
        <v>572</v>
      </c>
      <c r="AF10" s="109">
        <v>21</v>
      </c>
      <c r="AG10" s="36">
        <v>30</v>
      </c>
      <c r="AH10" s="108">
        <v>30200202</v>
      </c>
      <c r="AI10" s="36">
        <v>100</v>
      </c>
      <c r="AJ10" s="36">
        <v>1</v>
      </c>
      <c r="AK10" s="36">
        <v>1</v>
      </c>
      <c r="AM10" s="36" t="s">
        <v>887</v>
      </c>
      <c r="AN10" s="36">
        <v>1</v>
      </c>
      <c r="AO10" s="36">
        <v>50</v>
      </c>
      <c r="AP10" s="108">
        <v>30300008</v>
      </c>
      <c r="AQ10" s="36">
        <v>50</v>
      </c>
      <c r="AR10" s="36">
        <v>1</v>
      </c>
      <c r="AS10" s="36">
        <v>1</v>
      </c>
      <c r="AU10" s="109"/>
      <c r="AV10" s="36" t="s">
        <v>785</v>
      </c>
      <c r="AW10" s="109">
        <v>35</v>
      </c>
      <c r="AX10" s="109">
        <v>45</v>
      </c>
      <c r="AY10" s="110">
        <v>20003500</v>
      </c>
      <c r="AZ10" s="36">
        <v>1000</v>
      </c>
      <c r="BA10" s="109">
        <v>1</v>
      </c>
      <c r="BB10" s="36">
        <v>1</v>
      </c>
      <c r="BD10" s="109"/>
      <c r="BE10" s="36" t="s">
        <v>785</v>
      </c>
      <c r="BF10" s="109">
        <v>35</v>
      </c>
      <c r="BG10" s="109">
        <v>45</v>
      </c>
      <c r="BH10" s="110">
        <v>20003501</v>
      </c>
      <c r="BI10" s="36">
        <v>1000</v>
      </c>
      <c r="BJ10" s="109">
        <v>1</v>
      </c>
      <c r="BK10" s="36">
        <v>1</v>
      </c>
      <c r="BL10" s="109"/>
      <c r="BM10" s="109"/>
      <c r="BN10" s="36" t="s">
        <v>785</v>
      </c>
      <c r="BO10" s="109">
        <v>35</v>
      </c>
      <c r="BP10" s="109">
        <v>45</v>
      </c>
      <c r="BQ10" s="110">
        <v>20003502</v>
      </c>
      <c r="BR10" s="36">
        <v>1000</v>
      </c>
      <c r="BS10" s="109">
        <v>1</v>
      </c>
      <c r="BT10" s="36">
        <v>1</v>
      </c>
      <c r="BV10" s="109"/>
      <c r="BW10" s="36" t="s">
        <v>785</v>
      </c>
      <c r="BX10" s="109">
        <v>35</v>
      </c>
      <c r="BY10" s="109">
        <v>45</v>
      </c>
      <c r="BZ10" s="110">
        <v>20003503</v>
      </c>
      <c r="CA10" s="36">
        <v>1000</v>
      </c>
      <c r="CB10" s="109">
        <v>1</v>
      </c>
      <c r="CC10" s="36">
        <v>1</v>
      </c>
      <c r="CE10" s="109"/>
      <c r="CF10" s="36" t="s">
        <v>785</v>
      </c>
      <c r="CG10" s="109">
        <v>35</v>
      </c>
      <c r="CH10" s="109">
        <v>45</v>
      </c>
      <c r="CI10" s="110">
        <v>20003504</v>
      </c>
      <c r="CJ10" s="36">
        <v>1000</v>
      </c>
      <c r="CK10" s="109">
        <v>1</v>
      </c>
      <c r="CL10" s="36">
        <v>1</v>
      </c>
      <c r="CN10" s="109"/>
    </row>
    <row r="11" spans="4:92" x14ac:dyDescent="0.15">
      <c r="F11" s="36">
        <v>9</v>
      </c>
      <c r="G11" s="36">
        <v>70090008</v>
      </c>
      <c r="H11" s="108">
        <v>0</v>
      </c>
      <c r="I11" s="108">
        <v>1</v>
      </c>
      <c r="J11" s="108">
        <v>1</v>
      </c>
      <c r="K11" s="108">
        <v>1000</v>
      </c>
      <c r="L11" s="36" t="s">
        <v>913</v>
      </c>
      <c r="M11" s="36" t="s">
        <v>877</v>
      </c>
      <c r="O11" s="100" t="s">
        <v>513</v>
      </c>
      <c r="P11" s="109">
        <v>31</v>
      </c>
      <c r="Q11" s="36">
        <v>40</v>
      </c>
      <c r="R11" s="108">
        <v>30000203</v>
      </c>
      <c r="S11" s="36">
        <v>200</v>
      </c>
      <c r="T11" s="36">
        <v>1</v>
      </c>
      <c r="U11" s="36">
        <v>1</v>
      </c>
      <c r="W11" s="100" t="s">
        <v>693</v>
      </c>
      <c r="X11" s="109">
        <v>31</v>
      </c>
      <c r="Y11" s="36">
        <v>40</v>
      </c>
      <c r="Z11" s="108">
        <v>30100203</v>
      </c>
      <c r="AA11" s="36">
        <v>100</v>
      </c>
      <c r="AB11" s="36">
        <v>1</v>
      </c>
      <c r="AC11" s="36">
        <v>1</v>
      </c>
      <c r="AE11" s="36" t="s">
        <v>575</v>
      </c>
      <c r="AF11" s="109">
        <v>31</v>
      </c>
      <c r="AG11" s="36">
        <v>40</v>
      </c>
      <c r="AH11" s="108">
        <v>30200203</v>
      </c>
      <c r="AI11" s="36">
        <v>100</v>
      </c>
      <c r="AJ11" s="36">
        <v>1</v>
      </c>
      <c r="AK11" s="36">
        <v>1</v>
      </c>
      <c r="AM11" s="36" t="s">
        <v>888</v>
      </c>
      <c r="AN11" s="36">
        <v>1</v>
      </c>
      <c r="AO11" s="36">
        <v>50</v>
      </c>
      <c r="AP11" s="108">
        <v>30300009</v>
      </c>
      <c r="AQ11" s="36">
        <v>50</v>
      </c>
      <c r="AR11" s="36">
        <v>1</v>
      </c>
      <c r="AS11" s="36">
        <v>1</v>
      </c>
      <c r="AU11" s="109"/>
      <c r="AV11" s="36" t="s">
        <v>786</v>
      </c>
      <c r="AW11" s="109">
        <v>40</v>
      </c>
      <c r="AX11" s="109">
        <v>50</v>
      </c>
      <c r="AY11" s="110">
        <v>20004000</v>
      </c>
      <c r="AZ11" s="36">
        <v>1000</v>
      </c>
      <c r="BA11" s="109">
        <v>1</v>
      </c>
      <c r="BB11" s="36">
        <v>1</v>
      </c>
      <c r="BD11" s="109"/>
      <c r="BE11" s="36" t="s">
        <v>786</v>
      </c>
      <c r="BF11" s="109">
        <v>40</v>
      </c>
      <c r="BG11" s="109">
        <v>50</v>
      </c>
      <c r="BH11" s="110">
        <v>20004001</v>
      </c>
      <c r="BI11" s="36">
        <v>1000</v>
      </c>
      <c r="BJ11" s="109">
        <v>1</v>
      </c>
      <c r="BK11" s="36">
        <v>1</v>
      </c>
      <c r="BL11" s="109"/>
      <c r="BM11" s="109"/>
      <c r="BN11" s="36" t="s">
        <v>786</v>
      </c>
      <c r="BO11" s="109">
        <v>40</v>
      </c>
      <c r="BP11" s="109">
        <v>50</v>
      </c>
      <c r="BQ11" s="110">
        <v>20004002</v>
      </c>
      <c r="BR11" s="36">
        <v>1000</v>
      </c>
      <c r="BS11" s="109">
        <v>1</v>
      </c>
      <c r="BT11" s="36">
        <v>1</v>
      </c>
      <c r="BV11" s="109"/>
      <c r="BW11" s="36" t="s">
        <v>786</v>
      </c>
      <c r="BX11" s="109">
        <v>40</v>
      </c>
      <c r="BY11" s="109">
        <v>50</v>
      </c>
      <c r="BZ11" s="110">
        <v>20004003</v>
      </c>
      <c r="CA11" s="36">
        <v>1000</v>
      </c>
      <c r="CB11" s="109">
        <v>1</v>
      </c>
      <c r="CC11" s="36">
        <v>1</v>
      </c>
      <c r="CE11" s="109"/>
      <c r="CF11" s="36" t="s">
        <v>786</v>
      </c>
      <c r="CG11" s="109">
        <v>40</v>
      </c>
      <c r="CH11" s="109">
        <v>50</v>
      </c>
      <c r="CI11" s="110">
        <v>20004004</v>
      </c>
      <c r="CJ11" s="36">
        <v>1000</v>
      </c>
      <c r="CK11" s="109">
        <v>1</v>
      </c>
      <c r="CL11" s="36">
        <v>1</v>
      </c>
      <c r="CN11" s="109"/>
    </row>
    <row r="12" spans="4:92" x14ac:dyDescent="0.15">
      <c r="D12" s="206"/>
      <c r="E12" s="207"/>
      <c r="F12" s="36">
        <v>10</v>
      </c>
      <c r="G12" s="36">
        <v>70090009</v>
      </c>
      <c r="H12" s="108">
        <v>0</v>
      </c>
      <c r="I12" s="108">
        <v>2</v>
      </c>
      <c r="J12" s="108">
        <v>1</v>
      </c>
      <c r="K12" s="108">
        <v>1000</v>
      </c>
      <c r="L12" s="36" t="s">
        <v>914</v>
      </c>
      <c r="M12" s="36" t="s">
        <v>877</v>
      </c>
      <c r="O12" s="100" t="s">
        <v>516</v>
      </c>
      <c r="P12" s="109">
        <v>41</v>
      </c>
      <c r="Q12" s="36">
        <v>50</v>
      </c>
      <c r="R12" s="108">
        <v>30000204</v>
      </c>
      <c r="S12" s="36">
        <v>200</v>
      </c>
      <c r="T12" s="36">
        <v>1</v>
      </c>
      <c r="U12" s="36">
        <v>1</v>
      </c>
      <c r="W12" s="100" t="s">
        <v>694</v>
      </c>
      <c r="X12" s="109">
        <v>41</v>
      </c>
      <c r="Y12" s="36">
        <v>50</v>
      </c>
      <c r="Z12" s="108">
        <v>30100204</v>
      </c>
      <c r="AA12" s="36">
        <v>100</v>
      </c>
      <c r="AB12" s="36">
        <v>1</v>
      </c>
      <c r="AC12" s="36">
        <v>1</v>
      </c>
      <c r="AE12" s="36" t="s">
        <v>578</v>
      </c>
      <c r="AF12" s="109">
        <v>41</v>
      </c>
      <c r="AG12" s="36">
        <v>50</v>
      </c>
      <c r="AH12" s="108">
        <v>30200204</v>
      </c>
      <c r="AI12" s="36">
        <v>100</v>
      </c>
      <c r="AJ12" s="36">
        <v>1</v>
      </c>
      <c r="AK12" s="36">
        <v>1</v>
      </c>
      <c r="AU12" s="109"/>
      <c r="AV12" s="36" t="s">
        <v>787</v>
      </c>
      <c r="AW12" s="109">
        <v>45</v>
      </c>
      <c r="AX12" s="109">
        <v>50</v>
      </c>
      <c r="AY12" s="110">
        <v>20004500</v>
      </c>
      <c r="AZ12" s="36">
        <v>1000</v>
      </c>
      <c r="BA12" s="109">
        <v>1</v>
      </c>
      <c r="BB12" s="36">
        <v>1</v>
      </c>
      <c r="BD12" s="109"/>
      <c r="BE12" s="36" t="s">
        <v>787</v>
      </c>
      <c r="BF12" s="109">
        <v>45</v>
      </c>
      <c r="BG12" s="109">
        <v>50</v>
      </c>
      <c r="BH12" s="110">
        <v>20004501</v>
      </c>
      <c r="BI12" s="36">
        <v>1000</v>
      </c>
      <c r="BJ12" s="109">
        <v>1</v>
      </c>
      <c r="BK12" s="36">
        <v>1</v>
      </c>
      <c r="BL12" s="109"/>
      <c r="BM12" s="109"/>
      <c r="BN12" s="36" t="s">
        <v>787</v>
      </c>
      <c r="BO12" s="109">
        <v>45</v>
      </c>
      <c r="BP12" s="109">
        <v>50</v>
      </c>
      <c r="BQ12" s="110">
        <v>20004502</v>
      </c>
      <c r="BR12" s="36">
        <v>1000</v>
      </c>
      <c r="BS12" s="109">
        <v>1</v>
      </c>
      <c r="BT12" s="36">
        <v>1</v>
      </c>
      <c r="BV12" s="109"/>
      <c r="BW12" s="36" t="s">
        <v>787</v>
      </c>
      <c r="BX12" s="109">
        <v>45</v>
      </c>
      <c r="BY12" s="109">
        <v>50</v>
      </c>
      <c r="BZ12" s="110">
        <v>20004503</v>
      </c>
      <c r="CA12" s="36">
        <v>1000</v>
      </c>
      <c r="CB12" s="109">
        <v>1</v>
      </c>
      <c r="CC12" s="36">
        <v>1</v>
      </c>
      <c r="CE12" s="109"/>
      <c r="CF12" s="36" t="s">
        <v>787</v>
      </c>
      <c r="CG12" s="109">
        <v>45</v>
      </c>
      <c r="CH12" s="109">
        <v>50</v>
      </c>
      <c r="CI12" s="110">
        <v>20004504</v>
      </c>
      <c r="CJ12" s="36">
        <v>1000</v>
      </c>
      <c r="CK12" s="109">
        <v>1</v>
      </c>
      <c r="CL12" s="36">
        <v>1</v>
      </c>
      <c r="CN12" s="109"/>
    </row>
    <row r="13" spans="4:92" x14ac:dyDescent="0.15">
      <c r="D13" s="208"/>
      <c r="E13" s="209"/>
      <c r="F13" s="36">
        <v>11</v>
      </c>
      <c r="G13" s="36">
        <v>70090010</v>
      </c>
      <c r="H13" s="108">
        <v>0</v>
      </c>
      <c r="I13" s="108">
        <v>2</v>
      </c>
      <c r="J13" s="108">
        <v>1</v>
      </c>
      <c r="K13" s="108">
        <v>1000</v>
      </c>
      <c r="L13" s="36" t="s">
        <v>915</v>
      </c>
      <c r="M13" s="36" t="s">
        <v>877</v>
      </c>
      <c r="O13" s="100" t="s">
        <v>519</v>
      </c>
      <c r="P13" s="109">
        <v>1</v>
      </c>
      <c r="Q13" s="36">
        <v>10</v>
      </c>
      <c r="R13" s="108">
        <v>30000300</v>
      </c>
      <c r="S13" s="36">
        <v>200</v>
      </c>
      <c r="T13" s="36">
        <v>1</v>
      </c>
      <c r="U13" s="36">
        <v>1</v>
      </c>
      <c r="W13" s="100" t="s">
        <v>695</v>
      </c>
      <c r="X13" s="109">
        <v>1</v>
      </c>
      <c r="Y13" s="36">
        <v>10</v>
      </c>
      <c r="Z13" s="108">
        <v>30100300</v>
      </c>
      <c r="AA13" s="36">
        <v>100</v>
      </c>
      <c r="AB13" s="36">
        <v>1</v>
      </c>
      <c r="AC13" s="36">
        <v>1</v>
      </c>
      <c r="AE13" s="36" t="s">
        <v>536</v>
      </c>
      <c r="AF13" s="109">
        <v>1</v>
      </c>
      <c r="AG13" s="36">
        <v>10</v>
      </c>
      <c r="AH13" s="108">
        <v>30200300</v>
      </c>
      <c r="AI13" s="36">
        <v>100</v>
      </c>
      <c r="AJ13" s="36">
        <v>1</v>
      </c>
      <c r="AK13" s="36">
        <v>1</v>
      </c>
      <c r="AU13" s="109"/>
      <c r="AV13" s="36" t="s">
        <v>788</v>
      </c>
      <c r="AW13" s="109">
        <v>45</v>
      </c>
      <c r="AX13" s="109">
        <v>50</v>
      </c>
      <c r="AY13" s="110">
        <v>20005000</v>
      </c>
      <c r="AZ13" s="36">
        <v>1000</v>
      </c>
      <c r="BA13" s="109">
        <v>1</v>
      </c>
      <c r="BB13" s="36">
        <v>1</v>
      </c>
      <c r="BD13" s="109"/>
      <c r="BE13" s="36" t="s">
        <v>788</v>
      </c>
      <c r="BF13" s="109">
        <v>45</v>
      </c>
      <c r="BG13" s="109">
        <v>50</v>
      </c>
      <c r="BH13" s="110">
        <v>20005001</v>
      </c>
      <c r="BI13" s="36">
        <v>1000</v>
      </c>
      <c r="BJ13" s="109">
        <v>1</v>
      </c>
      <c r="BK13" s="36">
        <v>1</v>
      </c>
      <c r="BL13" s="109"/>
      <c r="BM13" s="109"/>
      <c r="BN13" s="36" t="s">
        <v>788</v>
      </c>
      <c r="BO13" s="109">
        <v>45</v>
      </c>
      <c r="BP13" s="109">
        <v>50</v>
      </c>
      <c r="BQ13" s="110">
        <v>20005002</v>
      </c>
      <c r="BR13" s="36">
        <v>1000</v>
      </c>
      <c r="BS13" s="109">
        <v>1</v>
      </c>
      <c r="BT13" s="36">
        <v>1</v>
      </c>
      <c r="BV13" s="109"/>
      <c r="BW13" s="36" t="s">
        <v>788</v>
      </c>
      <c r="BX13" s="109">
        <v>45</v>
      </c>
      <c r="BY13" s="109">
        <v>50</v>
      </c>
      <c r="BZ13" s="110">
        <v>20005003</v>
      </c>
      <c r="CA13" s="36">
        <v>1000</v>
      </c>
      <c r="CB13" s="109">
        <v>1</v>
      </c>
      <c r="CC13" s="36">
        <v>1</v>
      </c>
      <c r="CE13" s="109"/>
      <c r="CF13" s="36" t="s">
        <v>788</v>
      </c>
      <c r="CG13" s="109">
        <v>45</v>
      </c>
      <c r="CH13" s="109">
        <v>50</v>
      </c>
      <c r="CI13" s="110">
        <v>20005004</v>
      </c>
      <c r="CJ13" s="36">
        <v>1000</v>
      </c>
      <c r="CK13" s="109">
        <v>1</v>
      </c>
      <c r="CL13" s="36">
        <v>1</v>
      </c>
      <c r="CN13" s="109"/>
    </row>
    <row r="14" spans="4:92" x14ac:dyDescent="0.15">
      <c r="D14" s="210"/>
      <c r="E14" s="211"/>
      <c r="F14" s="36">
        <v>12</v>
      </c>
      <c r="G14" s="36">
        <v>70090011</v>
      </c>
      <c r="H14" s="108">
        <v>0</v>
      </c>
      <c r="I14" s="108">
        <v>2</v>
      </c>
      <c r="J14" s="108">
        <v>1</v>
      </c>
      <c r="K14" s="108">
        <v>1000</v>
      </c>
      <c r="L14" s="36" t="s">
        <v>915</v>
      </c>
      <c r="M14" s="36" t="s">
        <v>877</v>
      </c>
      <c r="O14" s="100" t="s">
        <v>522</v>
      </c>
      <c r="P14" s="109">
        <v>11</v>
      </c>
      <c r="Q14" s="36">
        <v>20</v>
      </c>
      <c r="R14" s="108">
        <v>30000301</v>
      </c>
      <c r="S14" s="36">
        <v>200</v>
      </c>
      <c r="T14" s="36">
        <v>1</v>
      </c>
      <c r="U14" s="36">
        <v>1</v>
      </c>
      <c r="W14" s="100" t="s">
        <v>696</v>
      </c>
      <c r="X14" s="109">
        <v>11</v>
      </c>
      <c r="Y14" s="36">
        <v>20</v>
      </c>
      <c r="Z14" s="108">
        <v>30100301</v>
      </c>
      <c r="AA14" s="36">
        <v>100</v>
      </c>
      <c r="AB14" s="36">
        <v>1</v>
      </c>
      <c r="AC14" s="36">
        <v>1</v>
      </c>
      <c r="AE14" s="36" t="s">
        <v>539</v>
      </c>
      <c r="AF14" s="109">
        <v>11</v>
      </c>
      <c r="AG14" s="36">
        <v>20</v>
      </c>
      <c r="AH14" s="108">
        <v>30200301</v>
      </c>
      <c r="AI14" s="36">
        <v>100</v>
      </c>
      <c r="AJ14" s="36">
        <v>1</v>
      </c>
      <c r="AK14" s="36">
        <v>1</v>
      </c>
      <c r="AU14" s="109" t="s">
        <v>772</v>
      </c>
      <c r="AV14" s="36" t="s">
        <v>789</v>
      </c>
      <c r="AW14" s="36">
        <v>1</v>
      </c>
      <c r="AX14" s="109">
        <v>10</v>
      </c>
      <c r="AY14" s="110">
        <v>20100100</v>
      </c>
      <c r="AZ14" s="36">
        <v>1000</v>
      </c>
      <c r="BA14" s="109">
        <v>1</v>
      </c>
      <c r="BB14" s="36">
        <v>1</v>
      </c>
      <c r="BD14" s="109" t="s">
        <v>772</v>
      </c>
      <c r="BE14" s="36" t="s">
        <v>789</v>
      </c>
      <c r="BF14" s="36">
        <v>1</v>
      </c>
      <c r="BG14" s="109">
        <v>10</v>
      </c>
      <c r="BH14" s="110">
        <v>20100101</v>
      </c>
      <c r="BI14" s="36">
        <v>1000</v>
      </c>
      <c r="BJ14" s="109">
        <v>1</v>
      </c>
      <c r="BK14" s="36">
        <v>1</v>
      </c>
      <c r="BL14" s="109"/>
      <c r="BM14" s="109" t="s">
        <v>772</v>
      </c>
      <c r="BN14" s="36" t="s">
        <v>789</v>
      </c>
      <c r="BO14" s="36">
        <v>1</v>
      </c>
      <c r="BP14" s="109">
        <v>10</v>
      </c>
      <c r="BQ14" s="110">
        <v>20100102</v>
      </c>
      <c r="BR14" s="36">
        <v>1000</v>
      </c>
      <c r="BS14" s="109">
        <v>1</v>
      </c>
      <c r="BT14" s="36">
        <v>1</v>
      </c>
      <c r="BV14" s="109" t="s">
        <v>772</v>
      </c>
      <c r="BW14" s="36" t="s">
        <v>789</v>
      </c>
      <c r="BX14" s="36">
        <v>1</v>
      </c>
      <c r="BY14" s="109">
        <v>10</v>
      </c>
      <c r="BZ14" s="110">
        <v>20100103</v>
      </c>
      <c r="CA14" s="36">
        <v>1000</v>
      </c>
      <c r="CB14" s="109">
        <v>1</v>
      </c>
      <c r="CC14" s="36">
        <v>1</v>
      </c>
      <c r="CE14" s="109" t="s">
        <v>772</v>
      </c>
      <c r="CF14" s="36" t="s">
        <v>789</v>
      </c>
      <c r="CG14" s="36">
        <v>1</v>
      </c>
      <c r="CH14" s="109">
        <v>10</v>
      </c>
      <c r="CI14" s="110">
        <v>20100104</v>
      </c>
      <c r="CJ14" s="36">
        <v>1000</v>
      </c>
      <c r="CK14" s="109">
        <v>1</v>
      </c>
      <c r="CL14" s="36">
        <v>1</v>
      </c>
      <c r="CN14" s="109"/>
    </row>
    <row r="15" spans="4:92" x14ac:dyDescent="0.15">
      <c r="F15" s="36">
        <v>13</v>
      </c>
      <c r="G15" s="36">
        <v>70090012</v>
      </c>
      <c r="H15" s="108">
        <v>0</v>
      </c>
      <c r="I15" s="108">
        <v>2</v>
      </c>
      <c r="J15" s="108">
        <v>1</v>
      </c>
      <c r="K15" s="108">
        <v>1000</v>
      </c>
      <c r="L15" s="36" t="s">
        <v>915</v>
      </c>
      <c r="M15" s="36" t="s">
        <v>877</v>
      </c>
      <c r="O15" s="100" t="s">
        <v>525</v>
      </c>
      <c r="P15" s="109">
        <v>21</v>
      </c>
      <c r="Q15" s="36">
        <v>30</v>
      </c>
      <c r="R15" s="108">
        <v>30000302</v>
      </c>
      <c r="S15" s="36">
        <v>200</v>
      </c>
      <c r="T15" s="36">
        <v>1</v>
      </c>
      <c r="U15" s="36">
        <v>1</v>
      </c>
      <c r="W15" s="100" t="s">
        <v>697</v>
      </c>
      <c r="X15" s="109">
        <v>21</v>
      </c>
      <c r="Y15" s="36">
        <v>30</v>
      </c>
      <c r="Z15" s="108">
        <v>30100302</v>
      </c>
      <c r="AA15" s="36">
        <v>100</v>
      </c>
      <c r="AB15" s="36">
        <v>1</v>
      </c>
      <c r="AC15" s="36">
        <v>1</v>
      </c>
      <c r="AE15" s="36" t="s">
        <v>542</v>
      </c>
      <c r="AF15" s="109">
        <v>21</v>
      </c>
      <c r="AG15" s="36">
        <v>30</v>
      </c>
      <c r="AH15" s="108">
        <v>30200302</v>
      </c>
      <c r="AI15" s="36">
        <v>100</v>
      </c>
      <c r="AJ15" s="36">
        <v>1</v>
      </c>
      <c r="AK15" s="36">
        <v>1</v>
      </c>
      <c r="AU15" s="109"/>
      <c r="AV15" s="36" t="s">
        <v>790</v>
      </c>
      <c r="AW15" s="109">
        <v>5</v>
      </c>
      <c r="AX15" s="109">
        <v>15</v>
      </c>
      <c r="AY15" s="110">
        <v>20100500</v>
      </c>
      <c r="AZ15" s="36">
        <v>1000</v>
      </c>
      <c r="BA15" s="109">
        <v>1</v>
      </c>
      <c r="BB15" s="36">
        <v>1</v>
      </c>
      <c r="BD15" s="109"/>
      <c r="BE15" s="36" t="s">
        <v>790</v>
      </c>
      <c r="BF15" s="109">
        <v>5</v>
      </c>
      <c r="BG15" s="109">
        <v>15</v>
      </c>
      <c r="BH15" s="110">
        <v>20100501</v>
      </c>
      <c r="BI15" s="36">
        <v>1000</v>
      </c>
      <c r="BJ15" s="109">
        <v>1</v>
      </c>
      <c r="BK15" s="36">
        <v>1</v>
      </c>
      <c r="BL15" s="109"/>
      <c r="BM15" s="109"/>
      <c r="BN15" s="36" t="s">
        <v>790</v>
      </c>
      <c r="BO15" s="109">
        <v>5</v>
      </c>
      <c r="BP15" s="109">
        <v>15</v>
      </c>
      <c r="BQ15" s="110">
        <v>20100502</v>
      </c>
      <c r="BR15" s="36">
        <v>1000</v>
      </c>
      <c r="BS15" s="109">
        <v>1</v>
      </c>
      <c r="BT15" s="36">
        <v>1</v>
      </c>
      <c r="BV15" s="109"/>
      <c r="BW15" s="36" t="s">
        <v>790</v>
      </c>
      <c r="BX15" s="109">
        <v>5</v>
      </c>
      <c r="BY15" s="109">
        <v>15</v>
      </c>
      <c r="BZ15" s="110">
        <v>20100503</v>
      </c>
      <c r="CA15" s="36">
        <v>1000</v>
      </c>
      <c r="CB15" s="109">
        <v>1</v>
      </c>
      <c r="CC15" s="36">
        <v>1</v>
      </c>
      <c r="CE15" s="109"/>
      <c r="CF15" s="36" t="s">
        <v>790</v>
      </c>
      <c r="CG15" s="109">
        <v>5</v>
      </c>
      <c r="CH15" s="109">
        <v>15</v>
      </c>
      <c r="CI15" s="110">
        <v>20100504</v>
      </c>
      <c r="CJ15" s="36">
        <v>1000</v>
      </c>
      <c r="CK15" s="109">
        <v>1</v>
      </c>
      <c r="CL15" s="36">
        <v>1</v>
      </c>
      <c r="CN15" s="109"/>
    </row>
    <row r="16" spans="4:92" x14ac:dyDescent="0.15">
      <c r="D16" s="206"/>
      <c r="E16" s="207"/>
      <c r="F16" s="36">
        <v>14</v>
      </c>
      <c r="G16" s="36">
        <v>70090013</v>
      </c>
      <c r="H16" s="108">
        <v>0</v>
      </c>
      <c r="I16" s="108">
        <v>2</v>
      </c>
      <c r="J16" s="108">
        <v>1</v>
      </c>
      <c r="K16" s="108">
        <v>1000</v>
      </c>
      <c r="L16" s="36" t="s">
        <v>915</v>
      </c>
      <c r="M16" s="36" t="s">
        <v>877</v>
      </c>
      <c r="O16" s="100" t="s">
        <v>528</v>
      </c>
      <c r="P16" s="109">
        <v>31</v>
      </c>
      <c r="Q16" s="36">
        <v>40</v>
      </c>
      <c r="R16" s="108">
        <v>30000303</v>
      </c>
      <c r="S16" s="36">
        <v>200</v>
      </c>
      <c r="T16" s="36">
        <v>1</v>
      </c>
      <c r="U16" s="36">
        <v>1</v>
      </c>
      <c r="W16" s="100" t="s">
        <v>698</v>
      </c>
      <c r="X16" s="109">
        <v>31</v>
      </c>
      <c r="Y16" s="36">
        <v>40</v>
      </c>
      <c r="Z16" s="108">
        <v>30100303</v>
      </c>
      <c r="AA16" s="36">
        <v>100</v>
      </c>
      <c r="AB16" s="36">
        <v>1</v>
      </c>
      <c r="AC16" s="36">
        <v>1</v>
      </c>
      <c r="AE16" s="36" t="s">
        <v>545</v>
      </c>
      <c r="AF16" s="109">
        <v>31</v>
      </c>
      <c r="AG16" s="36">
        <v>40</v>
      </c>
      <c r="AH16" s="108">
        <v>30200303</v>
      </c>
      <c r="AI16" s="36">
        <v>100</v>
      </c>
      <c r="AJ16" s="36">
        <v>1</v>
      </c>
      <c r="AK16" s="36">
        <v>1</v>
      </c>
      <c r="AU16" s="109"/>
      <c r="AV16" s="36" t="s">
        <v>791</v>
      </c>
      <c r="AW16" s="109">
        <v>10</v>
      </c>
      <c r="AX16" s="109">
        <v>20</v>
      </c>
      <c r="AY16" s="110">
        <v>20101000</v>
      </c>
      <c r="AZ16" s="36">
        <v>1000</v>
      </c>
      <c r="BA16" s="109">
        <v>1</v>
      </c>
      <c r="BB16" s="36">
        <v>1</v>
      </c>
      <c r="BD16" s="109"/>
      <c r="BE16" s="36" t="s">
        <v>791</v>
      </c>
      <c r="BF16" s="109">
        <v>10</v>
      </c>
      <c r="BG16" s="109">
        <v>20</v>
      </c>
      <c r="BH16" s="110">
        <v>20101001</v>
      </c>
      <c r="BI16" s="36">
        <v>1000</v>
      </c>
      <c r="BJ16" s="109">
        <v>1</v>
      </c>
      <c r="BK16" s="36">
        <v>1</v>
      </c>
      <c r="BL16" s="109"/>
      <c r="BM16" s="109"/>
      <c r="BN16" s="36" t="s">
        <v>791</v>
      </c>
      <c r="BO16" s="109">
        <v>10</v>
      </c>
      <c r="BP16" s="109">
        <v>20</v>
      </c>
      <c r="BQ16" s="110">
        <v>20101002</v>
      </c>
      <c r="BR16" s="36">
        <v>1000</v>
      </c>
      <c r="BS16" s="109">
        <v>1</v>
      </c>
      <c r="BT16" s="36">
        <v>1</v>
      </c>
      <c r="BV16" s="109"/>
      <c r="BW16" s="36" t="s">
        <v>791</v>
      </c>
      <c r="BX16" s="109">
        <v>10</v>
      </c>
      <c r="BY16" s="109">
        <v>20</v>
      </c>
      <c r="BZ16" s="110">
        <v>20101003</v>
      </c>
      <c r="CA16" s="36">
        <v>1000</v>
      </c>
      <c r="CB16" s="109">
        <v>1</v>
      </c>
      <c r="CC16" s="36">
        <v>1</v>
      </c>
      <c r="CE16" s="109"/>
      <c r="CF16" s="36" t="s">
        <v>791</v>
      </c>
      <c r="CG16" s="109">
        <v>10</v>
      </c>
      <c r="CH16" s="109">
        <v>20</v>
      </c>
      <c r="CI16" s="110">
        <v>20101004</v>
      </c>
      <c r="CJ16" s="36">
        <v>1000</v>
      </c>
      <c r="CK16" s="109">
        <v>1</v>
      </c>
      <c r="CL16" s="36">
        <v>1</v>
      </c>
      <c r="CN16" s="109"/>
    </row>
    <row r="17" spans="4:92" x14ac:dyDescent="0.15">
      <c r="D17" s="208"/>
      <c r="E17" s="209"/>
      <c r="F17" s="36">
        <v>15</v>
      </c>
      <c r="G17" s="36">
        <v>70090014</v>
      </c>
      <c r="H17" s="108">
        <v>0</v>
      </c>
      <c r="I17" s="108">
        <v>2</v>
      </c>
      <c r="J17" s="108">
        <v>1</v>
      </c>
      <c r="K17" s="108">
        <v>1000</v>
      </c>
      <c r="L17" s="36" t="s">
        <v>916</v>
      </c>
      <c r="M17" s="36" t="s">
        <v>877</v>
      </c>
      <c r="O17" s="100" t="s">
        <v>531</v>
      </c>
      <c r="P17" s="109">
        <v>41</v>
      </c>
      <c r="Q17" s="36">
        <v>50</v>
      </c>
      <c r="R17" s="108">
        <v>30000304</v>
      </c>
      <c r="S17" s="36">
        <v>200</v>
      </c>
      <c r="T17" s="36">
        <v>1</v>
      </c>
      <c r="U17" s="36">
        <v>1</v>
      </c>
      <c r="W17" s="100" t="s">
        <v>699</v>
      </c>
      <c r="X17" s="109">
        <v>41</v>
      </c>
      <c r="Y17" s="36">
        <v>50</v>
      </c>
      <c r="Z17" s="108">
        <v>30100304</v>
      </c>
      <c r="AA17" s="36">
        <v>100</v>
      </c>
      <c r="AB17" s="36">
        <v>1</v>
      </c>
      <c r="AC17" s="36">
        <v>1</v>
      </c>
      <c r="AE17" s="36" t="s">
        <v>548</v>
      </c>
      <c r="AF17" s="109">
        <v>41</v>
      </c>
      <c r="AG17" s="36">
        <v>50</v>
      </c>
      <c r="AH17" s="108">
        <v>30200304</v>
      </c>
      <c r="AI17" s="36">
        <v>100</v>
      </c>
      <c r="AJ17" s="36">
        <v>1</v>
      </c>
      <c r="AK17" s="36">
        <v>1</v>
      </c>
      <c r="AU17" s="109"/>
      <c r="AV17" s="36" t="s">
        <v>792</v>
      </c>
      <c r="AW17" s="109">
        <v>15</v>
      </c>
      <c r="AX17" s="109">
        <v>25</v>
      </c>
      <c r="AY17" s="110">
        <v>20101500</v>
      </c>
      <c r="AZ17" s="36">
        <v>1000</v>
      </c>
      <c r="BA17" s="109">
        <v>1</v>
      </c>
      <c r="BB17" s="36">
        <v>1</v>
      </c>
      <c r="BD17" s="109"/>
      <c r="BE17" s="36" t="s">
        <v>792</v>
      </c>
      <c r="BF17" s="109">
        <v>15</v>
      </c>
      <c r="BG17" s="109">
        <v>25</v>
      </c>
      <c r="BH17" s="110">
        <v>20101501</v>
      </c>
      <c r="BI17" s="36">
        <v>1000</v>
      </c>
      <c r="BJ17" s="109">
        <v>1</v>
      </c>
      <c r="BK17" s="36">
        <v>1</v>
      </c>
      <c r="BL17" s="109"/>
      <c r="BM17" s="109"/>
      <c r="BN17" s="36" t="s">
        <v>792</v>
      </c>
      <c r="BO17" s="109">
        <v>15</v>
      </c>
      <c r="BP17" s="109">
        <v>25</v>
      </c>
      <c r="BQ17" s="110">
        <v>20101502</v>
      </c>
      <c r="BR17" s="36">
        <v>1000</v>
      </c>
      <c r="BS17" s="109">
        <v>1</v>
      </c>
      <c r="BT17" s="36">
        <v>1</v>
      </c>
      <c r="BV17" s="109"/>
      <c r="BW17" s="36" t="s">
        <v>792</v>
      </c>
      <c r="BX17" s="109">
        <v>15</v>
      </c>
      <c r="BY17" s="109">
        <v>25</v>
      </c>
      <c r="BZ17" s="110">
        <v>20101503</v>
      </c>
      <c r="CA17" s="36">
        <v>1000</v>
      </c>
      <c r="CB17" s="109">
        <v>1</v>
      </c>
      <c r="CC17" s="36">
        <v>1</v>
      </c>
      <c r="CE17" s="109"/>
      <c r="CF17" s="36" t="s">
        <v>792</v>
      </c>
      <c r="CG17" s="109">
        <v>15</v>
      </c>
      <c r="CH17" s="109">
        <v>25</v>
      </c>
      <c r="CI17" s="110">
        <v>20101504</v>
      </c>
      <c r="CJ17" s="36">
        <v>1000</v>
      </c>
      <c r="CK17" s="109">
        <v>1</v>
      </c>
      <c r="CL17" s="36">
        <v>1</v>
      </c>
      <c r="CN17" s="109"/>
    </row>
    <row r="18" spans="4:92" x14ac:dyDescent="0.15">
      <c r="D18" s="210"/>
      <c r="E18" s="211"/>
      <c r="F18" s="36">
        <v>16</v>
      </c>
      <c r="G18" s="36">
        <v>70090015</v>
      </c>
      <c r="H18" s="108">
        <v>0</v>
      </c>
      <c r="I18" s="108">
        <v>2</v>
      </c>
      <c r="J18" s="108">
        <v>1</v>
      </c>
      <c r="K18" s="108">
        <v>1000</v>
      </c>
      <c r="L18" s="36" t="s">
        <v>917</v>
      </c>
      <c r="M18" s="36" t="s">
        <v>877</v>
      </c>
      <c r="O18" s="100" t="s">
        <v>534</v>
      </c>
      <c r="P18" s="109">
        <v>1</v>
      </c>
      <c r="Q18" s="36">
        <v>10</v>
      </c>
      <c r="R18" s="108">
        <v>30000400</v>
      </c>
      <c r="S18" s="36">
        <v>200</v>
      </c>
      <c r="T18" s="36">
        <v>1</v>
      </c>
      <c r="U18" s="36">
        <v>1</v>
      </c>
      <c r="W18" s="100" t="s">
        <v>700</v>
      </c>
      <c r="X18" s="109">
        <v>1</v>
      </c>
      <c r="Y18" s="36">
        <v>10</v>
      </c>
      <c r="Z18" s="108">
        <v>30100400</v>
      </c>
      <c r="AA18" s="36">
        <v>100</v>
      </c>
      <c r="AB18" s="36">
        <v>1</v>
      </c>
      <c r="AC18" s="36">
        <v>1</v>
      </c>
      <c r="AE18" s="36" t="s">
        <v>565</v>
      </c>
      <c r="AF18" s="109">
        <v>1</v>
      </c>
      <c r="AG18" s="36">
        <v>10</v>
      </c>
      <c r="AH18" s="108">
        <v>30200400</v>
      </c>
      <c r="AI18" s="36">
        <v>100</v>
      </c>
      <c r="AJ18" s="36">
        <v>1</v>
      </c>
      <c r="AK18" s="36">
        <v>1</v>
      </c>
      <c r="AU18" s="109"/>
      <c r="AV18" s="36" t="s">
        <v>793</v>
      </c>
      <c r="AW18" s="109">
        <v>20</v>
      </c>
      <c r="AX18" s="109">
        <v>30</v>
      </c>
      <c r="AY18" s="110">
        <v>20102000</v>
      </c>
      <c r="AZ18" s="36">
        <v>1000</v>
      </c>
      <c r="BA18" s="109">
        <v>1</v>
      </c>
      <c r="BB18" s="36">
        <v>1</v>
      </c>
      <c r="BD18" s="109"/>
      <c r="BE18" s="36" t="s">
        <v>793</v>
      </c>
      <c r="BF18" s="109">
        <v>20</v>
      </c>
      <c r="BG18" s="109">
        <v>30</v>
      </c>
      <c r="BH18" s="110">
        <v>20102001</v>
      </c>
      <c r="BI18" s="36">
        <v>1000</v>
      </c>
      <c r="BJ18" s="109">
        <v>1</v>
      </c>
      <c r="BK18" s="36">
        <v>1</v>
      </c>
      <c r="BM18" s="109"/>
      <c r="BN18" s="36" t="s">
        <v>793</v>
      </c>
      <c r="BO18" s="109">
        <v>20</v>
      </c>
      <c r="BP18" s="109">
        <v>30</v>
      </c>
      <c r="BQ18" s="110">
        <v>20102002</v>
      </c>
      <c r="BR18" s="36">
        <v>1000</v>
      </c>
      <c r="BS18" s="109">
        <v>1</v>
      </c>
      <c r="BT18" s="36">
        <v>1</v>
      </c>
      <c r="BV18" s="109"/>
      <c r="BW18" s="36" t="s">
        <v>793</v>
      </c>
      <c r="BX18" s="109">
        <v>20</v>
      </c>
      <c r="BY18" s="109">
        <v>30</v>
      </c>
      <c r="BZ18" s="110">
        <v>20102003</v>
      </c>
      <c r="CA18" s="36">
        <v>1000</v>
      </c>
      <c r="CB18" s="109">
        <v>1</v>
      </c>
      <c r="CC18" s="36">
        <v>1</v>
      </c>
      <c r="CE18" s="109"/>
      <c r="CF18" s="36" t="s">
        <v>793</v>
      </c>
      <c r="CG18" s="109">
        <v>20</v>
      </c>
      <c r="CH18" s="109">
        <v>30</v>
      </c>
      <c r="CI18" s="110">
        <v>20102004</v>
      </c>
      <c r="CJ18" s="36">
        <v>1000</v>
      </c>
      <c r="CK18" s="109">
        <v>1</v>
      </c>
      <c r="CL18" s="36">
        <v>1</v>
      </c>
      <c r="CN18" s="109"/>
    </row>
    <row r="19" spans="4:92" x14ac:dyDescent="0.15">
      <c r="F19" s="36">
        <v>17</v>
      </c>
      <c r="G19" s="36">
        <v>70090016</v>
      </c>
      <c r="H19" s="108">
        <v>0</v>
      </c>
      <c r="I19" s="108">
        <v>2</v>
      </c>
      <c r="J19" s="108">
        <v>1</v>
      </c>
      <c r="K19" s="108">
        <v>1000</v>
      </c>
      <c r="L19" s="36" t="s">
        <v>917</v>
      </c>
      <c r="M19" s="36" t="s">
        <v>877</v>
      </c>
      <c r="O19" s="100" t="s">
        <v>537</v>
      </c>
      <c r="P19" s="109">
        <v>11</v>
      </c>
      <c r="Q19" s="36">
        <v>20</v>
      </c>
      <c r="R19" s="108">
        <v>30000401</v>
      </c>
      <c r="S19" s="36">
        <v>200</v>
      </c>
      <c r="T19" s="36">
        <v>1</v>
      </c>
      <c r="U19" s="36">
        <v>1</v>
      </c>
      <c r="W19" s="100" t="s">
        <v>701</v>
      </c>
      <c r="X19" s="109">
        <v>11</v>
      </c>
      <c r="Y19" s="36">
        <v>20</v>
      </c>
      <c r="Z19" s="108">
        <v>30100401</v>
      </c>
      <c r="AA19" s="36">
        <v>100</v>
      </c>
      <c r="AB19" s="36">
        <v>1</v>
      </c>
      <c r="AC19" s="36">
        <v>1</v>
      </c>
      <c r="AE19" s="36" t="s">
        <v>568</v>
      </c>
      <c r="AF19" s="109">
        <v>11</v>
      </c>
      <c r="AG19" s="36">
        <v>20</v>
      </c>
      <c r="AH19" s="108">
        <v>30200401</v>
      </c>
      <c r="AI19" s="36">
        <v>100</v>
      </c>
      <c r="AJ19" s="36">
        <v>1</v>
      </c>
      <c r="AK19" s="36">
        <v>1</v>
      </c>
      <c r="AU19" s="109"/>
      <c r="AV19" s="36" t="s">
        <v>794</v>
      </c>
      <c r="AW19" s="109">
        <v>25</v>
      </c>
      <c r="AX19" s="109">
        <v>35</v>
      </c>
      <c r="AY19" s="110">
        <v>20102500</v>
      </c>
      <c r="AZ19" s="36">
        <v>1000</v>
      </c>
      <c r="BA19" s="109">
        <v>1</v>
      </c>
      <c r="BB19" s="36">
        <v>1</v>
      </c>
      <c r="BD19" s="109"/>
      <c r="BE19" s="36" t="s">
        <v>794</v>
      </c>
      <c r="BF19" s="109">
        <v>25</v>
      </c>
      <c r="BG19" s="109">
        <v>35</v>
      </c>
      <c r="BH19" s="110">
        <v>20102501</v>
      </c>
      <c r="BI19" s="36">
        <v>1000</v>
      </c>
      <c r="BJ19" s="109">
        <v>1</v>
      </c>
      <c r="BK19" s="36">
        <v>1</v>
      </c>
      <c r="BM19" s="109"/>
      <c r="BN19" s="36" t="s">
        <v>794</v>
      </c>
      <c r="BO19" s="109">
        <v>25</v>
      </c>
      <c r="BP19" s="109">
        <v>35</v>
      </c>
      <c r="BQ19" s="110">
        <v>20102502</v>
      </c>
      <c r="BR19" s="36">
        <v>1000</v>
      </c>
      <c r="BS19" s="109">
        <v>1</v>
      </c>
      <c r="BT19" s="36">
        <v>1</v>
      </c>
      <c r="BV19" s="109"/>
      <c r="BW19" s="36" t="s">
        <v>794</v>
      </c>
      <c r="BX19" s="109">
        <v>25</v>
      </c>
      <c r="BY19" s="109">
        <v>35</v>
      </c>
      <c r="BZ19" s="110">
        <v>20102503</v>
      </c>
      <c r="CA19" s="36">
        <v>1000</v>
      </c>
      <c r="CB19" s="109">
        <v>1</v>
      </c>
      <c r="CC19" s="36">
        <v>1</v>
      </c>
      <c r="CE19" s="109"/>
      <c r="CF19" s="36" t="s">
        <v>794</v>
      </c>
      <c r="CG19" s="109">
        <v>25</v>
      </c>
      <c r="CH19" s="109">
        <v>35</v>
      </c>
      <c r="CI19" s="110">
        <v>20102504</v>
      </c>
      <c r="CJ19" s="36">
        <v>1000</v>
      </c>
      <c r="CK19" s="109">
        <v>1</v>
      </c>
      <c r="CL19" s="36">
        <v>1</v>
      </c>
      <c r="CN19" s="109"/>
    </row>
    <row r="20" spans="4:92" x14ac:dyDescent="0.15">
      <c r="D20" s="206"/>
      <c r="E20" s="207"/>
      <c r="F20" s="36">
        <v>18</v>
      </c>
      <c r="G20" s="36">
        <v>70090017</v>
      </c>
      <c r="H20" s="108">
        <v>0</v>
      </c>
      <c r="I20" s="108">
        <v>2</v>
      </c>
      <c r="J20" s="108">
        <v>1</v>
      </c>
      <c r="K20" s="108">
        <v>1000</v>
      </c>
      <c r="L20" s="36" t="s">
        <v>917</v>
      </c>
      <c r="M20" s="36" t="s">
        <v>877</v>
      </c>
      <c r="O20" s="100" t="s">
        <v>540</v>
      </c>
      <c r="P20" s="109">
        <v>21</v>
      </c>
      <c r="Q20" s="36">
        <v>30</v>
      </c>
      <c r="R20" s="108">
        <v>30000402</v>
      </c>
      <c r="S20" s="36">
        <v>200</v>
      </c>
      <c r="T20" s="36">
        <v>1</v>
      </c>
      <c r="U20" s="36">
        <v>1</v>
      </c>
      <c r="W20" s="100" t="s">
        <v>702</v>
      </c>
      <c r="X20" s="109">
        <v>21</v>
      </c>
      <c r="Y20" s="36">
        <v>30</v>
      </c>
      <c r="Z20" s="108">
        <v>30100402</v>
      </c>
      <c r="AA20" s="36">
        <v>100</v>
      </c>
      <c r="AB20" s="36">
        <v>1</v>
      </c>
      <c r="AC20" s="36">
        <v>1</v>
      </c>
      <c r="AE20" s="36" t="s">
        <v>571</v>
      </c>
      <c r="AF20" s="109">
        <v>21</v>
      </c>
      <c r="AG20" s="36">
        <v>30</v>
      </c>
      <c r="AH20" s="108">
        <v>30200402</v>
      </c>
      <c r="AI20" s="36">
        <v>100</v>
      </c>
      <c r="AJ20" s="36">
        <v>1</v>
      </c>
      <c r="AK20" s="36">
        <v>1</v>
      </c>
      <c r="AU20" s="109"/>
      <c r="AV20" s="36" t="s">
        <v>795</v>
      </c>
      <c r="AW20" s="109">
        <v>30</v>
      </c>
      <c r="AX20" s="109">
        <v>40</v>
      </c>
      <c r="AY20" s="110">
        <v>20103000</v>
      </c>
      <c r="AZ20" s="36">
        <v>1000</v>
      </c>
      <c r="BA20" s="109">
        <v>1</v>
      </c>
      <c r="BB20" s="36">
        <v>1</v>
      </c>
      <c r="BD20" s="109"/>
      <c r="BE20" s="36" t="s">
        <v>795</v>
      </c>
      <c r="BF20" s="109">
        <v>30</v>
      </c>
      <c r="BG20" s="109">
        <v>40</v>
      </c>
      <c r="BH20" s="110">
        <v>20103001</v>
      </c>
      <c r="BI20" s="36">
        <v>1000</v>
      </c>
      <c r="BJ20" s="109">
        <v>1</v>
      </c>
      <c r="BK20" s="36">
        <v>1</v>
      </c>
      <c r="BM20" s="109"/>
      <c r="BN20" s="36" t="s">
        <v>795</v>
      </c>
      <c r="BO20" s="109">
        <v>30</v>
      </c>
      <c r="BP20" s="109">
        <v>40</v>
      </c>
      <c r="BQ20" s="110">
        <v>20103002</v>
      </c>
      <c r="BR20" s="36">
        <v>1000</v>
      </c>
      <c r="BS20" s="109">
        <v>1</v>
      </c>
      <c r="BT20" s="36">
        <v>1</v>
      </c>
      <c r="BV20" s="109"/>
      <c r="BW20" s="36" t="s">
        <v>795</v>
      </c>
      <c r="BX20" s="109">
        <v>30</v>
      </c>
      <c r="BY20" s="109">
        <v>40</v>
      </c>
      <c r="BZ20" s="110">
        <v>20103003</v>
      </c>
      <c r="CA20" s="36">
        <v>1000</v>
      </c>
      <c r="CB20" s="109">
        <v>1</v>
      </c>
      <c r="CC20" s="36">
        <v>1</v>
      </c>
      <c r="CE20" s="109"/>
      <c r="CF20" s="36" t="s">
        <v>795</v>
      </c>
      <c r="CG20" s="109">
        <v>30</v>
      </c>
      <c r="CH20" s="109">
        <v>40</v>
      </c>
      <c r="CI20" s="110">
        <v>20103004</v>
      </c>
      <c r="CJ20" s="36">
        <v>1000</v>
      </c>
      <c r="CK20" s="109">
        <v>1</v>
      </c>
      <c r="CL20" s="36">
        <v>1</v>
      </c>
      <c r="CN20" s="109"/>
    </row>
    <row r="21" spans="4:92" x14ac:dyDescent="0.15">
      <c r="D21" s="208"/>
      <c r="E21" s="209"/>
      <c r="F21" s="36">
        <v>19</v>
      </c>
      <c r="G21" s="36">
        <v>70090018</v>
      </c>
      <c r="H21" s="108">
        <v>0</v>
      </c>
      <c r="I21" s="108">
        <v>2</v>
      </c>
      <c r="J21" s="108">
        <v>1</v>
      </c>
      <c r="K21" s="108">
        <v>1000</v>
      </c>
      <c r="L21" s="36" t="s">
        <v>917</v>
      </c>
      <c r="M21" s="36" t="s">
        <v>877</v>
      </c>
      <c r="O21" s="100" t="s">
        <v>543</v>
      </c>
      <c r="P21" s="109">
        <v>31</v>
      </c>
      <c r="Q21" s="36">
        <v>40</v>
      </c>
      <c r="R21" s="108">
        <v>30000403</v>
      </c>
      <c r="S21" s="36">
        <v>200</v>
      </c>
      <c r="T21" s="36">
        <v>1</v>
      </c>
      <c r="U21" s="36">
        <v>1</v>
      </c>
      <c r="W21" s="100" t="s">
        <v>703</v>
      </c>
      <c r="X21" s="109">
        <v>31</v>
      </c>
      <c r="Y21" s="36">
        <v>40</v>
      </c>
      <c r="Z21" s="108">
        <v>30100403</v>
      </c>
      <c r="AA21" s="36">
        <v>100</v>
      </c>
      <c r="AB21" s="36">
        <v>1</v>
      </c>
      <c r="AC21" s="36">
        <v>1</v>
      </c>
      <c r="AE21" s="36" t="s">
        <v>574</v>
      </c>
      <c r="AF21" s="109">
        <v>31</v>
      </c>
      <c r="AG21" s="36">
        <v>40</v>
      </c>
      <c r="AH21" s="108">
        <v>30200403</v>
      </c>
      <c r="AI21" s="36">
        <v>100</v>
      </c>
      <c r="AJ21" s="36">
        <v>1</v>
      </c>
      <c r="AK21" s="36">
        <v>1</v>
      </c>
      <c r="AU21" s="109"/>
      <c r="AV21" s="36" t="s">
        <v>796</v>
      </c>
      <c r="AW21" s="109">
        <v>35</v>
      </c>
      <c r="AX21" s="109">
        <v>45</v>
      </c>
      <c r="AY21" s="110">
        <v>20103500</v>
      </c>
      <c r="AZ21" s="36">
        <v>1000</v>
      </c>
      <c r="BA21" s="109">
        <v>1</v>
      </c>
      <c r="BB21" s="36">
        <v>1</v>
      </c>
      <c r="BD21" s="109"/>
      <c r="BE21" s="36" t="s">
        <v>796</v>
      </c>
      <c r="BF21" s="109">
        <v>35</v>
      </c>
      <c r="BG21" s="109">
        <v>45</v>
      </c>
      <c r="BH21" s="110">
        <v>20103501</v>
      </c>
      <c r="BI21" s="36">
        <v>1000</v>
      </c>
      <c r="BJ21" s="109">
        <v>1</v>
      </c>
      <c r="BK21" s="36">
        <v>1</v>
      </c>
      <c r="BM21" s="109"/>
      <c r="BN21" s="36" t="s">
        <v>796</v>
      </c>
      <c r="BO21" s="109">
        <v>35</v>
      </c>
      <c r="BP21" s="109">
        <v>45</v>
      </c>
      <c r="BQ21" s="110">
        <v>20103502</v>
      </c>
      <c r="BR21" s="36">
        <v>1000</v>
      </c>
      <c r="BS21" s="109">
        <v>1</v>
      </c>
      <c r="BT21" s="36">
        <v>1</v>
      </c>
      <c r="BV21" s="109"/>
      <c r="BW21" s="36" t="s">
        <v>796</v>
      </c>
      <c r="BX21" s="109">
        <v>35</v>
      </c>
      <c r="BY21" s="109">
        <v>45</v>
      </c>
      <c r="BZ21" s="110">
        <v>20103503</v>
      </c>
      <c r="CA21" s="36">
        <v>1000</v>
      </c>
      <c r="CB21" s="109">
        <v>1</v>
      </c>
      <c r="CC21" s="36">
        <v>1</v>
      </c>
      <c r="CE21" s="109"/>
      <c r="CF21" s="36" t="s">
        <v>796</v>
      </c>
      <c r="CG21" s="109">
        <v>35</v>
      </c>
      <c r="CH21" s="109">
        <v>45</v>
      </c>
      <c r="CI21" s="110">
        <v>20103504</v>
      </c>
      <c r="CJ21" s="36">
        <v>1000</v>
      </c>
      <c r="CK21" s="109">
        <v>1</v>
      </c>
      <c r="CL21" s="36">
        <v>1</v>
      </c>
      <c r="CN21" s="109"/>
    </row>
    <row r="22" spans="4:92" x14ac:dyDescent="0.15">
      <c r="D22" s="210"/>
      <c r="E22" s="211"/>
      <c r="F22" s="36">
        <v>20</v>
      </c>
      <c r="G22" s="36">
        <v>70090019</v>
      </c>
      <c r="H22" s="108">
        <v>0</v>
      </c>
      <c r="I22" s="108">
        <v>2</v>
      </c>
      <c r="J22" s="108">
        <v>1</v>
      </c>
      <c r="K22" s="108">
        <v>1000</v>
      </c>
      <c r="L22" s="36" t="s">
        <v>918</v>
      </c>
      <c r="M22" s="36" t="s">
        <v>877</v>
      </c>
      <c r="O22" s="100" t="s">
        <v>546</v>
      </c>
      <c r="P22" s="109">
        <v>41</v>
      </c>
      <c r="Q22" s="36">
        <v>50</v>
      </c>
      <c r="R22" s="108">
        <v>30000404</v>
      </c>
      <c r="S22" s="36">
        <v>200</v>
      </c>
      <c r="T22" s="36">
        <v>1</v>
      </c>
      <c r="U22" s="36">
        <v>1</v>
      </c>
      <c r="W22" s="100" t="s">
        <v>704</v>
      </c>
      <c r="X22" s="109">
        <v>41</v>
      </c>
      <c r="Y22" s="36">
        <v>50</v>
      </c>
      <c r="Z22" s="108">
        <v>30100404</v>
      </c>
      <c r="AA22" s="36">
        <v>100</v>
      </c>
      <c r="AB22" s="36">
        <v>1</v>
      </c>
      <c r="AC22" s="36">
        <v>1</v>
      </c>
      <c r="AE22" s="36" t="s">
        <v>577</v>
      </c>
      <c r="AF22" s="109">
        <v>41</v>
      </c>
      <c r="AG22" s="36">
        <v>50</v>
      </c>
      <c r="AH22" s="108">
        <v>30200404</v>
      </c>
      <c r="AI22" s="36">
        <v>100</v>
      </c>
      <c r="AJ22" s="36">
        <v>1</v>
      </c>
      <c r="AK22" s="36">
        <v>1</v>
      </c>
      <c r="AU22" s="109"/>
      <c r="AV22" s="36" t="s">
        <v>797</v>
      </c>
      <c r="AW22" s="109">
        <v>40</v>
      </c>
      <c r="AX22" s="109">
        <v>50</v>
      </c>
      <c r="AY22" s="110">
        <v>20104000</v>
      </c>
      <c r="AZ22" s="36">
        <v>1000</v>
      </c>
      <c r="BA22" s="109">
        <v>1</v>
      </c>
      <c r="BB22" s="36">
        <v>1</v>
      </c>
      <c r="BD22" s="109"/>
      <c r="BE22" s="36" t="s">
        <v>797</v>
      </c>
      <c r="BF22" s="109">
        <v>40</v>
      </c>
      <c r="BG22" s="109">
        <v>50</v>
      </c>
      <c r="BH22" s="110">
        <v>20104001</v>
      </c>
      <c r="BI22" s="36">
        <v>1000</v>
      </c>
      <c r="BJ22" s="109">
        <v>1</v>
      </c>
      <c r="BK22" s="36">
        <v>1</v>
      </c>
      <c r="BM22" s="109"/>
      <c r="BN22" s="36" t="s">
        <v>797</v>
      </c>
      <c r="BO22" s="109">
        <v>40</v>
      </c>
      <c r="BP22" s="109">
        <v>50</v>
      </c>
      <c r="BQ22" s="110">
        <v>20104002</v>
      </c>
      <c r="BR22" s="36">
        <v>1000</v>
      </c>
      <c r="BS22" s="109">
        <v>1</v>
      </c>
      <c r="BT22" s="36">
        <v>1</v>
      </c>
      <c r="BV22" s="109"/>
      <c r="BW22" s="36" t="s">
        <v>797</v>
      </c>
      <c r="BX22" s="109">
        <v>40</v>
      </c>
      <c r="BY22" s="109">
        <v>50</v>
      </c>
      <c r="BZ22" s="110">
        <v>20104003</v>
      </c>
      <c r="CA22" s="36">
        <v>1000</v>
      </c>
      <c r="CB22" s="109">
        <v>1</v>
      </c>
      <c r="CC22" s="36">
        <v>1</v>
      </c>
      <c r="CE22" s="109"/>
      <c r="CF22" s="36" t="s">
        <v>797</v>
      </c>
      <c r="CG22" s="109">
        <v>40</v>
      </c>
      <c r="CH22" s="109">
        <v>50</v>
      </c>
      <c r="CI22" s="110">
        <v>20104004</v>
      </c>
      <c r="CJ22" s="36">
        <v>1000</v>
      </c>
      <c r="CK22" s="109">
        <v>1</v>
      </c>
      <c r="CL22" s="36">
        <v>1</v>
      </c>
      <c r="CN22" s="109"/>
    </row>
    <row r="23" spans="4:92" x14ac:dyDescent="0.15">
      <c r="F23" s="36">
        <v>21</v>
      </c>
      <c r="G23" s="36">
        <v>70090020</v>
      </c>
      <c r="H23" s="108">
        <v>0</v>
      </c>
      <c r="I23" s="108">
        <v>3</v>
      </c>
      <c r="J23" s="108">
        <v>1</v>
      </c>
      <c r="K23" s="108">
        <v>1000</v>
      </c>
      <c r="L23" s="36" t="s">
        <v>919</v>
      </c>
      <c r="M23" s="36" t="s">
        <v>877</v>
      </c>
      <c r="O23" s="100" t="s">
        <v>549</v>
      </c>
      <c r="P23" s="109">
        <v>1</v>
      </c>
      <c r="Q23" s="36">
        <v>10</v>
      </c>
      <c r="R23" s="108">
        <v>30000500</v>
      </c>
      <c r="S23" s="36">
        <v>200</v>
      </c>
      <c r="T23" s="36">
        <v>1</v>
      </c>
      <c r="U23" s="36">
        <v>1</v>
      </c>
      <c r="W23" s="100" t="s">
        <v>705</v>
      </c>
      <c r="X23" s="109">
        <v>1</v>
      </c>
      <c r="Y23" s="36">
        <v>10</v>
      </c>
      <c r="Z23" s="108">
        <v>30100500</v>
      </c>
      <c r="AA23" s="36">
        <v>100</v>
      </c>
      <c r="AB23" s="36">
        <v>1</v>
      </c>
      <c r="AC23" s="36">
        <v>1</v>
      </c>
      <c r="AE23" s="36" t="s">
        <v>550</v>
      </c>
      <c r="AF23" s="109">
        <v>1</v>
      </c>
      <c r="AG23" s="36">
        <v>10</v>
      </c>
      <c r="AH23" s="108">
        <v>30200500</v>
      </c>
      <c r="AI23" s="36">
        <v>100</v>
      </c>
      <c r="AJ23" s="36">
        <v>1</v>
      </c>
      <c r="AK23" s="36">
        <v>1</v>
      </c>
      <c r="AU23" s="109"/>
      <c r="AV23" s="36" t="s">
        <v>798</v>
      </c>
      <c r="AW23" s="109">
        <v>45</v>
      </c>
      <c r="AX23" s="109">
        <v>50</v>
      </c>
      <c r="AY23" s="110">
        <v>20104500</v>
      </c>
      <c r="AZ23" s="36">
        <v>1000</v>
      </c>
      <c r="BA23" s="109">
        <v>1</v>
      </c>
      <c r="BB23" s="36">
        <v>1</v>
      </c>
      <c r="BD23" s="109"/>
      <c r="BE23" s="36" t="s">
        <v>798</v>
      </c>
      <c r="BF23" s="109">
        <v>45</v>
      </c>
      <c r="BG23" s="109">
        <v>50</v>
      </c>
      <c r="BH23" s="110">
        <v>20104501</v>
      </c>
      <c r="BI23" s="36">
        <v>1000</v>
      </c>
      <c r="BJ23" s="109">
        <v>1</v>
      </c>
      <c r="BK23" s="36">
        <v>1</v>
      </c>
      <c r="BM23" s="109"/>
      <c r="BN23" s="36" t="s">
        <v>798</v>
      </c>
      <c r="BO23" s="109">
        <v>45</v>
      </c>
      <c r="BP23" s="109">
        <v>50</v>
      </c>
      <c r="BQ23" s="110">
        <v>20104502</v>
      </c>
      <c r="BR23" s="36">
        <v>1000</v>
      </c>
      <c r="BS23" s="109">
        <v>1</v>
      </c>
      <c r="BT23" s="36">
        <v>1</v>
      </c>
      <c r="BV23" s="109"/>
      <c r="BW23" s="36" t="s">
        <v>798</v>
      </c>
      <c r="BX23" s="109">
        <v>45</v>
      </c>
      <c r="BY23" s="109">
        <v>50</v>
      </c>
      <c r="BZ23" s="110">
        <v>20104503</v>
      </c>
      <c r="CA23" s="36">
        <v>1000</v>
      </c>
      <c r="CB23" s="109">
        <v>1</v>
      </c>
      <c r="CC23" s="36">
        <v>1</v>
      </c>
      <c r="CE23" s="109"/>
      <c r="CF23" s="36" t="s">
        <v>798</v>
      </c>
      <c r="CG23" s="109">
        <v>45</v>
      </c>
      <c r="CH23" s="109">
        <v>50</v>
      </c>
      <c r="CI23" s="110">
        <v>20104504</v>
      </c>
      <c r="CJ23" s="36">
        <v>1000</v>
      </c>
      <c r="CK23" s="109">
        <v>1</v>
      </c>
      <c r="CL23" s="36">
        <v>1</v>
      </c>
      <c r="CN23" s="109"/>
    </row>
    <row r="24" spans="4:92" x14ac:dyDescent="0.15">
      <c r="D24" s="206"/>
      <c r="E24" s="207"/>
      <c r="F24" s="36">
        <v>22</v>
      </c>
      <c r="G24" s="36">
        <v>70090021</v>
      </c>
      <c r="H24" s="108">
        <v>0</v>
      </c>
      <c r="I24" s="108">
        <v>3</v>
      </c>
      <c r="J24" s="108">
        <v>1</v>
      </c>
      <c r="K24" s="108">
        <v>1000</v>
      </c>
      <c r="L24" s="36" t="s">
        <v>919</v>
      </c>
      <c r="M24" s="36" t="s">
        <v>877</v>
      </c>
      <c r="O24" s="100" t="s">
        <v>552</v>
      </c>
      <c r="P24" s="109">
        <v>11</v>
      </c>
      <c r="Q24" s="36">
        <v>20</v>
      </c>
      <c r="R24" s="108">
        <v>30000501</v>
      </c>
      <c r="S24" s="36">
        <v>200</v>
      </c>
      <c r="T24" s="36">
        <v>1</v>
      </c>
      <c r="U24" s="36">
        <v>1</v>
      </c>
      <c r="W24" s="100" t="s">
        <v>706</v>
      </c>
      <c r="X24" s="109">
        <v>11</v>
      </c>
      <c r="Y24" s="36">
        <v>20</v>
      </c>
      <c r="Z24" s="108">
        <v>30100501</v>
      </c>
      <c r="AA24" s="36">
        <v>100</v>
      </c>
      <c r="AB24" s="36">
        <v>1</v>
      </c>
      <c r="AC24" s="36">
        <v>1</v>
      </c>
      <c r="AE24" s="36" t="s">
        <v>553</v>
      </c>
      <c r="AF24" s="109">
        <v>11</v>
      </c>
      <c r="AG24" s="36">
        <v>20</v>
      </c>
      <c r="AH24" s="108">
        <v>30200501</v>
      </c>
      <c r="AI24" s="36">
        <v>100</v>
      </c>
      <c r="AJ24" s="36">
        <v>1</v>
      </c>
      <c r="AK24" s="36">
        <v>1</v>
      </c>
      <c r="AU24" s="109"/>
      <c r="AV24" s="36" t="s">
        <v>799</v>
      </c>
      <c r="AW24" s="109">
        <v>45</v>
      </c>
      <c r="AX24" s="109">
        <v>50</v>
      </c>
      <c r="AY24" s="110">
        <v>20105000</v>
      </c>
      <c r="AZ24" s="36">
        <v>1000</v>
      </c>
      <c r="BA24" s="109">
        <v>1</v>
      </c>
      <c r="BB24" s="36">
        <v>1</v>
      </c>
      <c r="BD24" s="109"/>
      <c r="BE24" s="36" t="s">
        <v>799</v>
      </c>
      <c r="BF24" s="109">
        <v>45</v>
      </c>
      <c r="BG24" s="109">
        <v>50</v>
      </c>
      <c r="BH24" s="110">
        <v>20105001</v>
      </c>
      <c r="BI24" s="36">
        <v>1000</v>
      </c>
      <c r="BJ24" s="109">
        <v>1</v>
      </c>
      <c r="BK24" s="36">
        <v>1</v>
      </c>
      <c r="BM24" s="109"/>
      <c r="BN24" s="36" t="s">
        <v>799</v>
      </c>
      <c r="BO24" s="109">
        <v>45</v>
      </c>
      <c r="BP24" s="109">
        <v>50</v>
      </c>
      <c r="BQ24" s="110">
        <v>20105002</v>
      </c>
      <c r="BR24" s="36">
        <v>1000</v>
      </c>
      <c r="BS24" s="109">
        <v>1</v>
      </c>
      <c r="BT24" s="36">
        <v>1</v>
      </c>
      <c r="BV24" s="109"/>
      <c r="BW24" s="36" t="s">
        <v>799</v>
      </c>
      <c r="BX24" s="109">
        <v>45</v>
      </c>
      <c r="BY24" s="109">
        <v>50</v>
      </c>
      <c r="BZ24" s="110">
        <v>20105003</v>
      </c>
      <c r="CA24" s="36">
        <v>1000</v>
      </c>
      <c r="CB24" s="109">
        <v>1</v>
      </c>
      <c r="CC24" s="36">
        <v>1</v>
      </c>
      <c r="CE24" s="109"/>
      <c r="CF24" s="36" t="s">
        <v>799</v>
      </c>
      <c r="CG24" s="109">
        <v>45</v>
      </c>
      <c r="CH24" s="109">
        <v>50</v>
      </c>
      <c r="CI24" s="110">
        <v>20105004</v>
      </c>
      <c r="CJ24" s="36">
        <v>1000</v>
      </c>
      <c r="CK24" s="109">
        <v>1</v>
      </c>
      <c r="CL24" s="36">
        <v>1</v>
      </c>
      <c r="CN24" s="109"/>
    </row>
    <row r="25" spans="4:92" x14ac:dyDescent="0.15">
      <c r="D25" s="208"/>
      <c r="E25" s="209"/>
      <c r="F25" s="36">
        <v>23</v>
      </c>
      <c r="G25" s="36">
        <v>70090022</v>
      </c>
      <c r="H25" s="108">
        <v>0</v>
      </c>
      <c r="I25" s="108">
        <v>3</v>
      </c>
      <c r="J25" s="108">
        <v>1</v>
      </c>
      <c r="K25" s="108">
        <v>1000</v>
      </c>
      <c r="L25" s="36" t="s">
        <v>919</v>
      </c>
      <c r="M25" s="36" t="s">
        <v>877</v>
      </c>
      <c r="O25" s="100" t="s">
        <v>555</v>
      </c>
      <c r="P25" s="109">
        <v>21</v>
      </c>
      <c r="Q25" s="36">
        <v>30</v>
      </c>
      <c r="R25" s="108">
        <v>30000502</v>
      </c>
      <c r="S25" s="36">
        <v>200</v>
      </c>
      <c r="T25" s="36">
        <v>1</v>
      </c>
      <c r="U25" s="36">
        <v>1</v>
      </c>
      <c r="W25" s="100" t="s">
        <v>707</v>
      </c>
      <c r="X25" s="109">
        <v>21</v>
      </c>
      <c r="Y25" s="36">
        <v>30</v>
      </c>
      <c r="Z25" s="108">
        <v>30100502</v>
      </c>
      <c r="AA25" s="36">
        <v>100</v>
      </c>
      <c r="AB25" s="36">
        <v>1</v>
      </c>
      <c r="AC25" s="36">
        <v>1</v>
      </c>
      <c r="AE25" s="36" t="s">
        <v>556</v>
      </c>
      <c r="AF25" s="109">
        <v>21</v>
      </c>
      <c r="AG25" s="36">
        <v>30</v>
      </c>
      <c r="AH25" s="108">
        <v>30200502</v>
      </c>
      <c r="AI25" s="36">
        <v>100</v>
      </c>
      <c r="AJ25" s="36">
        <v>1</v>
      </c>
      <c r="AK25" s="36">
        <v>1</v>
      </c>
      <c r="AU25" s="109"/>
      <c r="AV25" s="36" t="s">
        <v>800</v>
      </c>
      <c r="AW25" s="36">
        <v>1</v>
      </c>
      <c r="AX25" s="109">
        <v>10</v>
      </c>
      <c r="AY25" s="110">
        <v>20200100</v>
      </c>
      <c r="AZ25" s="36">
        <v>1000</v>
      </c>
      <c r="BA25" s="109">
        <v>1</v>
      </c>
      <c r="BB25" s="36">
        <v>1</v>
      </c>
      <c r="BD25" s="109"/>
      <c r="BE25" s="36" t="s">
        <v>800</v>
      </c>
      <c r="BF25" s="36">
        <v>1</v>
      </c>
      <c r="BG25" s="109">
        <v>10</v>
      </c>
      <c r="BH25" s="110">
        <v>20200101</v>
      </c>
      <c r="BI25" s="36">
        <v>1000</v>
      </c>
      <c r="BJ25" s="109">
        <v>1</v>
      </c>
      <c r="BK25" s="36">
        <v>1</v>
      </c>
      <c r="BM25" s="109"/>
      <c r="BN25" s="36" t="s">
        <v>800</v>
      </c>
      <c r="BO25" s="36">
        <v>1</v>
      </c>
      <c r="BP25" s="109">
        <v>10</v>
      </c>
      <c r="BQ25" s="110">
        <v>20200102</v>
      </c>
      <c r="BR25" s="36">
        <v>1000</v>
      </c>
      <c r="BS25" s="109">
        <v>1</v>
      </c>
      <c r="BT25" s="36">
        <v>1</v>
      </c>
      <c r="BV25" s="109"/>
      <c r="BW25" s="36" t="s">
        <v>800</v>
      </c>
      <c r="BX25" s="36">
        <v>1</v>
      </c>
      <c r="BY25" s="109">
        <v>10</v>
      </c>
      <c r="BZ25" s="110">
        <v>20200103</v>
      </c>
      <c r="CA25" s="36">
        <v>1000</v>
      </c>
      <c r="CB25" s="109">
        <v>1</v>
      </c>
      <c r="CC25" s="36">
        <v>1</v>
      </c>
      <c r="CE25" s="109"/>
      <c r="CF25" s="36" t="s">
        <v>800</v>
      </c>
      <c r="CG25" s="36">
        <v>1</v>
      </c>
      <c r="CH25" s="109">
        <v>10</v>
      </c>
      <c r="CI25" s="110">
        <v>20200104</v>
      </c>
      <c r="CJ25" s="36">
        <v>1000</v>
      </c>
      <c r="CK25" s="109">
        <v>1</v>
      </c>
      <c r="CL25" s="36">
        <v>1</v>
      </c>
      <c r="CN25" s="109"/>
    </row>
    <row r="26" spans="4:92" x14ac:dyDescent="0.15">
      <c r="D26" s="210"/>
      <c r="E26" s="211"/>
      <c r="F26" s="36">
        <v>24</v>
      </c>
      <c r="G26" s="36">
        <v>70090023</v>
      </c>
      <c r="H26" s="108">
        <v>0</v>
      </c>
      <c r="I26" s="108">
        <v>3</v>
      </c>
      <c r="J26" s="108">
        <v>1</v>
      </c>
      <c r="K26" s="108">
        <v>1000</v>
      </c>
      <c r="L26" s="36" t="s">
        <v>919</v>
      </c>
      <c r="M26" s="36" t="s">
        <v>877</v>
      </c>
      <c r="O26" s="100" t="s">
        <v>558</v>
      </c>
      <c r="P26" s="109">
        <v>31</v>
      </c>
      <c r="Q26" s="36">
        <v>40</v>
      </c>
      <c r="R26" s="108">
        <v>30000503</v>
      </c>
      <c r="S26" s="36">
        <v>200</v>
      </c>
      <c r="T26" s="36">
        <v>1</v>
      </c>
      <c r="U26" s="36">
        <v>1</v>
      </c>
      <c r="W26" s="100" t="s">
        <v>708</v>
      </c>
      <c r="X26" s="109">
        <v>31</v>
      </c>
      <c r="Y26" s="36">
        <v>40</v>
      </c>
      <c r="Z26" s="108">
        <v>30100503</v>
      </c>
      <c r="AA26" s="36">
        <v>100</v>
      </c>
      <c r="AB26" s="36">
        <v>1</v>
      </c>
      <c r="AC26" s="36">
        <v>1</v>
      </c>
      <c r="AE26" s="36" t="s">
        <v>559</v>
      </c>
      <c r="AF26" s="109">
        <v>31</v>
      </c>
      <c r="AG26" s="36">
        <v>40</v>
      </c>
      <c r="AH26" s="108">
        <v>30200503</v>
      </c>
      <c r="AI26" s="36">
        <v>100</v>
      </c>
      <c r="AJ26" s="36">
        <v>1</v>
      </c>
      <c r="AK26" s="36">
        <v>1</v>
      </c>
      <c r="AU26" s="109"/>
      <c r="AV26" s="36" t="s">
        <v>801</v>
      </c>
      <c r="AW26" s="109">
        <v>5</v>
      </c>
      <c r="AX26" s="109">
        <v>15</v>
      </c>
      <c r="AY26" s="110">
        <v>20200500</v>
      </c>
      <c r="AZ26" s="36">
        <v>1000</v>
      </c>
      <c r="BA26" s="109">
        <v>1</v>
      </c>
      <c r="BB26" s="36">
        <v>1</v>
      </c>
      <c r="BD26" s="109"/>
      <c r="BE26" s="36" t="s">
        <v>801</v>
      </c>
      <c r="BF26" s="109">
        <v>5</v>
      </c>
      <c r="BG26" s="109">
        <v>15</v>
      </c>
      <c r="BH26" s="110">
        <v>20200501</v>
      </c>
      <c r="BI26" s="36">
        <v>1000</v>
      </c>
      <c r="BJ26" s="109">
        <v>1</v>
      </c>
      <c r="BK26" s="36">
        <v>1</v>
      </c>
      <c r="BM26" s="109"/>
      <c r="BN26" s="36" t="s">
        <v>801</v>
      </c>
      <c r="BO26" s="109">
        <v>5</v>
      </c>
      <c r="BP26" s="109">
        <v>15</v>
      </c>
      <c r="BQ26" s="110">
        <v>20200502</v>
      </c>
      <c r="BR26" s="36">
        <v>1000</v>
      </c>
      <c r="BS26" s="109">
        <v>1</v>
      </c>
      <c r="BT26" s="36">
        <v>1</v>
      </c>
      <c r="BV26" s="109"/>
      <c r="BW26" s="36" t="s">
        <v>801</v>
      </c>
      <c r="BX26" s="109">
        <v>5</v>
      </c>
      <c r="BY26" s="109">
        <v>15</v>
      </c>
      <c r="BZ26" s="110">
        <v>20200503</v>
      </c>
      <c r="CA26" s="36">
        <v>1000</v>
      </c>
      <c r="CB26" s="109">
        <v>1</v>
      </c>
      <c r="CC26" s="36">
        <v>1</v>
      </c>
      <c r="CE26" s="109"/>
      <c r="CF26" s="36" t="s">
        <v>801</v>
      </c>
      <c r="CG26" s="109">
        <v>5</v>
      </c>
      <c r="CH26" s="109">
        <v>15</v>
      </c>
      <c r="CI26" s="110">
        <v>20200504</v>
      </c>
      <c r="CJ26" s="36">
        <v>1000</v>
      </c>
      <c r="CK26" s="109">
        <v>1</v>
      </c>
      <c r="CL26" s="36">
        <v>1</v>
      </c>
      <c r="CN26" s="109"/>
    </row>
    <row r="27" spans="4:92" x14ac:dyDescent="0.15">
      <c r="F27" s="36">
        <v>25</v>
      </c>
      <c r="G27" s="36">
        <v>70090024</v>
      </c>
      <c r="H27" s="108">
        <v>0</v>
      </c>
      <c r="I27" s="108">
        <v>3</v>
      </c>
      <c r="J27" s="108">
        <v>1</v>
      </c>
      <c r="K27" s="108">
        <v>1000</v>
      </c>
      <c r="L27" s="36" t="s">
        <v>920</v>
      </c>
      <c r="M27" s="36" t="s">
        <v>877</v>
      </c>
      <c r="O27" s="100" t="s">
        <v>561</v>
      </c>
      <c r="P27" s="109">
        <v>41</v>
      </c>
      <c r="Q27" s="36">
        <v>50</v>
      </c>
      <c r="R27" s="108">
        <v>30000504</v>
      </c>
      <c r="S27" s="36">
        <v>200</v>
      </c>
      <c r="T27" s="36">
        <v>1</v>
      </c>
      <c r="U27" s="36">
        <v>1</v>
      </c>
      <c r="W27" s="100" t="s">
        <v>709</v>
      </c>
      <c r="X27" s="109">
        <v>41</v>
      </c>
      <c r="Y27" s="36">
        <v>50</v>
      </c>
      <c r="Z27" s="108">
        <v>30100504</v>
      </c>
      <c r="AA27" s="36">
        <v>100</v>
      </c>
      <c r="AB27" s="36">
        <v>1</v>
      </c>
      <c r="AC27" s="36">
        <v>1</v>
      </c>
      <c r="AE27" s="36" t="s">
        <v>562</v>
      </c>
      <c r="AF27" s="109">
        <v>41</v>
      </c>
      <c r="AG27" s="36">
        <v>50</v>
      </c>
      <c r="AH27" s="108">
        <v>30200504</v>
      </c>
      <c r="AI27" s="36">
        <v>100</v>
      </c>
      <c r="AJ27" s="36">
        <v>1</v>
      </c>
      <c r="AK27" s="36">
        <v>1</v>
      </c>
      <c r="AU27" s="109"/>
      <c r="AV27" s="36" t="s">
        <v>802</v>
      </c>
      <c r="AW27" s="109">
        <v>10</v>
      </c>
      <c r="AX27" s="109">
        <v>20</v>
      </c>
      <c r="AY27" s="110">
        <v>20201000</v>
      </c>
      <c r="AZ27" s="36">
        <v>1000</v>
      </c>
      <c r="BA27" s="109">
        <v>1</v>
      </c>
      <c r="BB27" s="36">
        <v>1</v>
      </c>
      <c r="BD27" s="109"/>
      <c r="BE27" s="36" t="s">
        <v>802</v>
      </c>
      <c r="BF27" s="109">
        <v>10</v>
      </c>
      <c r="BG27" s="109">
        <v>20</v>
      </c>
      <c r="BH27" s="110">
        <v>20201001</v>
      </c>
      <c r="BI27" s="36">
        <v>1000</v>
      </c>
      <c r="BJ27" s="109">
        <v>1</v>
      </c>
      <c r="BK27" s="36">
        <v>1</v>
      </c>
      <c r="BM27" s="109"/>
      <c r="BN27" s="36" t="s">
        <v>802</v>
      </c>
      <c r="BO27" s="109">
        <v>10</v>
      </c>
      <c r="BP27" s="109">
        <v>20</v>
      </c>
      <c r="BQ27" s="110">
        <v>20201002</v>
      </c>
      <c r="BR27" s="36">
        <v>1000</v>
      </c>
      <c r="BS27" s="109">
        <v>1</v>
      </c>
      <c r="BT27" s="36">
        <v>1</v>
      </c>
      <c r="BV27" s="109"/>
      <c r="BW27" s="36" t="s">
        <v>802</v>
      </c>
      <c r="BX27" s="109">
        <v>10</v>
      </c>
      <c r="BY27" s="109">
        <v>20</v>
      </c>
      <c r="BZ27" s="110">
        <v>20201003</v>
      </c>
      <c r="CA27" s="36">
        <v>1000</v>
      </c>
      <c r="CB27" s="109">
        <v>1</v>
      </c>
      <c r="CC27" s="36">
        <v>1</v>
      </c>
      <c r="CE27" s="109"/>
      <c r="CF27" s="36" t="s">
        <v>802</v>
      </c>
      <c r="CG27" s="109">
        <v>10</v>
      </c>
      <c r="CH27" s="109">
        <v>20</v>
      </c>
      <c r="CI27" s="110">
        <v>20201004</v>
      </c>
      <c r="CJ27" s="36">
        <v>1000</v>
      </c>
      <c r="CK27" s="109">
        <v>1</v>
      </c>
      <c r="CL27" s="36">
        <v>1</v>
      </c>
      <c r="CN27" s="109"/>
    </row>
    <row r="28" spans="4:92" x14ac:dyDescent="0.15">
      <c r="D28" s="206"/>
      <c r="E28" s="207"/>
      <c r="F28" s="36">
        <v>26</v>
      </c>
      <c r="G28" s="36">
        <v>70090025</v>
      </c>
      <c r="H28" s="108">
        <v>0</v>
      </c>
      <c r="I28" s="108">
        <v>3</v>
      </c>
      <c r="J28" s="108">
        <v>1</v>
      </c>
      <c r="K28" s="108">
        <v>1000</v>
      </c>
      <c r="L28" s="36" t="s">
        <v>921</v>
      </c>
      <c r="M28" s="36" t="s">
        <v>877</v>
      </c>
      <c r="O28" s="100" t="s">
        <v>564</v>
      </c>
      <c r="P28" s="109">
        <v>1</v>
      </c>
      <c r="Q28" s="36">
        <v>10</v>
      </c>
      <c r="R28" s="108">
        <v>30000600</v>
      </c>
      <c r="S28" s="36">
        <v>200</v>
      </c>
      <c r="T28" s="36">
        <v>1</v>
      </c>
      <c r="U28" s="36">
        <v>1</v>
      </c>
      <c r="W28" s="100" t="s">
        <v>710</v>
      </c>
      <c r="X28" s="109">
        <v>1</v>
      </c>
      <c r="Y28" s="36">
        <v>10</v>
      </c>
      <c r="Z28" s="108">
        <v>30100600</v>
      </c>
      <c r="AA28" s="36">
        <v>100</v>
      </c>
      <c r="AB28" s="36">
        <v>1</v>
      </c>
      <c r="AC28" s="36">
        <v>1</v>
      </c>
      <c r="AE28" s="36" t="s">
        <v>581</v>
      </c>
      <c r="AF28" s="109">
        <v>1</v>
      </c>
      <c r="AG28" s="36">
        <v>10</v>
      </c>
      <c r="AH28" s="108">
        <v>30200600</v>
      </c>
      <c r="AI28" s="36">
        <v>100</v>
      </c>
      <c r="AJ28" s="36">
        <v>1</v>
      </c>
      <c r="AK28" s="36">
        <v>1</v>
      </c>
      <c r="AU28" s="109"/>
      <c r="AV28" s="36" t="s">
        <v>803</v>
      </c>
      <c r="AW28" s="109">
        <v>15</v>
      </c>
      <c r="AX28" s="109">
        <v>25</v>
      </c>
      <c r="AY28" s="110">
        <v>20201500</v>
      </c>
      <c r="AZ28" s="36">
        <v>1000</v>
      </c>
      <c r="BA28" s="109">
        <v>1</v>
      </c>
      <c r="BB28" s="36">
        <v>1</v>
      </c>
      <c r="BD28" s="109"/>
      <c r="BE28" s="36" t="s">
        <v>803</v>
      </c>
      <c r="BF28" s="109">
        <v>15</v>
      </c>
      <c r="BG28" s="109">
        <v>25</v>
      </c>
      <c r="BH28" s="110">
        <v>20201501</v>
      </c>
      <c r="BI28" s="36">
        <v>1000</v>
      </c>
      <c r="BJ28" s="109">
        <v>1</v>
      </c>
      <c r="BK28" s="36">
        <v>1</v>
      </c>
      <c r="BM28" s="109"/>
      <c r="BN28" s="36" t="s">
        <v>803</v>
      </c>
      <c r="BO28" s="109">
        <v>15</v>
      </c>
      <c r="BP28" s="109">
        <v>25</v>
      </c>
      <c r="BQ28" s="110">
        <v>20201502</v>
      </c>
      <c r="BR28" s="36">
        <v>1000</v>
      </c>
      <c r="BS28" s="109">
        <v>1</v>
      </c>
      <c r="BT28" s="36">
        <v>1</v>
      </c>
      <c r="BV28" s="109"/>
      <c r="BW28" s="36" t="s">
        <v>803</v>
      </c>
      <c r="BX28" s="109">
        <v>15</v>
      </c>
      <c r="BY28" s="109">
        <v>25</v>
      </c>
      <c r="BZ28" s="110">
        <v>20201503</v>
      </c>
      <c r="CA28" s="36">
        <v>1000</v>
      </c>
      <c r="CB28" s="109">
        <v>1</v>
      </c>
      <c r="CC28" s="36">
        <v>1</v>
      </c>
      <c r="CE28" s="109"/>
      <c r="CF28" s="36" t="s">
        <v>803</v>
      </c>
      <c r="CG28" s="109">
        <v>15</v>
      </c>
      <c r="CH28" s="109">
        <v>25</v>
      </c>
      <c r="CI28" s="110">
        <v>20201504</v>
      </c>
      <c r="CJ28" s="36">
        <v>1000</v>
      </c>
      <c r="CK28" s="109">
        <v>1</v>
      </c>
      <c r="CL28" s="36">
        <v>1</v>
      </c>
      <c r="CN28" s="109"/>
    </row>
    <row r="29" spans="4:92" x14ac:dyDescent="0.15">
      <c r="D29" s="208"/>
      <c r="E29" s="209"/>
      <c r="F29" s="36">
        <v>27</v>
      </c>
      <c r="G29" s="36">
        <v>70090026</v>
      </c>
      <c r="H29" s="108">
        <v>0</v>
      </c>
      <c r="I29" s="108">
        <v>3</v>
      </c>
      <c r="J29" s="108">
        <v>1</v>
      </c>
      <c r="K29" s="108">
        <v>1000</v>
      </c>
      <c r="L29" s="36" t="s">
        <v>921</v>
      </c>
      <c r="M29" s="36" t="s">
        <v>877</v>
      </c>
      <c r="O29" s="100" t="s">
        <v>567</v>
      </c>
      <c r="P29" s="109">
        <v>11</v>
      </c>
      <c r="Q29" s="36">
        <v>20</v>
      </c>
      <c r="R29" s="108">
        <v>30000601</v>
      </c>
      <c r="S29" s="36">
        <v>200</v>
      </c>
      <c r="T29" s="36">
        <v>1</v>
      </c>
      <c r="U29" s="36">
        <v>1</v>
      </c>
      <c r="W29" s="100" t="s">
        <v>711</v>
      </c>
      <c r="X29" s="109">
        <v>11</v>
      </c>
      <c r="Y29" s="36">
        <v>20</v>
      </c>
      <c r="Z29" s="108">
        <v>30100601</v>
      </c>
      <c r="AA29" s="36">
        <v>100</v>
      </c>
      <c r="AB29" s="36">
        <v>1</v>
      </c>
      <c r="AC29" s="36">
        <v>1</v>
      </c>
      <c r="AE29" s="36" t="s">
        <v>584</v>
      </c>
      <c r="AF29" s="109">
        <v>11</v>
      </c>
      <c r="AG29" s="36">
        <v>20</v>
      </c>
      <c r="AH29" s="108">
        <v>30200601</v>
      </c>
      <c r="AI29" s="36">
        <v>100</v>
      </c>
      <c r="AJ29" s="36">
        <v>1</v>
      </c>
      <c r="AK29" s="36">
        <v>1</v>
      </c>
      <c r="AU29" s="109"/>
      <c r="AV29" s="36" t="s">
        <v>804</v>
      </c>
      <c r="AW29" s="109">
        <v>20</v>
      </c>
      <c r="AX29" s="109">
        <v>30</v>
      </c>
      <c r="AY29" s="110">
        <v>20202000</v>
      </c>
      <c r="AZ29" s="36">
        <v>1000</v>
      </c>
      <c r="BA29" s="109">
        <v>1</v>
      </c>
      <c r="BB29" s="36">
        <v>1</v>
      </c>
      <c r="BD29" s="109"/>
      <c r="BE29" s="36" t="s">
        <v>804</v>
      </c>
      <c r="BF29" s="109">
        <v>20</v>
      </c>
      <c r="BG29" s="109">
        <v>30</v>
      </c>
      <c r="BH29" s="110">
        <v>20202001</v>
      </c>
      <c r="BI29" s="36">
        <v>1000</v>
      </c>
      <c r="BJ29" s="109">
        <v>1</v>
      </c>
      <c r="BK29" s="36">
        <v>1</v>
      </c>
      <c r="BM29" s="109"/>
      <c r="BN29" s="36" t="s">
        <v>804</v>
      </c>
      <c r="BO29" s="109">
        <v>20</v>
      </c>
      <c r="BP29" s="109">
        <v>30</v>
      </c>
      <c r="BQ29" s="110">
        <v>20202002</v>
      </c>
      <c r="BR29" s="36">
        <v>1000</v>
      </c>
      <c r="BS29" s="109">
        <v>1</v>
      </c>
      <c r="BT29" s="36">
        <v>1</v>
      </c>
      <c r="BV29" s="109"/>
      <c r="BW29" s="36" t="s">
        <v>804</v>
      </c>
      <c r="BX29" s="109">
        <v>20</v>
      </c>
      <c r="BY29" s="109">
        <v>30</v>
      </c>
      <c r="BZ29" s="110">
        <v>20202003</v>
      </c>
      <c r="CA29" s="36">
        <v>1000</v>
      </c>
      <c r="CB29" s="109">
        <v>1</v>
      </c>
      <c r="CC29" s="36">
        <v>1</v>
      </c>
      <c r="CE29" s="109"/>
      <c r="CF29" s="36" t="s">
        <v>804</v>
      </c>
      <c r="CG29" s="109">
        <v>20</v>
      </c>
      <c r="CH29" s="109">
        <v>30</v>
      </c>
      <c r="CI29" s="110">
        <v>20202004</v>
      </c>
      <c r="CJ29" s="36">
        <v>1000</v>
      </c>
      <c r="CK29" s="109">
        <v>1</v>
      </c>
      <c r="CL29" s="36">
        <v>1</v>
      </c>
      <c r="CN29" s="109"/>
    </row>
    <row r="30" spans="4:92" x14ac:dyDescent="0.15">
      <c r="D30" s="210"/>
      <c r="E30" s="211"/>
      <c r="F30" s="36">
        <v>28</v>
      </c>
      <c r="G30" s="36">
        <v>70090027</v>
      </c>
      <c r="H30" s="108">
        <v>0</v>
      </c>
      <c r="I30" s="108">
        <v>3</v>
      </c>
      <c r="J30" s="108">
        <v>1</v>
      </c>
      <c r="K30" s="108">
        <v>1000</v>
      </c>
      <c r="L30" s="36" t="s">
        <v>921</v>
      </c>
      <c r="M30" s="36" t="s">
        <v>877</v>
      </c>
      <c r="O30" s="100" t="s">
        <v>570</v>
      </c>
      <c r="P30" s="109">
        <v>21</v>
      </c>
      <c r="Q30" s="36">
        <v>30</v>
      </c>
      <c r="R30" s="108">
        <v>30000602</v>
      </c>
      <c r="S30" s="36">
        <v>200</v>
      </c>
      <c r="T30" s="36">
        <v>1</v>
      </c>
      <c r="U30" s="36">
        <v>1</v>
      </c>
      <c r="W30" s="100" t="s">
        <v>712</v>
      </c>
      <c r="X30" s="109">
        <v>21</v>
      </c>
      <c r="Y30" s="36">
        <v>30</v>
      </c>
      <c r="Z30" s="108">
        <v>30100602</v>
      </c>
      <c r="AA30" s="36">
        <v>100</v>
      </c>
      <c r="AB30" s="36">
        <v>1</v>
      </c>
      <c r="AC30" s="36">
        <v>1</v>
      </c>
      <c r="AE30" s="36" t="s">
        <v>587</v>
      </c>
      <c r="AF30" s="109">
        <v>21</v>
      </c>
      <c r="AG30" s="36">
        <v>30</v>
      </c>
      <c r="AH30" s="108">
        <v>30200602</v>
      </c>
      <c r="AI30" s="36">
        <v>100</v>
      </c>
      <c r="AJ30" s="36">
        <v>1</v>
      </c>
      <c r="AK30" s="36">
        <v>1</v>
      </c>
      <c r="AU30" s="109"/>
      <c r="AV30" s="36" t="s">
        <v>805</v>
      </c>
      <c r="AW30" s="109">
        <v>25</v>
      </c>
      <c r="AX30" s="109">
        <v>35</v>
      </c>
      <c r="AY30" s="110">
        <v>20202500</v>
      </c>
      <c r="AZ30" s="36">
        <v>1000</v>
      </c>
      <c r="BA30" s="109">
        <v>1</v>
      </c>
      <c r="BB30" s="36">
        <v>1</v>
      </c>
      <c r="BD30" s="109"/>
      <c r="BE30" s="36" t="s">
        <v>805</v>
      </c>
      <c r="BF30" s="109">
        <v>25</v>
      </c>
      <c r="BG30" s="109">
        <v>35</v>
      </c>
      <c r="BH30" s="110">
        <v>20202501</v>
      </c>
      <c r="BI30" s="36">
        <v>1000</v>
      </c>
      <c r="BJ30" s="109">
        <v>1</v>
      </c>
      <c r="BK30" s="36">
        <v>1</v>
      </c>
      <c r="BM30" s="109"/>
      <c r="BN30" s="36" t="s">
        <v>805</v>
      </c>
      <c r="BO30" s="109">
        <v>25</v>
      </c>
      <c r="BP30" s="109">
        <v>35</v>
      </c>
      <c r="BQ30" s="110">
        <v>20202502</v>
      </c>
      <c r="BR30" s="36">
        <v>1000</v>
      </c>
      <c r="BS30" s="109">
        <v>1</v>
      </c>
      <c r="BT30" s="36">
        <v>1</v>
      </c>
      <c r="BV30" s="109"/>
      <c r="BW30" s="36" t="s">
        <v>805</v>
      </c>
      <c r="BX30" s="109">
        <v>25</v>
      </c>
      <c r="BY30" s="109">
        <v>35</v>
      </c>
      <c r="BZ30" s="110">
        <v>20202503</v>
      </c>
      <c r="CA30" s="36">
        <v>1000</v>
      </c>
      <c r="CB30" s="109">
        <v>1</v>
      </c>
      <c r="CC30" s="36">
        <v>1</v>
      </c>
      <c r="CE30" s="109"/>
      <c r="CF30" s="36" t="s">
        <v>805</v>
      </c>
      <c r="CG30" s="109">
        <v>25</v>
      </c>
      <c r="CH30" s="109">
        <v>35</v>
      </c>
      <c r="CI30" s="110">
        <v>20202504</v>
      </c>
      <c r="CJ30" s="36">
        <v>1000</v>
      </c>
      <c r="CK30" s="109">
        <v>1</v>
      </c>
      <c r="CL30" s="36">
        <v>1</v>
      </c>
      <c r="CN30" s="109"/>
    </row>
    <row r="31" spans="4:92" x14ac:dyDescent="0.15">
      <c r="F31" s="36">
        <v>29</v>
      </c>
      <c r="G31" s="36">
        <v>70090028</v>
      </c>
      <c r="H31" s="108">
        <v>0</v>
      </c>
      <c r="I31" s="108">
        <v>3</v>
      </c>
      <c r="J31" s="108">
        <v>1</v>
      </c>
      <c r="K31" s="108">
        <v>1000</v>
      </c>
      <c r="L31" s="36" t="s">
        <v>921</v>
      </c>
      <c r="M31" s="36" t="s">
        <v>877</v>
      </c>
      <c r="O31" s="100" t="s">
        <v>573</v>
      </c>
      <c r="P31" s="109">
        <v>31</v>
      </c>
      <c r="Q31" s="36">
        <v>40</v>
      </c>
      <c r="R31" s="108">
        <v>30000603</v>
      </c>
      <c r="S31" s="36">
        <v>200</v>
      </c>
      <c r="T31" s="36">
        <v>1</v>
      </c>
      <c r="U31" s="36">
        <v>1</v>
      </c>
      <c r="W31" s="100" t="s">
        <v>713</v>
      </c>
      <c r="X31" s="109">
        <v>31</v>
      </c>
      <c r="Y31" s="36">
        <v>40</v>
      </c>
      <c r="Z31" s="108">
        <v>30100603</v>
      </c>
      <c r="AA31" s="36">
        <v>100</v>
      </c>
      <c r="AB31" s="36">
        <v>1</v>
      </c>
      <c r="AC31" s="36">
        <v>1</v>
      </c>
      <c r="AE31" s="36" t="s">
        <v>590</v>
      </c>
      <c r="AF31" s="109">
        <v>31</v>
      </c>
      <c r="AG31" s="36">
        <v>40</v>
      </c>
      <c r="AH31" s="108">
        <v>30200603</v>
      </c>
      <c r="AI31" s="36">
        <v>100</v>
      </c>
      <c r="AJ31" s="36">
        <v>1</v>
      </c>
      <c r="AK31" s="36">
        <v>1</v>
      </c>
      <c r="AU31" s="109"/>
      <c r="AV31" s="36" t="s">
        <v>806</v>
      </c>
      <c r="AW31" s="109">
        <v>30</v>
      </c>
      <c r="AX31" s="109">
        <v>40</v>
      </c>
      <c r="AY31" s="110">
        <v>20203000</v>
      </c>
      <c r="AZ31" s="36">
        <v>1000</v>
      </c>
      <c r="BA31" s="109">
        <v>1</v>
      </c>
      <c r="BB31" s="36">
        <v>1</v>
      </c>
      <c r="BD31" s="109"/>
      <c r="BE31" s="36" t="s">
        <v>806</v>
      </c>
      <c r="BF31" s="109">
        <v>30</v>
      </c>
      <c r="BG31" s="109">
        <v>40</v>
      </c>
      <c r="BH31" s="110">
        <v>20203001</v>
      </c>
      <c r="BI31" s="36">
        <v>1000</v>
      </c>
      <c r="BJ31" s="109">
        <v>1</v>
      </c>
      <c r="BK31" s="36">
        <v>1</v>
      </c>
      <c r="BM31" s="109"/>
      <c r="BN31" s="36" t="s">
        <v>806</v>
      </c>
      <c r="BO31" s="109">
        <v>30</v>
      </c>
      <c r="BP31" s="109">
        <v>40</v>
      </c>
      <c r="BQ31" s="110">
        <v>20203002</v>
      </c>
      <c r="BR31" s="36">
        <v>1000</v>
      </c>
      <c r="BS31" s="109">
        <v>1</v>
      </c>
      <c r="BT31" s="36">
        <v>1</v>
      </c>
      <c r="BV31" s="109"/>
      <c r="BW31" s="36" t="s">
        <v>806</v>
      </c>
      <c r="BX31" s="109">
        <v>30</v>
      </c>
      <c r="BY31" s="109">
        <v>40</v>
      </c>
      <c r="BZ31" s="110">
        <v>20203003</v>
      </c>
      <c r="CA31" s="36">
        <v>1000</v>
      </c>
      <c r="CB31" s="109">
        <v>1</v>
      </c>
      <c r="CC31" s="36">
        <v>1</v>
      </c>
      <c r="CE31" s="109"/>
      <c r="CF31" s="36" t="s">
        <v>806</v>
      </c>
      <c r="CG31" s="109">
        <v>30</v>
      </c>
      <c r="CH31" s="109">
        <v>40</v>
      </c>
      <c r="CI31" s="110">
        <v>20203004</v>
      </c>
      <c r="CJ31" s="36">
        <v>1000</v>
      </c>
      <c r="CK31" s="109">
        <v>1</v>
      </c>
      <c r="CL31" s="36">
        <v>1</v>
      </c>
      <c r="CN31" s="109"/>
    </row>
    <row r="32" spans="4:92" x14ac:dyDescent="0.15">
      <c r="D32" s="206"/>
      <c r="E32" s="207"/>
      <c r="F32" s="36">
        <v>30</v>
      </c>
      <c r="G32" s="36">
        <v>70090029</v>
      </c>
      <c r="H32" s="108">
        <v>0</v>
      </c>
      <c r="I32" s="108">
        <v>3</v>
      </c>
      <c r="J32" s="108">
        <v>1</v>
      </c>
      <c r="K32" s="108">
        <v>1000</v>
      </c>
      <c r="L32" s="36" t="s">
        <v>922</v>
      </c>
      <c r="M32" s="36" t="s">
        <v>877</v>
      </c>
      <c r="O32" s="100" t="s">
        <v>576</v>
      </c>
      <c r="P32" s="109">
        <v>41</v>
      </c>
      <c r="Q32" s="36">
        <v>50</v>
      </c>
      <c r="R32" s="108">
        <v>30000604</v>
      </c>
      <c r="S32" s="36">
        <v>200</v>
      </c>
      <c r="T32" s="36">
        <v>1</v>
      </c>
      <c r="U32" s="36">
        <v>1</v>
      </c>
      <c r="W32" s="100" t="s">
        <v>714</v>
      </c>
      <c r="X32" s="109">
        <v>41</v>
      </c>
      <c r="Y32" s="36">
        <v>50</v>
      </c>
      <c r="Z32" s="108">
        <v>30100604</v>
      </c>
      <c r="AA32" s="36">
        <v>100</v>
      </c>
      <c r="AB32" s="36">
        <v>1</v>
      </c>
      <c r="AC32" s="36">
        <v>1</v>
      </c>
      <c r="AE32" s="36" t="s">
        <v>593</v>
      </c>
      <c r="AF32" s="109">
        <v>41</v>
      </c>
      <c r="AG32" s="36">
        <v>50</v>
      </c>
      <c r="AH32" s="108">
        <v>30200604</v>
      </c>
      <c r="AI32" s="36">
        <v>100</v>
      </c>
      <c r="AJ32" s="36">
        <v>1</v>
      </c>
      <c r="AK32" s="36">
        <v>1</v>
      </c>
      <c r="AU32" s="109"/>
      <c r="AV32" s="36" t="s">
        <v>807</v>
      </c>
      <c r="AW32" s="109">
        <v>35</v>
      </c>
      <c r="AX32" s="109">
        <v>45</v>
      </c>
      <c r="AY32" s="110">
        <v>20203500</v>
      </c>
      <c r="AZ32" s="36">
        <v>1000</v>
      </c>
      <c r="BA32" s="109">
        <v>1</v>
      </c>
      <c r="BB32" s="36">
        <v>1</v>
      </c>
      <c r="BD32" s="109"/>
      <c r="BE32" s="36" t="s">
        <v>807</v>
      </c>
      <c r="BF32" s="109">
        <v>35</v>
      </c>
      <c r="BG32" s="109">
        <v>45</v>
      </c>
      <c r="BH32" s="110">
        <v>20203501</v>
      </c>
      <c r="BI32" s="36">
        <v>1000</v>
      </c>
      <c r="BJ32" s="109">
        <v>1</v>
      </c>
      <c r="BK32" s="36">
        <v>1</v>
      </c>
      <c r="BM32" s="109"/>
      <c r="BN32" s="36" t="s">
        <v>807</v>
      </c>
      <c r="BO32" s="109">
        <v>35</v>
      </c>
      <c r="BP32" s="109">
        <v>45</v>
      </c>
      <c r="BQ32" s="110">
        <v>20203502</v>
      </c>
      <c r="BR32" s="36">
        <v>1000</v>
      </c>
      <c r="BS32" s="109">
        <v>1</v>
      </c>
      <c r="BT32" s="36">
        <v>1</v>
      </c>
      <c r="BV32" s="109"/>
      <c r="BW32" s="36" t="s">
        <v>807</v>
      </c>
      <c r="BX32" s="109">
        <v>35</v>
      </c>
      <c r="BY32" s="109">
        <v>45</v>
      </c>
      <c r="BZ32" s="110">
        <v>20203503</v>
      </c>
      <c r="CA32" s="36">
        <v>1000</v>
      </c>
      <c r="CB32" s="109">
        <v>1</v>
      </c>
      <c r="CC32" s="36">
        <v>1</v>
      </c>
      <c r="CE32" s="109"/>
      <c r="CF32" s="36" t="s">
        <v>807</v>
      </c>
      <c r="CG32" s="109">
        <v>35</v>
      </c>
      <c r="CH32" s="109">
        <v>45</v>
      </c>
      <c r="CI32" s="110">
        <v>20203504</v>
      </c>
      <c r="CJ32" s="36">
        <v>1000</v>
      </c>
      <c r="CK32" s="109">
        <v>1</v>
      </c>
      <c r="CL32" s="36">
        <v>1</v>
      </c>
      <c r="CN32" s="109"/>
    </row>
    <row r="33" spans="4:92" x14ac:dyDescent="0.15">
      <c r="D33" s="208"/>
      <c r="E33" s="209"/>
      <c r="F33" s="36">
        <v>31</v>
      </c>
      <c r="G33" s="36">
        <v>70090030</v>
      </c>
      <c r="H33" s="108">
        <v>0</v>
      </c>
      <c r="I33" s="108">
        <v>3</v>
      </c>
      <c r="J33" s="108">
        <v>1</v>
      </c>
      <c r="K33" s="108">
        <v>1000</v>
      </c>
      <c r="L33" s="36" t="s">
        <v>923</v>
      </c>
      <c r="M33" s="36" t="s">
        <v>877</v>
      </c>
      <c r="O33" s="100" t="s">
        <v>579</v>
      </c>
      <c r="P33" s="109">
        <v>1</v>
      </c>
      <c r="Q33" s="36">
        <v>10</v>
      </c>
      <c r="R33" s="108">
        <v>30000700</v>
      </c>
      <c r="S33" s="36">
        <v>200</v>
      </c>
      <c r="T33" s="36">
        <v>1</v>
      </c>
      <c r="U33" s="36">
        <v>1</v>
      </c>
      <c r="W33" s="100" t="s">
        <v>715</v>
      </c>
      <c r="X33" s="109">
        <v>1</v>
      </c>
      <c r="Y33" s="36">
        <v>10</v>
      </c>
      <c r="Z33" s="108">
        <v>30100700</v>
      </c>
      <c r="AA33" s="36">
        <v>100</v>
      </c>
      <c r="AB33" s="36">
        <v>1</v>
      </c>
      <c r="AC33" s="36">
        <v>1</v>
      </c>
      <c r="AE33" s="36" t="s">
        <v>485</v>
      </c>
      <c r="AF33" s="109">
        <v>1</v>
      </c>
      <c r="AG33" s="36">
        <v>10</v>
      </c>
      <c r="AH33" s="108">
        <v>30200700</v>
      </c>
      <c r="AI33" s="36">
        <v>100</v>
      </c>
      <c r="AJ33" s="36">
        <v>1</v>
      </c>
      <c r="AK33" s="36">
        <v>1</v>
      </c>
      <c r="AU33" s="109"/>
      <c r="AV33" s="36" t="s">
        <v>808</v>
      </c>
      <c r="AW33" s="109">
        <v>40</v>
      </c>
      <c r="AX33" s="109">
        <v>50</v>
      </c>
      <c r="AY33" s="110">
        <v>20204000</v>
      </c>
      <c r="AZ33" s="36">
        <v>1000</v>
      </c>
      <c r="BA33" s="109">
        <v>1</v>
      </c>
      <c r="BB33" s="36">
        <v>1</v>
      </c>
      <c r="BD33" s="109"/>
      <c r="BE33" s="36" t="s">
        <v>808</v>
      </c>
      <c r="BF33" s="109">
        <v>40</v>
      </c>
      <c r="BG33" s="109">
        <v>50</v>
      </c>
      <c r="BH33" s="110">
        <v>20204001</v>
      </c>
      <c r="BI33" s="36">
        <v>1000</v>
      </c>
      <c r="BJ33" s="109">
        <v>1</v>
      </c>
      <c r="BK33" s="36">
        <v>1</v>
      </c>
      <c r="BM33" s="109"/>
      <c r="BN33" s="36" t="s">
        <v>808</v>
      </c>
      <c r="BO33" s="109">
        <v>40</v>
      </c>
      <c r="BP33" s="109">
        <v>50</v>
      </c>
      <c r="BQ33" s="110">
        <v>20204002</v>
      </c>
      <c r="BR33" s="36">
        <v>1000</v>
      </c>
      <c r="BS33" s="109">
        <v>1</v>
      </c>
      <c r="BT33" s="36">
        <v>1</v>
      </c>
      <c r="BV33" s="109"/>
      <c r="BW33" s="36" t="s">
        <v>808</v>
      </c>
      <c r="BX33" s="109">
        <v>40</v>
      </c>
      <c r="BY33" s="109">
        <v>50</v>
      </c>
      <c r="BZ33" s="110">
        <v>20204003</v>
      </c>
      <c r="CA33" s="36">
        <v>1000</v>
      </c>
      <c r="CB33" s="109">
        <v>1</v>
      </c>
      <c r="CC33" s="36">
        <v>1</v>
      </c>
      <c r="CE33" s="109"/>
      <c r="CF33" s="36" t="s">
        <v>808</v>
      </c>
      <c r="CG33" s="109">
        <v>40</v>
      </c>
      <c r="CH33" s="109">
        <v>50</v>
      </c>
      <c r="CI33" s="110">
        <v>20204004</v>
      </c>
      <c r="CJ33" s="36">
        <v>1000</v>
      </c>
      <c r="CK33" s="109">
        <v>1</v>
      </c>
      <c r="CL33" s="36">
        <v>1</v>
      </c>
      <c r="CN33" s="109"/>
    </row>
    <row r="34" spans="4:92" x14ac:dyDescent="0.15">
      <c r="D34" s="210"/>
      <c r="E34" s="211"/>
      <c r="F34" s="36">
        <v>32</v>
      </c>
      <c r="G34" s="36">
        <v>70090031</v>
      </c>
      <c r="H34" s="108">
        <v>0</v>
      </c>
      <c r="I34" s="108">
        <v>3</v>
      </c>
      <c r="J34" s="108">
        <v>1</v>
      </c>
      <c r="K34" s="108">
        <v>1000</v>
      </c>
      <c r="L34" s="36" t="s">
        <v>923</v>
      </c>
      <c r="M34" s="36" t="s">
        <v>877</v>
      </c>
      <c r="O34" s="100" t="s">
        <v>582</v>
      </c>
      <c r="P34" s="109">
        <v>11</v>
      </c>
      <c r="Q34" s="36">
        <v>20</v>
      </c>
      <c r="R34" s="108">
        <v>30000701</v>
      </c>
      <c r="S34" s="36">
        <v>200</v>
      </c>
      <c r="T34" s="36">
        <v>1</v>
      </c>
      <c r="U34" s="36">
        <v>1</v>
      </c>
      <c r="W34" s="100" t="s">
        <v>716</v>
      </c>
      <c r="X34" s="109">
        <v>11</v>
      </c>
      <c r="Y34" s="36">
        <v>20</v>
      </c>
      <c r="Z34" s="108">
        <v>30100701</v>
      </c>
      <c r="AA34" s="36">
        <v>100</v>
      </c>
      <c r="AB34" s="36">
        <v>1</v>
      </c>
      <c r="AC34" s="36">
        <v>1</v>
      </c>
      <c r="AE34" s="36" t="s">
        <v>489</v>
      </c>
      <c r="AF34" s="109">
        <v>11</v>
      </c>
      <c r="AG34" s="36">
        <v>20</v>
      </c>
      <c r="AH34" s="108">
        <v>30200701</v>
      </c>
      <c r="AI34" s="36">
        <v>100</v>
      </c>
      <c r="AJ34" s="36">
        <v>1</v>
      </c>
      <c r="AK34" s="36">
        <v>1</v>
      </c>
      <c r="AU34" s="109"/>
      <c r="AV34" s="36" t="s">
        <v>809</v>
      </c>
      <c r="AW34" s="109">
        <v>45</v>
      </c>
      <c r="AX34" s="109">
        <v>50</v>
      </c>
      <c r="AY34" s="110">
        <v>20204500</v>
      </c>
      <c r="AZ34" s="36">
        <v>1000</v>
      </c>
      <c r="BA34" s="109">
        <v>1</v>
      </c>
      <c r="BB34" s="36">
        <v>1</v>
      </c>
      <c r="BD34" s="109"/>
      <c r="BE34" s="36" t="s">
        <v>809</v>
      </c>
      <c r="BF34" s="109">
        <v>45</v>
      </c>
      <c r="BG34" s="109">
        <v>50</v>
      </c>
      <c r="BH34" s="110">
        <v>20204501</v>
      </c>
      <c r="BI34" s="36">
        <v>1000</v>
      </c>
      <c r="BJ34" s="109">
        <v>1</v>
      </c>
      <c r="BK34" s="36">
        <v>1</v>
      </c>
      <c r="BM34" s="109"/>
      <c r="BN34" s="36" t="s">
        <v>809</v>
      </c>
      <c r="BO34" s="109">
        <v>45</v>
      </c>
      <c r="BP34" s="109">
        <v>50</v>
      </c>
      <c r="BQ34" s="110">
        <v>20204502</v>
      </c>
      <c r="BR34" s="36">
        <v>1000</v>
      </c>
      <c r="BS34" s="109">
        <v>1</v>
      </c>
      <c r="BT34" s="36">
        <v>1</v>
      </c>
      <c r="BV34" s="109"/>
      <c r="BW34" s="36" t="s">
        <v>809</v>
      </c>
      <c r="BX34" s="109">
        <v>45</v>
      </c>
      <c r="BY34" s="109">
        <v>50</v>
      </c>
      <c r="BZ34" s="110">
        <v>20204503</v>
      </c>
      <c r="CA34" s="36">
        <v>1000</v>
      </c>
      <c r="CB34" s="109">
        <v>1</v>
      </c>
      <c r="CC34" s="36">
        <v>1</v>
      </c>
      <c r="CE34" s="109"/>
      <c r="CF34" s="36" t="s">
        <v>809</v>
      </c>
      <c r="CG34" s="109">
        <v>45</v>
      </c>
      <c r="CH34" s="109">
        <v>50</v>
      </c>
      <c r="CI34" s="110">
        <v>20204504</v>
      </c>
      <c r="CJ34" s="36">
        <v>1000</v>
      </c>
      <c r="CK34" s="109">
        <v>1</v>
      </c>
      <c r="CL34" s="36">
        <v>1</v>
      </c>
      <c r="CN34" s="109"/>
    </row>
    <row r="35" spans="4:92" x14ac:dyDescent="0.15">
      <c r="F35" s="36">
        <v>33</v>
      </c>
      <c r="G35" s="36">
        <v>70090032</v>
      </c>
      <c r="H35" s="108">
        <v>0</v>
      </c>
      <c r="I35" s="108">
        <v>3</v>
      </c>
      <c r="J35" s="108">
        <v>1</v>
      </c>
      <c r="K35" s="108">
        <v>1000</v>
      </c>
      <c r="L35" s="36" t="s">
        <v>923</v>
      </c>
      <c r="M35" s="36" t="s">
        <v>877</v>
      </c>
      <c r="O35" s="100" t="s">
        <v>585</v>
      </c>
      <c r="P35" s="109">
        <v>21</v>
      </c>
      <c r="Q35" s="36">
        <v>30</v>
      </c>
      <c r="R35" s="108">
        <v>30000702</v>
      </c>
      <c r="S35" s="36">
        <v>200</v>
      </c>
      <c r="T35" s="36">
        <v>1</v>
      </c>
      <c r="U35" s="36">
        <v>1</v>
      </c>
      <c r="W35" s="100" t="s">
        <v>717</v>
      </c>
      <c r="X35" s="109">
        <v>21</v>
      </c>
      <c r="Y35" s="36">
        <v>30</v>
      </c>
      <c r="Z35" s="108">
        <v>30100702</v>
      </c>
      <c r="AA35" s="36">
        <v>100</v>
      </c>
      <c r="AB35" s="36">
        <v>1</v>
      </c>
      <c r="AC35" s="36">
        <v>1</v>
      </c>
      <c r="AE35" s="36" t="s">
        <v>493</v>
      </c>
      <c r="AF35" s="109">
        <v>21</v>
      </c>
      <c r="AG35" s="36">
        <v>30</v>
      </c>
      <c r="AH35" s="108">
        <v>30200702</v>
      </c>
      <c r="AI35" s="36">
        <v>100</v>
      </c>
      <c r="AJ35" s="36">
        <v>1</v>
      </c>
      <c r="AK35" s="36">
        <v>1</v>
      </c>
      <c r="AU35" s="109"/>
      <c r="AV35" s="36" t="s">
        <v>810</v>
      </c>
      <c r="AW35" s="109">
        <v>45</v>
      </c>
      <c r="AX35" s="109">
        <v>50</v>
      </c>
      <c r="AY35" s="110">
        <v>20205000</v>
      </c>
      <c r="AZ35" s="36">
        <v>1000</v>
      </c>
      <c r="BA35" s="109">
        <v>1</v>
      </c>
      <c r="BB35" s="36">
        <v>1</v>
      </c>
      <c r="BD35" s="109"/>
      <c r="BE35" s="36" t="s">
        <v>810</v>
      </c>
      <c r="BF35" s="109">
        <v>45</v>
      </c>
      <c r="BG35" s="109">
        <v>50</v>
      </c>
      <c r="BH35" s="110">
        <v>20205001</v>
      </c>
      <c r="BI35" s="36">
        <v>1000</v>
      </c>
      <c r="BJ35" s="109">
        <v>1</v>
      </c>
      <c r="BK35" s="36">
        <v>1</v>
      </c>
      <c r="BM35" s="109"/>
      <c r="BN35" s="36" t="s">
        <v>810</v>
      </c>
      <c r="BO35" s="109">
        <v>45</v>
      </c>
      <c r="BP35" s="109">
        <v>50</v>
      </c>
      <c r="BQ35" s="110">
        <v>20205002</v>
      </c>
      <c r="BR35" s="36">
        <v>1000</v>
      </c>
      <c r="BS35" s="109">
        <v>1</v>
      </c>
      <c r="BT35" s="36">
        <v>1</v>
      </c>
      <c r="BV35" s="109"/>
      <c r="BW35" s="36" t="s">
        <v>810</v>
      </c>
      <c r="BX35" s="109">
        <v>45</v>
      </c>
      <c r="BY35" s="109">
        <v>50</v>
      </c>
      <c r="BZ35" s="110">
        <v>20205003</v>
      </c>
      <c r="CA35" s="36">
        <v>1000</v>
      </c>
      <c r="CB35" s="109">
        <v>1</v>
      </c>
      <c r="CC35" s="36">
        <v>1</v>
      </c>
      <c r="CE35" s="109"/>
      <c r="CF35" s="36" t="s">
        <v>810</v>
      </c>
      <c r="CG35" s="109">
        <v>45</v>
      </c>
      <c r="CH35" s="109">
        <v>50</v>
      </c>
      <c r="CI35" s="110">
        <v>20205004</v>
      </c>
      <c r="CJ35" s="36">
        <v>1000</v>
      </c>
      <c r="CK35" s="109">
        <v>1</v>
      </c>
      <c r="CL35" s="36">
        <v>1</v>
      </c>
      <c r="CN35" s="109"/>
    </row>
    <row r="36" spans="4:92" x14ac:dyDescent="0.15">
      <c r="D36" s="206"/>
      <c r="E36" s="207"/>
      <c r="F36" s="36">
        <v>34</v>
      </c>
      <c r="G36" s="36">
        <v>70090033</v>
      </c>
      <c r="H36" s="108">
        <v>0</v>
      </c>
      <c r="I36" s="108">
        <v>3</v>
      </c>
      <c r="J36" s="108">
        <v>1</v>
      </c>
      <c r="K36" s="108">
        <v>1000</v>
      </c>
      <c r="L36" s="36" t="s">
        <v>923</v>
      </c>
      <c r="M36" s="36" t="s">
        <v>877</v>
      </c>
      <c r="O36" s="100" t="s">
        <v>588</v>
      </c>
      <c r="P36" s="109">
        <v>31</v>
      </c>
      <c r="Q36" s="36">
        <v>40</v>
      </c>
      <c r="R36" s="108">
        <v>30000703</v>
      </c>
      <c r="S36" s="36">
        <v>200</v>
      </c>
      <c r="T36" s="36">
        <v>1</v>
      </c>
      <c r="U36" s="36">
        <v>1</v>
      </c>
      <c r="W36" s="100" t="s">
        <v>718</v>
      </c>
      <c r="X36" s="109">
        <v>31</v>
      </c>
      <c r="Y36" s="36">
        <v>40</v>
      </c>
      <c r="Z36" s="108">
        <v>30100703</v>
      </c>
      <c r="AA36" s="36">
        <v>100</v>
      </c>
      <c r="AB36" s="36">
        <v>1</v>
      </c>
      <c r="AC36" s="36">
        <v>1</v>
      </c>
      <c r="AE36" s="36" t="s">
        <v>497</v>
      </c>
      <c r="AF36" s="109">
        <v>31</v>
      </c>
      <c r="AG36" s="36">
        <v>40</v>
      </c>
      <c r="AH36" s="108">
        <v>30200703</v>
      </c>
      <c r="AI36" s="36">
        <v>100</v>
      </c>
      <c r="AJ36" s="36">
        <v>1</v>
      </c>
      <c r="AK36" s="36">
        <v>1</v>
      </c>
      <c r="AU36" s="109" t="s">
        <v>773</v>
      </c>
      <c r="AV36" s="36" t="s">
        <v>811</v>
      </c>
      <c r="AW36" s="36">
        <v>1</v>
      </c>
      <c r="AX36" s="109">
        <v>10</v>
      </c>
      <c r="AY36" s="110">
        <v>20300100</v>
      </c>
      <c r="AZ36" s="36">
        <v>1000</v>
      </c>
      <c r="BA36" s="109">
        <v>1</v>
      </c>
      <c r="BB36" s="36">
        <v>1</v>
      </c>
      <c r="BD36" s="109" t="s">
        <v>773</v>
      </c>
      <c r="BE36" s="36" t="s">
        <v>811</v>
      </c>
      <c r="BF36" s="36">
        <v>1</v>
      </c>
      <c r="BG36" s="109">
        <v>10</v>
      </c>
      <c r="BH36" s="110">
        <v>20300101</v>
      </c>
      <c r="BI36" s="36">
        <v>1000</v>
      </c>
      <c r="BJ36" s="109">
        <v>1</v>
      </c>
      <c r="BK36" s="36">
        <v>1</v>
      </c>
      <c r="BM36" s="109" t="s">
        <v>773</v>
      </c>
      <c r="BN36" s="36" t="s">
        <v>811</v>
      </c>
      <c r="BO36" s="36">
        <v>1</v>
      </c>
      <c r="BP36" s="109">
        <v>10</v>
      </c>
      <c r="BQ36" s="110">
        <v>20300102</v>
      </c>
      <c r="BR36" s="36">
        <v>1000</v>
      </c>
      <c r="BS36" s="109">
        <v>1</v>
      </c>
      <c r="BT36" s="36">
        <v>1</v>
      </c>
      <c r="BV36" s="109" t="s">
        <v>773</v>
      </c>
      <c r="BW36" s="36" t="s">
        <v>811</v>
      </c>
      <c r="BX36" s="36">
        <v>1</v>
      </c>
      <c r="BY36" s="109">
        <v>10</v>
      </c>
      <c r="BZ36" s="110">
        <v>20300103</v>
      </c>
      <c r="CA36" s="36">
        <v>1000</v>
      </c>
      <c r="CB36" s="109">
        <v>1</v>
      </c>
      <c r="CC36" s="36">
        <v>1</v>
      </c>
      <c r="CE36" s="109" t="s">
        <v>773</v>
      </c>
      <c r="CF36" s="36" t="s">
        <v>811</v>
      </c>
      <c r="CG36" s="36">
        <v>1</v>
      </c>
      <c r="CH36" s="109">
        <v>10</v>
      </c>
      <c r="CI36" s="110">
        <v>20300104</v>
      </c>
      <c r="CJ36" s="36">
        <v>1000</v>
      </c>
      <c r="CK36" s="109">
        <v>1</v>
      </c>
      <c r="CL36" s="36">
        <v>1</v>
      </c>
      <c r="CN36" s="109"/>
    </row>
    <row r="37" spans="4:92" x14ac:dyDescent="0.15">
      <c r="D37" s="208"/>
      <c r="E37" s="209"/>
      <c r="F37" s="36">
        <v>35</v>
      </c>
      <c r="G37" s="36">
        <v>70090034</v>
      </c>
      <c r="H37" s="108">
        <v>0</v>
      </c>
      <c r="I37" s="108">
        <v>3</v>
      </c>
      <c r="J37" s="108">
        <v>1</v>
      </c>
      <c r="K37" s="108">
        <v>1000</v>
      </c>
      <c r="L37" s="36" t="s">
        <v>924</v>
      </c>
      <c r="M37" s="36" t="s">
        <v>877</v>
      </c>
      <c r="O37" s="100" t="s">
        <v>591</v>
      </c>
      <c r="P37" s="109">
        <v>41</v>
      </c>
      <c r="Q37" s="36">
        <v>50</v>
      </c>
      <c r="R37" s="108">
        <v>30000704</v>
      </c>
      <c r="S37" s="36">
        <v>200</v>
      </c>
      <c r="T37" s="36">
        <v>1</v>
      </c>
      <c r="U37" s="36">
        <v>1</v>
      </c>
      <c r="W37" s="100" t="s">
        <v>719</v>
      </c>
      <c r="X37" s="109">
        <v>41</v>
      </c>
      <c r="Y37" s="36">
        <v>50</v>
      </c>
      <c r="Z37" s="108">
        <v>30100704</v>
      </c>
      <c r="AA37" s="36">
        <v>100</v>
      </c>
      <c r="AB37" s="36">
        <v>1</v>
      </c>
      <c r="AC37" s="36">
        <v>1</v>
      </c>
      <c r="AE37" s="36" t="s">
        <v>501</v>
      </c>
      <c r="AF37" s="109">
        <v>41</v>
      </c>
      <c r="AG37" s="36">
        <v>50</v>
      </c>
      <c r="AH37" s="108">
        <v>30200704</v>
      </c>
      <c r="AI37" s="36">
        <v>100</v>
      </c>
      <c r="AJ37" s="36">
        <v>1</v>
      </c>
      <c r="AK37" s="36">
        <v>1</v>
      </c>
      <c r="AU37" s="109"/>
      <c r="AV37" s="36" t="s">
        <v>812</v>
      </c>
      <c r="AW37" s="109">
        <v>5</v>
      </c>
      <c r="AX37" s="109">
        <v>15</v>
      </c>
      <c r="AY37" s="110">
        <v>20300500</v>
      </c>
      <c r="AZ37" s="36">
        <v>1000</v>
      </c>
      <c r="BA37" s="109">
        <v>1</v>
      </c>
      <c r="BB37" s="36">
        <v>1</v>
      </c>
      <c r="BD37" s="109"/>
      <c r="BE37" s="36" t="s">
        <v>812</v>
      </c>
      <c r="BF37" s="109">
        <v>5</v>
      </c>
      <c r="BG37" s="109">
        <v>15</v>
      </c>
      <c r="BH37" s="110">
        <v>20300501</v>
      </c>
      <c r="BI37" s="36">
        <v>1000</v>
      </c>
      <c r="BJ37" s="109">
        <v>1</v>
      </c>
      <c r="BK37" s="36">
        <v>1</v>
      </c>
      <c r="BM37" s="109"/>
      <c r="BN37" s="36" t="s">
        <v>812</v>
      </c>
      <c r="BO37" s="109">
        <v>5</v>
      </c>
      <c r="BP37" s="109">
        <v>15</v>
      </c>
      <c r="BQ37" s="110">
        <v>20300502</v>
      </c>
      <c r="BR37" s="36">
        <v>1000</v>
      </c>
      <c r="BS37" s="109">
        <v>1</v>
      </c>
      <c r="BT37" s="36">
        <v>1</v>
      </c>
      <c r="BV37" s="109"/>
      <c r="BW37" s="36" t="s">
        <v>812</v>
      </c>
      <c r="BX37" s="109">
        <v>5</v>
      </c>
      <c r="BY37" s="109">
        <v>15</v>
      </c>
      <c r="BZ37" s="110">
        <v>20300503</v>
      </c>
      <c r="CA37" s="36">
        <v>1000</v>
      </c>
      <c r="CB37" s="109">
        <v>1</v>
      </c>
      <c r="CC37" s="36">
        <v>1</v>
      </c>
      <c r="CE37" s="109"/>
      <c r="CF37" s="36" t="s">
        <v>812</v>
      </c>
      <c r="CG37" s="109">
        <v>5</v>
      </c>
      <c r="CH37" s="109">
        <v>15</v>
      </c>
      <c r="CI37" s="110">
        <v>20300504</v>
      </c>
      <c r="CJ37" s="36">
        <v>1000</v>
      </c>
      <c r="CK37" s="109">
        <v>1</v>
      </c>
      <c r="CL37" s="36">
        <v>1</v>
      </c>
      <c r="CN37" s="109"/>
    </row>
    <row r="38" spans="4:92" x14ac:dyDescent="0.15">
      <c r="D38" s="210"/>
      <c r="E38" s="211"/>
      <c r="F38" s="36">
        <v>36</v>
      </c>
      <c r="G38" s="36">
        <v>70090035</v>
      </c>
      <c r="H38" s="108">
        <v>0</v>
      </c>
      <c r="I38" s="108">
        <v>3</v>
      </c>
      <c r="J38" s="108">
        <v>1</v>
      </c>
      <c r="K38" s="108">
        <v>1000</v>
      </c>
      <c r="L38" s="36" t="s">
        <v>925</v>
      </c>
      <c r="M38" s="36" t="s">
        <v>877</v>
      </c>
      <c r="O38" s="100" t="s">
        <v>681</v>
      </c>
      <c r="P38" s="109">
        <v>1</v>
      </c>
      <c r="Q38" s="36">
        <v>10</v>
      </c>
      <c r="R38" s="108">
        <v>30000800</v>
      </c>
      <c r="S38" s="36">
        <v>200</v>
      </c>
      <c r="T38" s="36">
        <v>1</v>
      </c>
      <c r="U38" s="36">
        <v>1</v>
      </c>
      <c r="W38" s="100" t="s">
        <v>720</v>
      </c>
      <c r="X38" s="109">
        <v>1</v>
      </c>
      <c r="Y38" s="36">
        <v>10</v>
      </c>
      <c r="Z38" s="108">
        <v>30100800</v>
      </c>
      <c r="AA38" s="36">
        <v>100</v>
      </c>
      <c r="AB38" s="36">
        <v>1</v>
      </c>
      <c r="AC38" s="36">
        <v>1</v>
      </c>
      <c r="AE38" s="36" t="s">
        <v>595</v>
      </c>
      <c r="AF38" s="109">
        <v>1</v>
      </c>
      <c r="AG38" s="36">
        <v>10</v>
      </c>
      <c r="AH38" s="108">
        <v>30200800</v>
      </c>
      <c r="AI38" s="36">
        <v>100</v>
      </c>
      <c r="AJ38" s="36">
        <v>1</v>
      </c>
      <c r="AK38" s="36">
        <v>1</v>
      </c>
      <c r="AU38" s="109"/>
      <c r="AV38" s="36" t="s">
        <v>813</v>
      </c>
      <c r="AW38" s="109">
        <v>10</v>
      </c>
      <c r="AX38" s="109">
        <v>20</v>
      </c>
      <c r="AY38" s="110">
        <v>20301000</v>
      </c>
      <c r="AZ38" s="36">
        <v>1000</v>
      </c>
      <c r="BA38" s="109">
        <v>1</v>
      </c>
      <c r="BB38" s="36">
        <v>1</v>
      </c>
      <c r="BD38" s="109"/>
      <c r="BE38" s="36" t="s">
        <v>813</v>
      </c>
      <c r="BF38" s="109">
        <v>10</v>
      </c>
      <c r="BG38" s="109">
        <v>20</v>
      </c>
      <c r="BH38" s="110">
        <v>20301001</v>
      </c>
      <c r="BI38" s="36">
        <v>1000</v>
      </c>
      <c r="BJ38" s="109">
        <v>1</v>
      </c>
      <c r="BK38" s="36">
        <v>1</v>
      </c>
      <c r="BM38" s="109"/>
      <c r="BN38" s="36" t="s">
        <v>813</v>
      </c>
      <c r="BO38" s="109">
        <v>10</v>
      </c>
      <c r="BP38" s="109">
        <v>20</v>
      </c>
      <c r="BQ38" s="110">
        <v>20301002</v>
      </c>
      <c r="BR38" s="36">
        <v>1000</v>
      </c>
      <c r="BS38" s="109">
        <v>1</v>
      </c>
      <c r="BT38" s="36">
        <v>1</v>
      </c>
      <c r="BV38" s="109"/>
      <c r="BW38" s="36" t="s">
        <v>813</v>
      </c>
      <c r="BX38" s="109">
        <v>10</v>
      </c>
      <c r="BY38" s="109">
        <v>20</v>
      </c>
      <c r="BZ38" s="110">
        <v>20301003</v>
      </c>
      <c r="CA38" s="36">
        <v>1000</v>
      </c>
      <c r="CB38" s="109">
        <v>1</v>
      </c>
      <c r="CC38" s="36">
        <v>1</v>
      </c>
      <c r="CE38" s="109"/>
      <c r="CF38" s="36" t="s">
        <v>813</v>
      </c>
      <c r="CG38" s="109">
        <v>10</v>
      </c>
      <c r="CH38" s="109">
        <v>20</v>
      </c>
      <c r="CI38" s="110">
        <v>20301004</v>
      </c>
      <c r="CJ38" s="36">
        <v>1000</v>
      </c>
      <c r="CK38" s="109">
        <v>1</v>
      </c>
      <c r="CL38" s="36">
        <v>1</v>
      </c>
      <c r="CN38" s="109"/>
    </row>
    <row r="39" spans="4:92" x14ac:dyDescent="0.15">
      <c r="F39" s="36">
        <v>37</v>
      </c>
      <c r="G39" s="36">
        <v>70090036</v>
      </c>
      <c r="H39" s="108">
        <v>0</v>
      </c>
      <c r="I39" s="108">
        <v>3</v>
      </c>
      <c r="J39" s="108">
        <v>1</v>
      </c>
      <c r="K39" s="108">
        <v>1000</v>
      </c>
      <c r="L39" s="36" t="s">
        <v>925</v>
      </c>
      <c r="M39" s="36" t="s">
        <v>877</v>
      </c>
      <c r="O39" s="100" t="s">
        <v>596</v>
      </c>
      <c r="P39" s="109">
        <v>11</v>
      </c>
      <c r="Q39" s="36">
        <v>20</v>
      </c>
      <c r="R39" s="108">
        <v>30000801</v>
      </c>
      <c r="S39" s="36">
        <v>200</v>
      </c>
      <c r="T39" s="36">
        <v>1</v>
      </c>
      <c r="U39" s="36">
        <v>1</v>
      </c>
      <c r="W39" s="100" t="s">
        <v>721</v>
      </c>
      <c r="X39" s="109">
        <v>11</v>
      </c>
      <c r="Y39" s="36">
        <v>20</v>
      </c>
      <c r="Z39" s="108">
        <v>30100801</v>
      </c>
      <c r="AA39" s="36">
        <v>100</v>
      </c>
      <c r="AB39" s="36">
        <v>1</v>
      </c>
      <c r="AC39" s="36">
        <v>1</v>
      </c>
      <c r="AE39" s="36" t="s">
        <v>598</v>
      </c>
      <c r="AF39" s="109">
        <v>11</v>
      </c>
      <c r="AG39" s="36">
        <v>20</v>
      </c>
      <c r="AH39" s="108">
        <v>30200801</v>
      </c>
      <c r="AI39" s="36">
        <v>100</v>
      </c>
      <c r="AJ39" s="36">
        <v>1</v>
      </c>
      <c r="AK39" s="36">
        <v>1</v>
      </c>
      <c r="AU39" s="109"/>
      <c r="AV39" s="36" t="s">
        <v>814</v>
      </c>
      <c r="AW39" s="109">
        <v>15</v>
      </c>
      <c r="AX39" s="109">
        <v>25</v>
      </c>
      <c r="AY39" s="110">
        <v>20301500</v>
      </c>
      <c r="AZ39" s="36">
        <v>1000</v>
      </c>
      <c r="BA39" s="109">
        <v>1</v>
      </c>
      <c r="BB39" s="36">
        <v>1</v>
      </c>
      <c r="BD39" s="109"/>
      <c r="BE39" s="36" t="s">
        <v>814</v>
      </c>
      <c r="BF39" s="109">
        <v>15</v>
      </c>
      <c r="BG39" s="109">
        <v>25</v>
      </c>
      <c r="BH39" s="110">
        <v>20301501</v>
      </c>
      <c r="BI39" s="36">
        <v>1000</v>
      </c>
      <c r="BJ39" s="109">
        <v>1</v>
      </c>
      <c r="BK39" s="36">
        <v>1</v>
      </c>
      <c r="BM39" s="109"/>
      <c r="BN39" s="36" t="s">
        <v>814</v>
      </c>
      <c r="BO39" s="109">
        <v>15</v>
      </c>
      <c r="BP39" s="109">
        <v>25</v>
      </c>
      <c r="BQ39" s="110">
        <v>20301502</v>
      </c>
      <c r="BR39" s="36">
        <v>1000</v>
      </c>
      <c r="BS39" s="109">
        <v>1</v>
      </c>
      <c r="BT39" s="36">
        <v>1</v>
      </c>
      <c r="BV39" s="109"/>
      <c r="BW39" s="36" t="s">
        <v>814</v>
      </c>
      <c r="BX39" s="109">
        <v>15</v>
      </c>
      <c r="BY39" s="109">
        <v>25</v>
      </c>
      <c r="BZ39" s="110">
        <v>20301503</v>
      </c>
      <c r="CA39" s="36">
        <v>1000</v>
      </c>
      <c r="CB39" s="109">
        <v>1</v>
      </c>
      <c r="CC39" s="36">
        <v>1</v>
      </c>
      <c r="CE39" s="109"/>
      <c r="CF39" s="36" t="s">
        <v>814</v>
      </c>
      <c r="CG39" s="109">
        <v>15</v>
      </c>
      <c r="CH39" s="109">
        <v>25</v>
      </c>
      <c r="CI39" s="110">
        <v>20301504</v>
      </c>
      <c r="CJ39" s="36">
        <v>1000</v>
      </c>
      <c r="CK39" s="109">
        <v>1</v>
      </c>
      <c r="CL39" s="36">
        <v>1</v>
      </c>
      <c r="CN39" s="109"/>
    </row>
    <row r="40" spans="4:92" x14ac:dyDescent="0.15">
      <c r="F40" s="36">
        <v>38</v>
      </c>
      <c r="G40" s="36">
        <v>70090037</v>
      </c>
      <c r="H40" s="108">
        <v>0</v>
      </c>
      <c r="I40" s="108">
        <v>3</v>
      </c>
      <c r="J40" s="108">
        <v>1</v>
      </c>
      <c r="K40" s="108">
        <v>1000</v>
      </c>
      <c r="L40" s="36" t="s">
        <v>925</v>
      </c>
      <c r="M40" s="36" t="s">
        <v>877</v>
      </c>
      <c r="O40" s="100" t="s">
        <v>599</v>
      </c>
      <c r="P40" s="109">
        <v>21</v>
      </c>
      <c r="Q40" s="36">
        <v>30</v>
      </c>
      <c r="R40" s="108">
        <v>30000802</v>
      </c>
      <c r="S40" s="36">
        <v>200</v>
      </c>
      <c r="T40" s="36">
        <v>1</v>
      </c>
      <c r="U40" s="36">
        <v>1</v>
      </c>
      <c r="W40" s="100" t="s">
        <v>722</v>
      </c>
      <c r="X40" s="109">
        <v>21</v>
      </c>
      <c r="Y40" s="36">
        <v>30</v>
      </c>
      <c r="Z40" s="108">
        <v>30100802</v>
      </c>
      <c r="AA40" s="36">
        <v>100</v>
      </c>
      <c r="AB40" s="36">
        <v>1</v>
      </c>
      <c r="AC40" s="36">
        <v>1</v>
      </c>
      <c r="AE40" s="36" t="s">
        <v>601</v>
      </c>
      <c r="AF40" s="109">
        <v>21</v>
      </c>
      <c r="AG40" s="36">
        <v>30</v>
      </c>
      <c r="AH40" s="108">
        <v>30200802</v>
      </c>
      <c r="AI40" s="36">
        <v>100</v>
      </c>
      <c r="AJ40" s="36">
        <v>1</v>
      </c>
      <c r="AK40" s="36">
        <v>1</v>
      </c>
      <c r="AU40" s="109"/>
      <c r="AV40" s="36" t="s">
        <v>815</v>
      </c>
      <c r="AW40" s="109">
        <v>20</v>
      </c>
      <c r="AX40" s="109">
        <v>30</v>
      </c>
      <c r="AY40" s="110">
        <v>20302000</v>
      </c>
      <c r="AZ40" s="36">
        <v>1000</v>
      </c>
      <c r="BA40" s="109">
        <v>1</v>
      </c>
      <c r="BB40" s="36">
        <v>1</v>
      </c>
      <c r="BD40" s="109"/>
      <c r="BE40" s="36" t="s">
        <v>815</v>
      </c>
      <c r="BF40" s="109">
        <v>20</v>
      </c>
      <c r="BG40" s="109">
        <v>30</v>
      </c>
      <c r="BH40" s="110">
        <v>20302001</v>
      </c>
      <c r="BI40" s="36">
        <v>1000</v>
      </c>
      <c r="BJ40" s="109">
        <v>1</v>
      </c>
      <c r="BK40" s="36">
        <v>1</v>
      </c>
      <c r="BM40" s="109"/>
      <c r="BN40" s="36" t="s">
        <v>815</v>
      </c>
      <c r="BO40" s="109">
        <v>20</v>
      </c>
      <c r="BP40" s="109">
        <v>30</v>
      </c>
      <c r="BQ40" s="110">
        <v>20302002</v>
      </c>
      <c r="BR40" s="36">
        <v>1000</v>
      </c>
      <c r="BS40" s="109">
        <v>1</v>
      </c>
      <c r="BT40" s="36">
        <v>1</v>
      </c>
      <c r="BV40" s="109"/>
      <c r="BW40" s="36" t="s">
        <v>815</v>
      </c>
      <c r="BX40" s="109">
        <v>20</v>
      </c>
      <c r="BY40" s="109">
        <v>30</v>
      </c>
      <c r="BZ40" s="110">
        <v>20302003</v>
      </c>
      <c r="CA40" s="36">
        <v>1000</v>
      </c>
      <c r="CB40" s="109">
        <v>1</v>
      </c>
      <c r="CC40" s="36">
        <v>1</v>
      </c>
      <c r="CE40" s="109"/>
      <c r="CF40" s="36" t="s">
        <v>815</v>
      </c>
      <c r="CG40" s="109">
        <v>20</v>
      </c>
      <c r="CH40" s="109">
        <v>30</v>
      </c>
      <c r="CI40" s="110">
        <v>20302004</v>
      </c>
      <c r="CJ40" s="36">
        <v>1000</v>
      </c>
      <c r="CK40" s="109">
        <v>1</v>
      </c>
      <c r="CL40" s="36">
        <v>1</v>
      </c>
      <c r="CN40" s="109"/>
    </row>
    <row r="41" spans="4:92" x14ac:dyDescent="0.15">
      <c r="F41" s="36">
        <v>39</v>
      </c>
      <c r="G41" s="36">
        <v>70090038</v>
      </c>
      <c r="H41" s="108">
        <v>0</v>
      </c>
      <c r="I41" s="108">
        <v>3</v>
      </c>
      <c r="J41" s="108">
        <v>1</v>
      </c>
      <c r="K41" s="108">
        <v>1000</v>
      </c>
      <c r="L41" s="36" t="s">
        <v>925</v>
      </c>
      <c r="M41" s="36" t="s">
        <v>877</v>
      </c>
      <c r="O41" s="100" t="s">
        <v>602</v>
      </c>
      <c r="P41" s="109">
        <v>31</v>
      </c>
      <c r="Q41" s="36">
        <v>40</v>
      </c>
      <c r="R41" s="108">
        <v>30000803</v>
      </c>
      <c r="S41" s="36">
        <v>200</v>
      </c>
      <c r="T41" s="36">
        <v>1</v>
      </c>
      <c r="U41" s="36">
        <v>1</v>
      </c>
      <c r="W41" s="100" t="s">
        <v>723</v>
      </c>
      <c r="X41" s="109">
        <v>31</v>
      </c>
      <c r="Y41" s="36">
        <v>40</v>
      </c>
      <c r="Z41" s="108">
        <v>30100803</v>
      </c>
      <c r="AA41" s="36">
        <v>100</v>
      </c>
      <c r="AB41" s="36">
        <v>1</v>
      </c>
      <c r="AC41" s="36">
        <v>1</v>
      </c>
      <c r="AE41" s="36" t="s">
        <v>604</v>
      </c>
      <c r="AF41" s="109">
        <v>31</v>
      </c>
      <c r="AG41" s="36">
        <v>40</v>
      </c>
      <c r="AH41" s="108">
        <v>30200803</v>
      </c>
      <c r="AI41" s="36">
        <v>100</v>
      </c>
      <c r="AJ41" s="36">
        <v>1</v>
      </c>
      <c r="AK41" s="36">
        <v>1</v>
      </c>
      <c r="AU41" s="109"/>
      <c r="AV41" s="36" t="s">
        <v>816</v>
      </c>
      <c r="AW41" s="109">
        <v>25</v>
      </c>
      <c r="AX41" s="109">
        <v>35</v>
      </c>
      <c r="AY41" s="110">
        <v>20302500</v>
      </c>
      <c r="AZ41" s="36">
        <v>1000</v>
      </c>
      <c r="BA41" s="109">
        <v>1</v>
      </c>
      <c r="BB41" s="36">
        <v>1</v>
      </c>
      <c r="BD41" s="109"/>
      <c r="BE41" s="36" t="s">
        <v>816</v>
      </c>
      <c r="BF41" s="109">
        <v>25</v>
      </c>
      <c r="BG41" s="109">
        <v>35</v>
      </c>
      <c r="BH41" s="110">
        <v>20302501</v>
      </c>
      <c r="BI41" s="36">
        <v>1000</v>
      </c>
      <c r="BJ41" s="109">
        <v>1</v>
      </c>
      <c r="BK41" s="36">
        <v>1</v>
      </c>
      <c r="BM41" s="109"/>
      <c r="BN41" s="36" t="s">
        <v>816</v>
      </c>
      <c r="BO41" s="109">
        <v>25</v>
      </c>
      <c r="BP41" s="109">
        <v>35</v>
      </c>
      <c r="BQ41" s="110">
        <v>20302502</v>
      </c>
      <c r="BR41" s="36">
        <v>1000</v>
      </c>
      <c r="BS41" s="109">
        <v>1</v>
      </c>
      <c r="BT41" s="36">
        <v>1</v>
      </c>
      <c r="BV41" s="109"/>
      <c r="BW41" s="36" t="s">
        <v>816</v>
      </c>
      <c r="BX41" s="109">
        <v>25</v>
      </c>
      <c r="BY41" s="109">
        <v>35</v>
      </c>
      <c r="BZ41" s="110">
        <v>20302503</v>
      </c>
      <c r="CA41" s="36">
        <v>1000</v>
      </c>
      <c r="CB41" s="109">
        <v>1</v>
      </c>
      <c r="CC41" s="36">
        <v>1</v>
      </c>
      <c r="CE41" s="109"/>
      <c r="CF41" s="36" t="s">
        <v>816</v>
      </c>
      <c r="CG41" s="109">
        <v>25</v>
      </c>
      <c r="CH41" s="109">
        <v>35</v>
      </c>
      <c r="CI41" s="110">
        <v>20302504</v>
      </c>
      <c r="CJ41" s="36">
        <v>1000</v>
      </c>
      <c r="CK41" s="109">
        <v>1</v>
      </c>
      <c r="CL41" s="36">
        <v>1</v>
      </c>
      <c r="CN41" s="109"/>
    </row>
    <row r="42" spans="4:92" x14ac:dyDescent="0.15">
      <c r="F42" s="36">
        <v>40</v>
      </c>
      <c r="G42" s="36">
        <v>70090039</v>
      </c>
      <c r="H42" s="108">
        <v>0</v>
      </c>
      <c r="I42" s="108">
        <v>3</v>
      </c>
      <c r="J42" s="108">
        <v>1</v>
      </c>
      <c r="K42" s="108">
        <v>1000</v>
      </c>
      <c r="L42" s="36" t="s">
        <v>926</v>
      </c>
      <c r="M42" s="36" t="s">
        <v>877</v>
      </c>
      <c r="O42" s="100" t="s">
        <v>605</v>
      </c>
      <c r="P42" s="109">
        <v>41</v>
      </c>
      <c r="Q42" s="36">
        <v>50</v>
      </c>
      <c r="R42" s="108">
        <v>30000804</v>
      </c>
      <c r="S42" s="36">
        <v>200</v>
      </c>
      <c r="T42" s="36">
        <v>1</v>
      </c>
      <c r="U42" s="36">
        <v>1</v>
      </c>
      <c r="W42" s="100" t="s">
        <v>724</v>
      </c>
      <c r="X42" s="109">
        <v>41</v>
      </c>
      <c r="Y42" s="36">
        <v>50</v>
      </c>
      <c r="Z42" s="108">
        <v>30100804</v>
      </c>
      <c r="AA42" s="36">
        <v>100</v>
      </c>
      <c r="AB42" s="36">
        <v>1</v>
      </c>
      <c r="AC42" s="36">
        <v>1</v>
      </c>
      <c r="AE42" s="36" t="s">
        <v>607</v>
      </c>
      <c r="AF42" s="109">
        <v>41</v>
      </c>
      <c r="AG42" s="36">
        <v>50</v>
      </c>
      <c r="AH42" s="108">
        <v>30200804</v>
      </c>
      <c r="AI42" s="36">
        <v>100</v>
      </c>
      <c r="AJ42" s="36">
        <v>1</v>
      </c>
      <c r="AK42" s="36">
        <v>1</v>
      </c>
      <c r="AU42" s="109"/>
      <c r="AV42" s="36" t="s">
        <v>817</v>
      </c>
      <c r="AW42" s="109">
        <v>30</v>
      </c>
      <c r="AX42" s="109">
        <v>40</v>
      </c>
      <c r="AY42" s="110">
        <v>20303000</v>
      </c>
      <c r="AZ42" s="36">
        <v>1000</v>
      </c>
      <c r="BA42" s="109">
        <v>1</v>
      </c>
      <c r="BB42" s="36">
        <v>1</v>
      </c>
      <c r="BD42" s="109"/>
      <c r="BE42" s="36" t="s">
        <v>817</v>
      </c>
      <c r="BF42" s="109">
        <v>30</v>
      </c>
      <c r="BG42" s="109">
        <v>40</v>
      </c>
      <c r="BH42" s="110">
        <v>20303001</v>
      </c>
      <c r="BI42" s="36">
        <v>1000</v>
      </c>
      <c r="BJ42" s="109">
        <v>1</v>
      </c>
      <c r="BK42" s="36">
        <v>1</v>
      </c>
      <c r="BM42" s="109"/>
      <c r="BN42" s="36" t="s">
        <v>817</v>
      </c>
      <c r="BO42" s="109">
        <v>30</v>
      </c>
      <c r="BP42" s="109">
        <v>40</v>
      </c>
      <c r="BQ42" s="110">
        <v>20303002</v>
      </c>
      <c r="BR42" s="36">
        <v>1000</v>
      </c>
      <c r="BS42" s="109">
        <v>1</v>
      </c>
      <c r="BT42" s="36">
        <v>1</v>
      </c>
      <c r="BV42" s="109"/>
      <c r="BW42" s="36" t="s">
        <v>817</v>
      </c>
      <c r="BX42" s="109">
        <v>30</v>
      </c>
      <c r="BY42" s="109">
        <v>40</v>
      </c>
      <c r="BZ42" s="110">
        <v>20303003</v>
      </c>
      <c r="CA42" s="36">
        <v>1000</v>
      </c>
      <c r="CB42" s="109">
        <v>1</v>
      </c>
      <c r="CC42" s="36">
        <v>1</v>
      </c>
      <c r="CE42" s="109"/>
      <c r="CF42" s="36" t="s">
        <v>817</v>
      </c>
      <c r="CG42" s="109">
        <v>30</v>
      </c>
      <c r="CH42" s="109">
        <v>40</v>
      </c>
      <c r="CI42" s="110">
        <v>20303004</v>
      </c>
      <c r="CJ42" s="36">
        <v>1000</v>
      </c>
      <c r="CK42" s="109">
        <v>1</v>
      </c>
      <c r="CL42" s="36">
        <v>1</v>
      </c>
      <c r="CN42" s="109"/>
    </row>
    <row r="43" spans="4:92" x14ac:dyDescent="0.15">
      <c r="F43" s="36">
        <v>41</v>
      </c>
      <c r="G43" s="36">
        <v>70090040</v>
      </c>
      <c r="H43" s="108">
        <v>0</v>
      </c>
      <c r="I43" s="108">
        <v>4</v>
      </c>
      <c r="J43" s="108">
        <v>1</v>
      </c>
      <c r="K43" s="108">
        <v>1000</v>
      </c>
      <c r="L43" s="36" t="s">
        <v>927</v>
      </c>
      <c r="M43" s="36" t="s">
        <v>877</v>
      </c>
      <c r="O43" s="100" t="s">
        <v>608</v>
      </c>
      <c r="P43" s="109">
        <v>1</v>
      </c>
      <c r="Q43" s="36">
        <v>10</v>
      </c>
      <c r="R43" s="108">
        <v>30000900</v>
      </c>
      <c r="S43" s="36">
        <v>200</v>
      </c>
      <c r="T43" s="36">
        <v>1</v>
      </c>
      <c r="U43" s="36">
        <v>1</v>
      </c>
      <c r="W43" s="100" t="s">
        <v>725</v>
      </c>
      <c r="X43" s="109">
        <v>1</v>
      </c>
      <c r="Y43" s="36">
        <v>10</v>
      </c>
      <c r="Z43" s="108">
        <v>30100900</v>
      </c>
      <c r="AA43" s="36">
        <v>100</v>
      </c>
      <c r="AB43" s="36">
        <v>1</v>
      </c>
      <c r="AC43" s="36">
        <v>1</v>
      </c>
      <c r="AE43" s="36" t="s">
        <v>551</v>
      </c>
      <c r="AF43" s="109">
        <v>1</v>
      </c>
      <c r="AG43" s="36">
        <v>10</v>
      </c>
      <c r="AH43" s="108">
        <v>30200900</v>
      </c>
      <c r="AI43" s="36">
        <v>100</v>
      </c>
      <c r="AJ43" s="36">
        <v>1</v>
      </c>
      <c r="AK43" s="36">
        <v>1</v>
      </c>
      <c r="AU43" s="109"/>
      <c r="AV43" s="36" t="s">
        <v>818</v>
      </c>
      <c r="AW43" s="109">
        <v>35</v>
      </c>
      <c r="AX43" s="109">
        <v>45</v>
      </c>
      <c r="AY43" s="110">
        <v>20303500</v>
      </c>
      <c r="AZ43" s="36">
        <v>1000</v>
      </c>
      <c r="BA43" s="109">
        <v>1</v>
      </c>
      <c r="BB43" s="36">
        <v>1</v>
      </c>
      <c r="BD43" s="109"/>
      <c r="BE43" s="36" t="s">
        <v>818</v>
      </c>
      <c r="BF43" s="109">
        <v>35</v>
      </c>
      <c r="BG43" s="109">
        <v>45</v>
      </c>
      <c r="BH43" s="110">
        <v>20303501</v>
      </c>
      <c r="BI43" s="36">
        <v>1000</v>
      </c>
      <c r="BJ43" s="109">
        <v>1</v>
      </c>
      <c r="BK43" s="36">
        <v>1</v>
      </c>
      <c r="BM43" s="109"/>
      <c r="BN43" s="36" t="s">
        <v>818</v>
      </c>
      <c r="BO43" s="109">
        <v>35</v>
      </c>
      <c r="BP43" s="109">
        <v>45</v>
      </c>
      <c r="BQ43" s="110">
        <v>20303502</v>
      </c>
      <c r="BR43" s="36">
        <v>1000</v>
      </c>
      <c r="BS43" s="109">
        <v>1</v>
      </c>
      <c r="BT43" s="36">
        <v>1</v>
      </c>
      <c r="BV43" s="109"/>
      <c r="BW43" s="36" t="s">
        <v>818</v>
      </c>
      <c r="BX43" s="109">
        <v>35</v>
      </c>
      <c r="BY43" s="109">
        <v>45</v>
      </c>
      <c r="BZ43" s="110">
        <v>20303503</v>
      </c>
      <c r="CA43" s="36">
        <v>1000</v>
      </c>
      <c r="CB43" s="109">
        <v>1</v>
      </c>
      <c r="CC43" s="36">
        <v>1</v>
      </c>
      <c r="CE43" s="109"/>
      <c r="CF43" s="36" t="s">
        <v>818</v>
      </c>
      <c r="CG43" s="109">
        <v>35</v>
      </c>
      <c r="CH43" s="109">
        <v>45</v>
      </c>
      <c r="CI43" s="110">
        <v>20303504</v>
      </c>
      <c r="CJ43" s="36">
        <v>1000</v>
      </c>
      <c r="CK43" s="109">
        <v>1</v>
      </c>
      <c r="CL43" s="36">
        <v>1</v>
      </c>
      <c r="CN43" s="109"/>
    </row>
    <row r="44" spans="4:92" x14ac:dyDescent="0.15">
      <c r="F44" s="36">
        <v>42</v>
      </c>
      <c r="G44" s="36">
        <v>70090041</v>
      </c>
      <c r="H44" s="108">
        <v>0</v>
      </c>
      <c r="I44" s="108">
        <v>4</v>
      </c>
      <c r="J44" s="108">
        <v>1</v>
      </c>
      <c r="K44" s="108">
        <v>1000</v>
      </c>
      <c r="L44" s="36" t="s">
        <v>927</v>
      </c>
      <c r="M44" s="36" t="s">
        <v>877</v>
      </c>
      <c r="O44" s="100" t="s">
        <v>610</v>
      </c>
      <c r="P44" s="109">
        <v>11</v>
      </c>
      <c r="Q44" s="36">
        <v>20</v>
      </c>
      <c r="R44" s="108">
        <v>30000901</v>
      </c>
      <c r="S44" s="36">
        <v>200</v>
      </c>
      <c r="T44" s="36">
        <v>1</v>
      </c>
      <c r="U44" s="36">
        <v>1</v>
      </c>
      <c r="W44" s="100" t="s">
        <v>726</v>
      </c>
      <c r="X44" s="109">
        <v>11</v>
      </c>
      <c r="Y44" s="36">
        <v>20</v>
      </c>
      <c r="Z44" s="108">
        <v>30100901</v>
      </c>
      <c r="AA44" s="36">
        <v>100</v>
      </c>
      <c r="AB44" s="36">
        <v>1</v>
      </c>
      <c r="AC44" s="36">
        <v>1</v>
      </c>
      <c r="AE44" s="36" t="s">
        <v>554</v>
      </c>
      <c r="AF44" s="109">
        <v>11</v>
      </c>
      <c r="AG44" s="36">
        <v>20</v>
      </c>
      <c r="AH44" s="108">
        <v>30200901</v>
      </c>
      <c r="AI44" s="36">
        <v>100</v>
      </c>
      <c r="AJ44" s="36">
        <v>1</v>
      </c>
      <c r="AK44" s="36">
        <v>1</v>
      </c>
      <c r="AU44" s="109"/>
      <c r="AV44" s="36" t="s">
        <v>819</v>
      </c>
      <c r="AW44" s="109">
        <v>40</v>
      </c>
      <c r="AX44" s="109">
        <v>50</v>
      </c>
      <c r="AY44" s="110">
        <v>20304000</v>
      </c>
      <c r="AZ44" s="36">
        <v>1000</v>
      </c>
      <c r="BA44" s="109">
        <v>1</v>
      </c>
      <c r="BB44" s="36">
        <v>1</v>
      </c>
      <c r="BD44" s="109"/>
      <c r="BE44" s="36" t="s">
        <v>819</v>
      </c>
      <c r="BF44" s="109">
        <v>40</v>
      </c>
      <c r="BG44" s="109">
        <v>50</v>
      </c>
      <c r="BH44" s="110">
        <v>20304001</v>
      </c>
      <c r="BI44" s="36">
        <v>1000</v>
      </c>
      <c r="BJ44" s="109">
        <v>1</v>
      </c>
      <c r="BK44" s="36">
        <v>1</v>
      </c>
      <c r="BM44" s="109"/>
      <c r="BN44" s="36" t="s">
        <v>819</v>
      </c>
      <c r="BO44" s="109">
        <v>40</v>
      </c>
      <c r="BP44" s="109">
        <v>50</v>
      </c>
      <c r="BQ44" s="110">
        <v>20304002</v>
      </c>
      <c r="BR44" s="36">
        <v>1000</v>
      </c>
      <c r="BS44" s="109">
        <v>1</v>
      </c>
      <c r="BT44" s="36">
        <v>1</v>
      </c>
      <c r="BV44" s="109"/>
      <c r="BW44" s="36" t="s">
        <v>819</v>
      </c>
      <c r="BX44" s="109">
        <v>40</v>
      </c>
      <c r="BY44" s="109">
        <v>50</v>
      </c>
      <c r="BZ44" s="110">
        <v>20304003</v>
      </c>
      <c r="CA44" s="36">
        <v>1000</v>
      </c>
      <c r="CB44" s="109">
        <v>1</v>
      </c>
      <c r="CC44" s="36">
        <v>1</v>
      </c>
      <c r="CE44" s="109"/>
      <c r="CF44" s="36" t="s">
        <v>819</v>
      </c>
      <c r="CG44" s="109">
        <v>40</v>
      </c>
      <c r="CH44" s="109">
        <v>50</v>
      </c>
      <c r="CI44" s="110">
        <v>20304004</v>
      </c>
      <c r="CJ44" s="36">
        <v>1000</v>
      </c>
      <c r="CK44" s="109">
        <v>1</v>
      </c>
      <c r="CL44" s="36">
        <v>1</v>
      </c>
      <c r="CN44" s="109"/>
    </row>
    <row r="45" spans="4:92" x14ac:dyDescent="0.15">
      <c r="F45" s="36">
        <v>43</v>
      </c>
      <c r="G45" s="36">
        <v>70090042</v>
      </c>
      <c r="H45" s="108">
        <v>0</v>
      </c>
      <c r="I45" s="108">
        <v>4</v>
      </c>
      <c r="J45" s="108">
        <v>1</v>
      </c>
      <c r="K45" s="108">
        <v>1000</v>
      </c>
      <c r="L45" s="36" t="s">
        <v>927</v>
      </c>
      <c r="M45" s="36" t="s">
        <v>877</v>
      </c>
      <c r="O45" s="100" t="s">
        <v>612</v>
      </c>
      <c r="P45" s="109">
        <v>21</v>
      </c>
      <c r="Q45" s="36">
        <v>30</v>
      </c>
      <c r="R45" s="108">
        <v>30000902</v>
      </c>
      <c r="S45" s="36">
        <v>200</v>
      </c>
      <c r="T45" s="36">
        <v>1</v>
      </c>
      <c r="U45" s="36">
        <v>1</v>
      </c>
      <c r="W45" s="100" t="s">
        <v>727</v>
      </c>
      <c r="X45" s="109">
        <v>21</v>
      </c>
      <c r="Y45" s="36">
        <v>30</v>
      </c>
      <c r="Z45" s="108">
        <v>30100902</v>
      </c>
      <c r="AA45" s="36">
        <v>100</v>
      </c>
      <c r="AB45" s="36">
        <v>1</v>
      </c>
      <c r="AC45" s="36">
        <v>1</v>
      </c>
      <c r="AE45" s="36" t="s">
        <v>557</v>
      </c>
      <c r="AF45" s="109">
        <v>21</v>
      </c>
      <c r="AG45" s="36">
        <v>30</v>
      </c>
      <c r="AH45" s="108">
        <v>30200902</v>
      </c>
      <c r="AI45" s="36">
        <v>100</v>
      </c>
      <c r="AJ45" s="36">
        <v>1</v>
      </c>
      <c r="AK45" s="36">
        <v>1</v>
      </c>
      <c r="AU45" s="109"/>
      <c r="AV45" s="36" t="s">
        <v>820</v>
      </c>
      <c r="AW45" s="109">
        <v>45</v>
      </c>
      <c r="AX45" s="109">
        <v>50</v>
      </c>
      <c r="AY45" s="110">
        <v>20304500</v>
      </c>
      <c r="AZ45" s="36">
        <v>1000</v>
      </c>
      <c r="BA45" s="109">
        <v>1</v>
      </c>
      <c r="BB45" s="36">
        <v>1</v>
      </c>
      <c r="BD45" s="109"/>
      <c r="BE45" s="36" t="s">
        <v>820</v>
      </c>
      <c r="BF45" s="109">
        <v>45</v>
      </c>
      <c r="BG45" s="109">
        <v>50</v>
      </c>
      <c r="BH45" s="110">
        <v>20304501</v>
      </c>
      <c r="BI45" s="36">
        <v>1000</v>
      </c>
      <c r="BJ45" s="109">
        <v>1</v>
      </c>
      <c r="BK45" s="36">
        <v>1</v>
      </c>
      <c r="BM45" s="109"/>
      <c r="BN45" s="36" t="s">
        <v>820</v>
      </c>
      <c r="BO45" s="109">
        <v>45</v>
      </c>
      <c r="BP45" s="109">
        <v>50</v>
      </c>
      <c r="BQ45" s="110">
        <v>20304502</v>
      </c>
      <c r="BR45" s="36">
        <v>1000</v>
      </c>
      <c r="BS45" s="109">
        <v>1</v>
      </c>
      <c r="BT45" s="36">
        <v>1</v>
      </c>
      <c r="BV45" s="109"/>
      <c r="BW45" s="36" t="s">
        <v>820</v>
      </c>
      <c r="BX45" s="109">
        <v>45</v>
      </c>
      <c r="BY45" s="109">
        <v>50</v>
      </c>
      <c r="BZ45" s="110">
        <v>20304503</v>
      </c>
      <c r="CA45" s="36">
        <v>1000</v>
      </c>
      <c r="CB45" s="109">
        <v>1</v>
      </c>
      <c r="CC45" s="36">
        <v>1</v>
      </c>
      <c r="CE45" s="109"/>
      <c r="CF45" s="36" t="s">
        <v>820</v>
      </c>
      <c r="CG45" s="109">
        <v>45</v>
      </c>
      <c r="CH45" s="109">
        <v>50</v>
      </c>
      <c r="CI45" s="110">
        <v>20304504</v>
      </c>
      <c r="CJ45" s="36">
        <v>1000</v>
      </c>
      <c r="CK45" s="109">
        <v>1</v>
      </c>
      <c r="CL45" s="36">
        <v>1</v>
      </c>
      <c r="CN45" s="109"/>
    </row>
    <row r="46" spans="4:92" x14ac:dyDescent="0.15">
      <c r="F46" s="36">
        <v>44</v>
      </c>
      <c r="G46" s="36">
        <v>70090043</v>
      </c>
      <c r="H46" s="108">
        <v>0</v>
      </c>
      <c r="I46" s="108">
        <v>4</v>
      </c>
      <c r="J46" s="108">
        <v>1</v>
      </c>
      <c r="K46" s="108">
        <v>1000</v>
      </c>
      <c r="L46" s="36" t="s">
        <v>927</v>
      </c>
      <c r="M46" s="36" t="s">
        <v>877</v>
      </c>
      <c r="O46" s="100" t="s">
        <v>614</v>
      </c>
      <c r="P46" s="109">
        <v>31</v>
      </c>
      <c r="Q46" s="36">
        <v>40</v>
      </c>
      <c r="R46" s="108">
        <v>30000903</v>
      </c>
      <c r="S46" s="36">
        <v>200</v>
      </c>
      <c r="T46" s="36">
        <v>1</v>
      </c>
      <c r="U46" s="36">
        <v>1</v>
      </c>
      <c r="W46" s="100" t="s">
        <v>728</v>
      </c>
      <c r="X46" s="109">
        <v>31</v>
      </c>
      <c r="Y46" s="36">
        <v>40</v>
      </c>
      <c r="Z46" s="108">
        <v>30100903</v>
      </c>
      <c r="AA46" s="36">
        <v>100</v>
      </c>
      <c r="AB46" s="36">
        <v>1</v>
      </c>
      <c r="AC46" s="36">
        <v>1</v>
      </c>
      <c r="AE46" s="36" t="s">
        <v>560</v>
      </c>
      <c r="AF46" s="109">
        <v>31</v>
      </c>
      <c r="AG46" s="36">
        <v>40</v>
      </c>
      <c r="AH46" s="108">
        <v>30200903</v>
      </c>
      <c r="AI46" s="36">
        <v>100</v>
      </c>
      <c r="AJ46" s="36">
        <v>1</v>
      </c>
      <c r="AK46" s="36">
        <v>1</v>
      </c>
      <c r="AU46" s="109"/>
      <c r="AV46" s="36" t="s">
        <v>821</v>
      </c>
      <c r="AW46" s="109">
        <v>45</v>
      </c>
      <c r="AX46" s="109">
        <v>50</v>
      </c>
      <c r="AY46" s="110">
        <v>20305000</v>
      </c>
      <c r="AZ46" s="36">
        <v>1000</v>
      </c>
      <c r="BA46" s="109">
        <v>1</v>
      </c>
      <c r="BB46" s="36">
        <v>1</v>
      </c>
      <c r="BD46" s="109"/>
      <c r="BE46" s="36" t="s">
        <v>821</v>
      </c>
      <c r="BF46" s="109">
        <v>45</v>
      </c>
      <c r="BG46" s="109">
        <v>50</v>
      </c>
      <c r="BH46" s="110">
        <v>20305001</v>
      </c>
      <c r="BI46" s="36">
        <v>1000</v>
      </c>
      <c r="BJ46" s="109">
        <v>1</v>
      </c>
      <c r="BK46" s="36">
        <v>1</v>
      </c>
      <c r="BM46" s="109"/>
      <c r="BN46" s="36" t="s">
        <v>821</v>
      </c>
      <c r="BO46" s="109">
        <v>45</v>
      </c>
      <c r="BP46" s="109">
        <v>50</v>
      </c>
      <c r="BQ46" s="110">
        <v>20305002</v>
      </c>
      <c r="BR46" s="36">
        <v>1000</v>
      </c>
      <c r="BS46" s="109">
        <v>1</v>
      </c>
      <c r="BT46" s="36">
        <v>1</v>
      </c>
      <c r="BV46" s="109"/>
      <c r="BW46" s="36" t="s">
        <v>821</v>
      </c>
      <c r="BX46" s="109">
        <v>45</v>
      </c>
      <c r="BY46" s="109">
        <v>50</v>
      </c>
      <c r="BZ46" s="110">
        <v>20305003</v>
      </c>
      <c r="CA46" s="36">
        <v>1000</v>
      </c>
      <c r="CB46" s="109">
        <v>1</v>
      </c>
      <c r="CC46" s="36">
        <v>1</v>
      </c>
      <c r="CE46" s="109"/>
      <c r="CF46" s="36" t="s">
        <v>821</v>
      </c>
      <c r="CG46" s="109">
        <v>45</v>
      </c>
      <c r="CH46" s="109">
        <v>50</v>
      </c>
      <c r="CI46" s="110">
        <v>20305004</v>
      </c>
      <c r="CJ46" s="36">
        <v>1000</v>
      </c>
      <c r="CK46" s="109">
        <v>1</v>
      </c>
      <c r="CL46" s="36">
        <v>1</v>
      </c>
      <c r="CN46" s="109"/>
    </row>
    <row r="47" spans="4:92" x14ac:dyDescent="0.15">
      <c r="F47" s="36">
        <v>45</v>
      </c>
      <c r="G47" s="36">
        <v>70090044</v>
      </c>
      <c r="H47" s="108">
        <v>0</v>
      </c>
      <c r="I47" s="108">
        <v>4</v>
      </c>
      <c r="J47" s="108">
        <v>1</v>
      </c>
      <c r="K47" s="108">
        <v>1000</v>
      </c>
      <c r="L47" s="36" t="s">
        <v>928</v>
      </c>
      <c r="M47" s="36" t="s">
        <v>877</v>
      </c>
      <c r="O47" s="100" t="s">
        <v>616</v>
      </c>
      <c r="P47" s="109">
        <v>41</v>
      </c>
      <c r="Q47" s="36">
        <v>50</v>
      </c>
      <c r="R47" s="108">
        <v>30000904</v>
      </c>
      <c r="S47" s="36">
        <v>200</v>
      </c>
      <c r="T47" s="36">
        <v>1</v>
      </c>
      <c r="U47" s="36">
        <v>1</v>
      </c>
      <c r="W47" s="100" t="s">
        <v>729</v>
      </c>
      <c r="X47" s="109">
        <v>41</v>
      </c>
      <c r="Y47" s="36">
        <v>50</v>
      </c>
      <c r="Z47" s="108">
        <v>30100904</v>
      </c>
      <c r="AA47" s="36">
        <v>100</v>
      </c>
      <c r="AB47" s="36">
        <v>1</v>
      </c>
      <c r="AC47" s="36">
        <v>1</v>
      </c>
      <c r="AE47" s="36" t="s">
        <v>563</v>
      </c>
      <c r="AF47" s="109">
        <v>41</v>
      </c>
      <c r="AG47" s="36">
        <v>50</v>
      </c>
      <c r="AH47" s="108">
        <v>30200904</v>
      </c>
      <c r="AI47" s="36">
        <v>100</v>
      </c>
      <c r="AJ47" s="36">
        <v>1</v>
      </c>
      <c r="AK47" s="36">
        <v>1</v>
      </c>
      <c r="AU47" s="109" t="s">
        <v>774</v>
      </c>
      <c r="AV47" s="36" t="s">
        <v>822</v>
      </c>
      <c r="AW47" s="36">
        <v>1</v>
      </c>
      <c r="AX47" s="109">
        <v>10</v>
      </c>
      <c r="AY47" s="110">
        <v>20400100</v>
      </c>
      <c r="AZ47" s="36">
        <v>1000</v>
      </c>
      <c r="BA47" s="109">
        <v>1</v>
      </c>
      <c r="BB47" s="36">
        <v>1</v>
      </c>
      <c r="BD47" s="109" t="s">
        <v>774</v>
      </c>
      <c r="BE47" s="36" t="s">
        <v>822</v>
      </c>
      <c r="BF47" s="36">
        <v>1</v>
      </c>
      <c r="BG47" s="109">
        <v>10</v>
      </c>
      <c r="BH47" s="110">
        <v>20400101</v>
      </c>
      <c r="BI47" s="36">
        <v>1000</v>
      </c>
      <c r="BJ47" s="109">
        <v>1</v>
      </c>
      <c r="BK47" s="36">
        <v>1</v>
      </c>
      <c r="BM47" s="109" t="s">
        <v>774</v>
      </c>
      <c r="BN47" s="36" t="s">
        <v>822</v>
      </c>
      <c r="BO47" s="36">
        <v>1</v>
      </c>
      <c r="BP47" s="109">
        <v>10</v>
      </c>
      <c r="BQ47" s="110">
        <v>20400102</v>
      </c>
      <c r="BR47" s="36">
        <v>1000</v>
      </c>
      <c r="BS47" s="109">
        <v>1</v>
      </c>
      <c r="BT47" s="36">
        <v>1</v>
      </c>
      <c r="BV47" s="109" t="s">
        <v>774</v>
      </c>
      <c r="BW47" s="36" t="s">
        <v>822</v>
      </c>
      <c r="BX47" s="36">
        <v>1</v>
      </c>
      <c r="BY47" s="109">
        <v>10</v>
      </c>
      <c r="BZ47" s="110">
        <v>20400103</v>
      </c>
      <c r="CA47" s="36">
        <v>1000</v>
      </c>
      <c r="CB47" s="109">
        <v>1</v>
      </c>
      <c r="CC47" s="36">
        <v>1</v>
      </c>
      <c r="CE47" s="109" t="s">
        <v>774</v>
      </c>
      <c r="CF47" s="36" t="s">
        <v>822</v>
      </c>
      <c r="CG47" s="36">
        <v>1</v>
      </c>
      <c r="CH47" s="109">
        <v>10</v>
      </c>
      <c r="CI47" s="110">
        <v>20400104</v>
      </c>
      <c r="CJ47" s="36">
        <v>1000</v>
      </c>
      <c r="CK47" s="109">
        <v>1</v>
      </c>
      <c r="CL47" s="36">
        <v>1</v>
      </c>
      <c r="CN47" s="109"/>
    </row>
    <row r="48" spans="4:92" x14ac:dyDescent="0.15">
      <c r="F48" s="36">
        <v>46</v>
      </c>
      <c r="G48" s="36">
        <v>70090045</v>
      </c>
      <c r="H48" s="108">
        <v>0</v>
      </c>
      <c r="I48" s="108">
        <v>4</v>
      </c>
      <c r="J48" s="108">
        <v>1</v>
      </c>
      <c r="K48" s="108">
        <v>1000</v>
      </c>
      <c r="L48" s="36" t="s">
        <v>929</v>
      </c>
      <c r="M48" s="36" t="s">
        <v>877</v>
      </c>
      <c r="O48" s="100" t="s">
        <v>618</v>
      </c>
      <c r="P48" s="109">
        <v>1</v>
      </c>
      <c r="Q48" s="36">
        <v>10</v>
      </c>
      <c r="R48" s="108">
        <v>30001000</v>
      </c>
      <c r="S48" s="36">
        <v>200</v>
      </c>
      <c r="T48" s="36">
        <v>1</v>
      </c>
      <c r="U48" s="36">
        <v>1</v>
      </c>
      <c r="W48" s="100" t="s">
        <v>730</v>
      </c>
      <c r="X48" s="109">
        <v>1</v>
      </c>
      <c r="Y48" s="36">
        <v>10</v>
      </c>
      <c r="Z48" s="108">
        <v>30101000</v>
      </c>
      <c r="AA48" s="36">
        <v>100</v>
      </c>
      <c r="AB48" s="36">
        <v>1</v>
      </c>
      <c r="AC48" s="36">
        <v>1</v>
      </c>
      <c r="AE48" s="36" t="s">
        <v>580</v>
      </c>
      <c r="AF48" s="109">
        <v>1</v>
      </c>
      <c r="AG48" s="36">
        <v>10</v>
      </c>
      <c r="AH48" s="108">
        <v>30201000</v>
      </c>
      <c r="AI48" s="36">
        <v>100</v>
      </c>
      <c r="AJ48" s="36">
        <v>1</v>
      </c>
      <c r="AK48" s="36">
        <v>1</v>
      </c>
      <c r="AU48" s="109"/>
      <c r="AV48" s="36" t="s">
        <v>823</v>
      </c>
      <c r="AW48" s="109">
        <v>5</v>
      </c>
      <c r="AX48" s="109">
        <v>15</v>
      </c>
      <c r="AY48" s="110">
        <v>20400500</v>
      </c>
      <c r="AZ48" s="36">
        <v>1000</v>
      </c>
      <c r="BA48" s="109">
        <v>1</v>
      </c>
      <c r="BB48" s="36">
        <v>1</v>
      </c>
      <c r="BD48" s="109"/>
      <c r="BE48" s="36" t="s">
        <v>823</v>
      </c>
      <c r="BF48" s="109">
        <v>5</v>
      </c>
      <c r="BG48" s="109">
        <v>15</v>
      </c>
      <c r="BH48" s="110">
        <v>20400501</v>
      </c>
      <c r="BI48" s="36">
        <v>1000</v>
      </c>
      <c r="BJ48" s="109">
        <v>1</v>
      </c>
      <c r="BK48" s="36">
        <v>1</v>
      </c>
      <c r="BM48" s="109"/>
      <c r="BN48" s="36" t="s">
        <v>823</v>
      </c>
      <c r="BO48" s="109">
        <v>5</v>
      </c>
      <c r="BP48" s="109">
        <v>15</v>
      </c>
      <c r="BQ48" s="110">
        <v>20400502</v>
      </c>
      <c r="BR48" s="36">
        <v>1000</v>
      </c>
      <c r="BS48" s="109">
        <v>1</v>
      </c>
      <c r="BT48" s="36">
        <v>1</v>
      </c>
      <c r="BV48" s="109"/>
      <c r="BW48" s="36" t="s">
        <v>823</v>
      </c>
      <c r="BX48" s="109">
        <v>5</v>
      </c>
      <c r="BY48" s="109">
        <v>15</v>
      </c>
      <c r="BZ48" s="110">
        <v>20400503</v>
      </c>
      <c r="CA48" s="36">
        <v>1000</v>
      </c>
      <c r="CB48" s="109">
        <v>1</v>
      </c>
      <c r="CC48" s="36">
        <v>1</v>
      </c>
      <c r="CE48" s="109"/>
      <c r="CF48" s="36" t="s">
        <v>823</v>
      </c>
      <c r="CG48" s="109">
        <v>5</v>
      </c>
      <c r="CH48" s="109">
        <v>15</v>
      </c>
      <c r="CI48" s="110">
        <v>20400504</v>
      </c>
      <c r="CJ48" s="36">
        <v>1000</v>
      </c>
      <c r="CK48" s="109">
        <v>1</v>
      </c>
      <c r="CL48" s="36">
        <v>1</v>
      </c>
      <c r="CN48" s="109"/>
    </row>
    <row r="49" spans="6:92" x14ac:dyDescent="0.15">
      <c r="F49" s="36">
        <v>47</v>
      </c>
      <c r="G49" s="36">
        <v>70090046</v>
      </c>
      <c r="H49" s="108">
        <v>0</v>
      </c>
      <c r="I49" s="108">
        <v>4</v>
      </c>
      <c r="J49" s="108">
        <v>1</v>
      </c>
      <c r="K49" s="108">
        <v>1000</v>
      </c>
      <c r="L49" s="36" t="s">
        <v>929</v>
      </c>
      <c r="M49" s="36" t="s">
        <v>877</v>
      </c>
      <c r="O49" s="100" t="s">
        <v>619</v>
      </c>
      <c r="P49" s="109">
        <v>11</v>
      </c>
      <c r="Q49" s="36">
        <v>20</v>
      </c>
      <c r="R49" s="108">
        <v>30001001</v>
      </c>
      <c r="S49" s="36">
        <v>200</v>
      </c>
      <c r="T49" s="36">
        <v>1</v>
      </c>
      <c r="U49" s="36">
        <v>1</v>
      </c>
      <c r="W49" s="100" t="s">
        <v>731</v>
      </c>
      <c r="X49" s="109">
        <v>11</v>
      </c>
      <c r="Y49" s="36">
        <v>20</v>
      </c>
      <c r="Z49" s="108">
        <v>30101001</v>
      </c>
      <c r="AA49" s="36">
        <v>100</v>
      </c>
      <c r="AB49" s="36">
        <v>1</v>
      </c>
      <c r="AC49" s="36">
        <v>1</v>
      </c>
      <c r="AE49" s="36" t="s">
        <v>583</v>
      </c>
      <c r="AF49" s="109">
        <v>11</v>
      </c>
      <c r="AG49" s="36">
        <v>20</v>
      </c>
      <c r="AH49" s="108">
        <v>30201001</v>
      </c>
      <c r="AI49" s="36">
        <v>100</v>
      </c>
      <c r="AJ49" s="36">
        <v>1</v>
      </c>
      <c r="AK49" s="36">
        <v>1</v>
      </c>
      <c r="AU49" s="109"/>
      <c r="AV49" s="36" t="s">
        <v>824</v>
      </c>
      <c r="AW49" s="109">
        <v>10</v>
      </c>
      <c r="AX49" s="109">
        <v>20</v>
      </c>
      <c r="AY49" s="110">
        <v>20401000</v>
      </c>
      <c r="AZ49" s="36">
        <v>1000</v>
      </c>
      <c r="BA49" s="109">
        <v>1</v>
      </c>
      <c r="BB49" s="36">
        <v>1</v>
      </c>
      <c r="BD49" s="109"/>
      <c r="BE49" s="36" t="s">
        <v>824</v>
      </c>
      <c r="BF49" s="109">
        <v>10</v>
      </c>
      <c r="BG49" s="109">
        <v>20</v>
      </c>
      <c r="BH49" s="110">
        <v>20401001</v>
      </c>
      <c r="BI49" s="36">
        <v>1000</v>
      </c>
      <c r="BJ49" s="109">
        <v>1</v>
      </c>
      <c r="BK49" s="36">
        <v>1</v>
      </c>
      <c r="BM49" s="109"/>
      <c r="BN49" s="36" t="s">
        <v>824</v>
      </c>
      <c r="BO49" s="109">
        <v>10</v>
      </c>
      <c r="BP49" s="109">
        <v>20</v>
      </c>
      <c r="BQ49" s="110">
        <v>20401002</v>
      </c>
      <c r="BR49" s="36">
        <v>1000</v>
      </c>
      <c r="BS49" s="109">
        <v>1</v>
      </c>
      <c r="BT49" s="36">
        <v>1</v>
      </c>
      <c r="BV49" s="109"/>
      <c r="BW49" s="36" t="s">
        <v>824</v>
      </c>
      <c r="BX49" s="109">
        <v>10</v>
      </c>
      <c r="BY49" s="109">
        <v>20</v>
      </c>
      <c r="BZ49" s="110">
        <v>20401003</v>
      </c>
      <c r="CA49" s="36">
        <v>1000</v>
      </c>
      <c r="CB49" s="109">
        <v>1</v>
      </c>
      <c r="CC49" s="36">
        <v>1</v>
      </c>
      <c r="CE49" s="109"/>
      <c r="CF49" s="36" t="s">
        <v>824</v>
      </c>
      <c r="CG49" s="109">
        <v>10</v>
      </c>
      <c r="CH49" s="109">
        <v>20</v>
      </c>
      <c r="CI49" s="110">
        <v>20401004</v>
      </c>
      <c r="CJ49" s="36">
        <v>1000</v>
      </c>
      <c r="CK49" s="109">
        <v>1</v>
      </c>
      <c r="CL49" s="36">
        <v>1</v>
      </c>
      <c r="CN49" s="109"/>
    </row>
    <row r="50" spans="6:92" x14ac:dyDescent="0.15">
      <c r="F50" s="36">
        <v>48</v>
      </c>
      <c r="G50" s="36">
        <v>70090047</v>
      </c>
      <c r="H50" s="108">
        <v>0</v>
      </c>
      <c r="I50" s="108">
        <v>4</v>
      </c>
      <c r="J50" s="108">
        <v>1</v>
      </c>
      <c r="K50" s="108">
        <v>1000</v>
      </c>
      <c r="L50" s="36" t="s">
        <v>929</v>
      </c>
      <c r="M50" s="36" t="s">
        <v>877</v>
      </c>
      <c r="O50" s="100" t="s">
        <v>620</v>
      </c>
      <c r="P50" s="109">
        <v>21</v>
      </c>
      <c r="Q50" s="36">
        <v>30</v>
      </c>
      <c r="R50" s="108">
        <v>30001002</v>
      </c>
      <c r="S50" s="36">
        <v>200</v>
      </c>
      <c r="T50" s="36">
        <v>1</v>
      </c>
      <c r="U50" s="36">
        <v>1</v>
      </c>
      <c r="W50" s="100" t="s">
        <v>732</v>
      </c>
      <c r="X50" s="109">
        <v>21</v>
      </c>
      <c r="Y50" s="36">
        <v>30</v>
      </c>
      <c r="Z50" s="108">
        <v>30101002</v>
      </c>
      <c r="AA50" s="36">
        <v>100</v>
      </c>
      <c r="AB50" s="36">
        <v>1</v>
      </c>
      <c r="AC50" s="36">
        <v>1</v>
      </c>
      <c r="AE50" s="36" t="s">
        <v>586</v>
      </c>
      <c r="AF50" s="109">
        <v>21</v>
      </c>
      <c r="AG50" s="36">
        <v>30</v>
      </c>
      <c r="AH50" s="108">
        <v>30201002</v>
      </c>
      <c r="AI50" s="36">
        <v>100</v>
      </c>
      <c r="AJ50" s="36">
        <v>1</v>
      </c>
      <c r="AK50" s="36">
        <v>1</v>
      </c>
      <c r="AU50" s="109"/>
      <c r="AV50" s="36" t="s">
        <v>825</v>
      </c>
      <c r="AW50" s="109">
        <v>15</v>
      </c>
      <c r="AX50" s="109">
        <v>25</v>
      </c>
      <c r="AY50" s="110">
        <v>20401500</v>
      </c>
      <c r="AZ50" s="36">
        <v>1000</v>
      </c>
      <c r="BA50" s="109">
        <v>1</v>
      </c>
      <c r="BB50" s="36">
        <v>1</v>
      </c>
      <c r="BD50" s="109"/>
      <c r="BE50" s="36" t="s">
        <v>825</v>
      </c>
      <c r="BF50" s="109">
        <v>15</v>
      </c>
      <c r="BG50" s="109">
        <v>25</v>
      </c>
      <c r="BH50" s="110">
        <v>20401501</v>
      </c>
      <c r="BI50" s="36">
        <v>1000</v>
      </c>
      <c r="BJ50" s="109">
        <v>1</v>
      </c>
      <c r="BK50" s="36">
        <v>1</v>
      </c>
      <c r="BM50" s="109"/>
      <c r="BN50" s="36" t="s">
        <v>825</v>
      </c>
      <c r="BO50" s="109">
        <v>15</v>
      </c>
      <c r="BP50" s="109">
        <v>25</v>
      </c>
      <c r="BQ50" s="110">
        <v>20401502</v>
      </c>
      <c r="BR50" s="36">
        <v>1000</v>
      </c>
      <c r="BS50" s="109">
        <v>1</v>
      </c>
      <c r="BT50" s="36">
        <v>1</v>
      </c>
      <c r="BV50" s="109"/>
      <c r="BW50" s="36" t="s">
        <v>825</v>
      </c>
      <c r="BX50" s="109">
        <v>15</v>
      </c>
      <c r="BY50" s="109">
        <v>25</v>
      </c>
      <c r="BZ50" s="110">
        <v>20401503</v>
      </c>
      <c r="CA50" s="36">
        <v>1000</v>
      </c>
      <c r="CB50" s="109">
        <v>1</v>
      </c>
      <c r="CC50" s="36">
        <v>1</v>
      </c>
      <c r="CE50" s="109"/>
      <c r="CF50" s="36" t="s">
        <v>825</v>
      </c>
      <c r="CG50" s="109">
        <v>15</v>
      </c>
      <c r="CH50" s="109">
        <v>25</v>
      </c>
      <c r="CI50" s="110">
        <v>20401504</v>
      </c>
      <c r="CJ50" s="36">
        <v>1000</v>
      </c>
      <c r="CK50" s="109">
        <v>1</v>
      </c>
      <c r="CL50" s="36">
        <v>1</v>
      </c>
      <c r="CN50" s="109"/>
    </row>
    <row r="51" spans="6:92" x14ac:dyDescent="0.15">
      <c r="F51" s="36">
        <v>49</v>
      </c>
      <c r="G51" s="36">
        <v>70090048</v>
      </c>
      <c r="H51" s="108">
        <v>0</v>
      </c>
      <c r="I51" s="108">
        <v>4</v>
      </c>
      <c r="J51" s="108">
        <v>1</v>
      </c>
      <c r="K51" s="108">
        <v>1000</v>
      </c>
      <c r="L51" s="36" t="s">
        <v>929</v>
      </c>
      <c r="M51" s="36" t="s">
        <v>877</v>
      </c>
      <c r="O51" s="100" t="s">
        <v>621</v>
      </c>
      <c r="P51" s="109">
        <v>31</v>
      </c>
      <c r="Q51" s="36">
        <v>40</v>
      </c>
      <c r="R51" s="108">
        <v>30001003</v>
      </c>
      <c r="S51" s="36">
        <v>200</v>
      </c>
      <c r="T51" s="36">
        <v>1</v>
      </c>
      <c r="U51" s="36">
        <v>1</v>
      </c>
      <c r="W51" s="100" t="s">
        <v>733</v>
      </c>
      <c r="X51" s="109">
        <v>31</v>
      </c>
      <c r="Y51" s="36">
        <v>40</v>
      </c>
      <c r="Z51" s="108">
        <v>30101003</v>
      </c>
      <c r="AA51" s="36">
        <v>100</v>
      </c>
      <c r="AB51" s="36">
        <v>1</v>
      </c>
      <c r="AC51" s="36">
        <v>1</v>
      </c>
      <c r="AE51" s="36" t="s">
        <v>589</v>
      </c>
      <c r="AF51" s="109">
        <v>31</v>
      </c>
      <c r="AG51" s="36">
        <v>40</v>
      </c>
      <c r="AH51" s="108">
        <v>30201003</v>
      </c>
      <c r="AI51" s="36">
        <v>100</v>
      </c>
      <c r="AJ51" s="36">
        <v>1</v>
      </c>
      <c r="AK51" s="36">
        <v>1</v>
      </c>
      <c r="AU51" s="109"/>
      <c r="AV51" s="36" t="s">
        <v>826</v>
      </c>
      <c r="AW51" s="109">
        <v>20</v>
      </c>
      <c r="AX51" s="109">
        <v>30</v>
      </c>
      <c r="AY51" s="110">
        <v>20402000</v>
      </c>
      <c r="AZ51" s="36">
        <v>1000</v>
      </c>
      <c r="BA51" s="109">
        <v>1</v>
      </c>
      <c r="BB51" s="36">
        <v>1</v>
      </c>
      <c r="BD51" s="109"/>
      <c r="BE51" s="36" t="s">
        <v>826</v>
      </c>
      <c r="BF51" s="109">
        <v>20</v>
      </c>
      <c r="BG51" s="109">
        <v>30</v>
      </c>
      <c r="BH51" s="110">
        <v>20402001</v>
      </c>
      <c r="BI51" s="36">
        <v>1000</v>
      </c>
      <c r="BJ51" s="109">
        <v>1</v>
      </c>
      <c r="BK51" s="36">
        <v>1</v>
      </c>
      <c r="BM51" s="109"/>
      <c r="BN51" s="36" t="s">
        <v>826</v>
      </c>
      <c r="BO51" s="109">
        <v>20</v>
      </c>
      <c r="BP51" s="109">
        <v>30</v>
      </c>
      <c r="BQ51" s="110">
        <v>20402002</v>
      </c>
      <c r="BR51" s="36">
        <v>1000</v>
      </c>
      <c r="BS51" s="109">
        <v>1</v>
      </c>
      <c r="BT51" s="36">
        <v>1</v>
      </c>
      <c r="BV51" s="109"/>
      <c r="BW51" s="36" t="s">
        <v>826</v>
      </c>
      <c r="BX51" s="109">
        <v>20</v>
      </c>
      <c r="BY51" s="109">
        <v>30</v>
      </c>
      <c r="BZ51" s="110">
        <v>20402003</v>
      </c>
      <c r="CA51" s="36">
        <v>1000</v>
      </c>
      <c r="CB51" s="109">
        <v>1</v>
      </c>
      <c r="CC51" s="36">
        <v>1</v>
      </c>
      <c r="CE51" s="109"/>
      <c r="CF51" s="36" t="s">
        <v>826</v>
      </c>
      <c r="CG51" s="109">
        <v>20</v>
      </c>
      <c r="CH51" s="109">
        <v>30</v>
      </c>
      <c r="CI51" s="110">
        <v>20402004</v>
      </c>
      <c r="CJ51" s="36">
        <v>1000</v>
      </c>
      <c r="CK51" s="109">
        <v>1</v>
      </c>
      <c r="CL51" s="36">
        <v>1</v>
      </c>
      <c r="CN51" s="109"/>
    </row>
    <row r="52" spans="6:92" x14ac:dyDescent="0.15">
      <c r="F52" s="36">
        <v>50</v>
      </c>
      <c r="G52" s="36">
        <v>70090049</v>
      </c>
      <c r="H52" s="108">
        <v>0</v>
      </c>
      <c r="I52" s="108">
        <v>4</v>
      </c>
      <c r="J52" s="108">
        <v>1</v>
      </c>
      <c r="K52" s="108">
        <v>1000</v>
      </c>
      <c r="L52" s="36" t="s">
        <v>929</v>
      </c>
      <c r="M52" s="36" t="s">
        <v>877</v>
      </c>
      <c r="O52" s="100" t="s">
        <v>622</v>
      </c>
      <c r="P52" s="109">
        <v>41</v>
      </c>
      <c r="Q52" s="36">
        <v>50</v>
      </c>
      <c r="R52" s="108">
        <v>30001004</v>
      </c>
      <c r="S52" s="36">
        <v>200</v>
      </c>
      <c r="T52" s="36">
        <v>1</v>
      </c>
      <c r="U52" s="36">
        <v>1</v>
      </c>
      <c r="W52" s="100" t="s">
        <v>734</v>
      </c>
      <c r="X52" s="109">
        <v>41</v>
      </c>
      <c r="Y52" s="36">
        <v>50</v>
      </c>
      <c r="Z52" s="108">
        <v>30101004</v>
      </c>
      <c r="AA52" s="36">
        <v>100</v>
      </c>
      <c r="AB52" s="36">
        <v>1</v>
      </c>
      <c r="AC52" s="36">
        <v>1</v>
      </c>
      <c r="AE52" s="36" t="s">
        <v>592</v>
      </c>
      <c r="AF52" s="109">
        <v>41</v>
      </c>
      <c r="AG52" s="36">
        <v>50</v>
      </c>
      <c r="AH52" s="108">
        <v>30201004</v>
      </c>
      <c r="AI52" s="36">
        <v>100</v>
      </c>
      <c r="AJ52" s="36">
        <v>1</v>
      </c>
      <c r="AK52" s="36">
        <v>1</v>
      </c>
      <c r="AU52" s="109"/>
      <c r="AV52" s="36" t="s">
        <v>827</v>
      </c>
      <c r="AW52" s="109">
        <v>25</v>
      </c>
      <c r="AX52" s="109">
        <v>35</v>
      </c>
      <c r="AY52" s="110">
        <v>20402500</v>
      </c>
      <c r="AZ52" s="36">
        <v>1000</v>
      </c>
      <c r="BA52" s="109">
        <v>1</v>
      </c>
      <c r="BB52" s="36">
        <v>1</v>
      </c>
      <c r="BD52" s="109"/>
      <c r="BE52" s="36" t="s">
        <v>827</v>
      </c>
      <c r="BF52" s="109">
        <v>25</v>
      </c>
      <c r="BG52" s="109">
        <v>35</v>
      </c>
      <c r="BH52" s="110">
        <v>20402501</v>
      </c>
      <c r="BI52" s="36">
        <v>1000</v>
      </c>
      <c r="BJ52" s="109">
        <v>1</v>
      </c>
      <c r="BK52" s="36">
        <v>1</v>
      </c>
      <c r="BM52" s="109"/>
      <c r="BN52" s="36" t="s">
        <v>827</v>
      </c>
      <c r="BO52" s="109">
        <v>25</v>
      </c>
      <c r="BP52" s="109">
        <v>35</v>
      </c>
      <c r="BQ52" s="110">
        <v>20402502</v>
      </c>
      <c r="BR52" s="36">
        <v>1000</v>
      </c>
      <c r="BS52" s="109">
        <v>1</v>
      </c>
      <c r="BT52" s="36">
        <v>1</v>
      </c>
      <c r="BV52" s="109"/>
      <c r="BW52" s="36" t="s">
        <v>827</v>
      </c>
      <c r="BX52" s="109">
        <v>25</v>
      </c>
      <c r="BY52" s="109">
        <v>35</v>
      </c>
      <c r="BZ52" s="110">
        <v>20402503</v>
      </c>
      <c r="CA52" s="36">
        <v>1000</v>
      </c>
      <c r="CB52" s="109">
        <v>1</v>
      </c>
      <c r="CC52" s="36">
        <v>1</v>
      </c>
      <c r="CE52" s="109"/>
      <c r="CF52" s="36" t="s">
        <v>827</v>
      </c>
      <c r="CG52" s="109">
        <v>25</v>
      </c>
      <c r="CH52" s="109">
        <v>35</v>
      </c>
      <c r="CI52" s="110">
        <v>20402504</v>
      </c>
      <c r="CJ52" s="36">
        <v>1000</v>
      </c>
      <c r="CK52" s="109">
        <v>1</v>
      </c>
      <c r="CL52" s="36">
        <v>1</v>
      </c>
      <c r="CN52" s="109"/>
    </row>
    <row r="53" spans="6:92" x14ac:dyDescent="0.15">
      <c r="W53" s="100" t="s">
        <v>735</v>
      </c>
      <c r="X53" s="109">
        <v>1</v>
      </c>
      <c r="Y53" s="36">
        <v>10</v>
      </c>
      <c r="Z53" s="108">
        <v>30101100</v>
      </c>
      <c r="AA53" s="36">
        <v>100</v>
      </c>
      <c r="AB53" s="36">
        <v>1</v>
      </c>
      <c r="AC53" s="36">
        <v>1</v>
      </c>
      <c r="AE53" s="36" t="s">
        <v>594</v>
      </c>
      <c r="AF53" s="109">
        <v>1</v>
      </c>
      <c r="AG53" s="36">
        <v>10</v>
      </c>
      <c r="AH53" s="108">
        <v>30201100</v>
      </c>
      <c r="AI53" s="36">
        <v>100</v>
      </c>
      <c r="AJ53" s="36">
        <v>1</v>
      </c>
      <c r="AK53" s="36">
        <v>1</v>
      </c>
      <c r="AU53" s="109"/>
      <c r="AV53" s="36" t="s">
        <v>828</v>
      </c>
      <c r="AW53" s="109">
        <v>30</v>
      </c>
      <c r="AX53" s="109">
        <v>40</v>
      </c>
      <c r="AY53" s="110">
        <v>20403000</v>
      </c>
      <c r="AZ53" s="36">
        <v>1000</v>
      </c>
      <c r="BA53" s="109">
        <v>1</v>
      </c>
      <c r="BB53" s="36">
        <v>1</v>
      </c>
      <c r="BD53" s="109"/>
      <c r="BE53" s="36" t="s">
        <v>828</v>
      </c>
      <c r="BF53" s="109">
        <v>30</v>
      </c>
      <c r="BG53" s="109">
        <v>40</v>
      </c>
      <c r="BH53" s="110">
        <v>20403001</v>
      </c>
      <c r="BI53" s="36">
        <v>1000</v>
      </c>
      <c r="BJ53" s="109">
        <v>1</v>
      </c>
      <c r="BK53" s="36">
        <v>1</v>
      </c>
      <c r="BM53" s="109"/>
      <c r="BN53" s="36" t="s">
        <v>828</v>
      </c>
      <c r="BO53" s="109">
        <v>30</v>
      </c>
      <c r="BP53" s="109">
        <v>40</v>
      </c>
      <c r="BQ53" s="110">
        <v>20403002</v>
      </c>
      <c r="BR53" s="36">
        <v>1000</v>
      </c>
      <c r="BS53" s="109">
        <v>1</v>
      </c>
      <c r="BT53" s="36">
        <v>1</v>
      </c>
      <c r="BV53" s="109"/>
      <c r="BW53" s="36" t="s">
        <v>828</v>
      </c>
      <c r="BX53" s="109">
        <v>30</v>
      </c>
      <c r="BY53" s="109">
        <v>40</v>
      </c>
      <c r="BZ53" s="110">
        <v>20403003</v>
      </c>
      <c r="CA53" s="36">
        <v>1000</v>
      </c>
      <c r="CB53" s="109">
        <v>1</v>
      </c>
      <c r="CC53" s="36">
        <v>1</v>
      </c>
      <c r="CE53" s="109"/>
      <c r="CF53" s="36" t="s">
        <v>828</v>
      </c>
      <c r="CG53" s="109">
        <v>30</v>
      </c>
      <c r="CH53" s="109">
        <v>40</v>
      </c>
      <c r="CI53" s="110">
        <v>20403004</v>
      </c>
      <c r="CJ53" s="36">
        <v>1000</v>
      </c>
      <c r="CK53" s="109">
        <v>1</v>
      </c>
      <c r="CL53" s="36">
        <v>1</v>
      </c>
      <c r="CN53" s="109"/>
    </row>
    <row r="54" spans="6:92" x14ac:dyDescent="0.15">
      <c r="W54" s="100" t="s">
        <v>736</v>
      </c>
      <c r="X54" s="109">
        <v>11</v>
      </c>
      <c r="Y54" s="36">
        <v>20</v>
      </c>
      <c r="Z54" s="108">
        <v>30101101</v>
      </c>
      <c r="AA54" s="36">
        <v>100</v>
      </c>
      <c r="AB54" s="36">
        <v>1</v>
      </c>
      <c r="AC54" s="36">
        <v>1</v>
      </c>
      <c r="AE54" s="36" t="s">
        <v>597</v>
      </c>
      <c r="AF54" s="109">
        <v>11</v>
      </c>
      <c r="AG54" s="36">
        <v>20</v>
      </c>
      <c r="AH54" s="108">
        <v>30201101</v>
      </c>
      <c r="AI54" s="36">
        <v>100</v>
      </c>
      <c r="AJ54" s="36">
        <v>1</v>
      </c>
      <c r="AK54" s="36">
        <v>1</v>
      </c>
      <c r="AU54" s="109"/>
      <c r="AV54" s="36" t="s">
        <v>829</v>
      </c>
      <c r="AW54" s="109">
        <v>35</v>
      </c>
      <c r="AX54" s="109">
        <v>45</v>
      </c>
      <c r="AY54" s="110">
        <v>20403500</v>
      </c>
      <c r="AZ54" s="36">
        <v>1000</v>
      </c>
      <c r="BA54" s="109">
        <v>1</v>
      </c>
      <c r="BB54" s="36">
        <v>1</v>
      </c>
      <c r="BD54" s="109"/>
      <c r="BE54" s="36" t="s">
        <v>829</v>
      </c>
      <c r="BF54" s="109">
        <v>35</v>
      </c>
      <c r="BG54" s="109">
        <v>45</v>
      </c>
      <c r="BH54" s="110">
        <v>20403501</v>
      </c>
      <c r="BI54" s="36">
        <v>1000</v>
      </c>
      <c r="BJ54" s="109">
        <v>1</v>
      </c>
      <c r="BK54" s="36">
        <v>1</v>
      </c>
      <c r="BM54" s="109"/>
      <c r="BN54" s="36" t="s">
        <v>829</v>
      </c>
      <c r="BO54" s="109">
        <v>35</v>
      </c>
      <c r="BP54" s="109">
        <v>45</v>
      </c>
      <c r="BQ54" s="110">
        <v>20403502</v>
      </c>
      <c r="BR54" s="36">
        <v>1000</v>
      </c>
      <c r="BS54" s="109">
        <v>1</v>
      </c>
      <c r="BT54" s="36">
        <v>1</v>
      </c>
      <c r="BV54" s="109"/>
      <c r="BW54" s="36" t="s">
        <v>829</v>
      </c>
      <c r="BX54" s="109">
        <v>35</v>
      </c>
      <c r="BY54" s="109">
        <v>45</v>
      </c>
      <c r="BZ54" s="110">
        <v>20403503</v>
      </c>
      <c r="CA54" s="36">
        <v>1000</v>
      </c>
      <c r="CB54" s="109">
        <v>1</v>
      </c>
      <c r="CC54" s="36">
        <v>1</v>
      </c>
      <c r="CE54" s="109"/>
      <c r="CF54" s="36" t="s">
        <v>829</v>
      </c>
      <c r="CG54" s="109">
        <v>35</v>
      </c>
      <c r="CH54" s="109">
        <v>45</v>
      </c>
      <c r="CI54" s="110">
        <v>20403504</v>
      </c>
      <c r="CJ54" s="36">
        <v>1000</v>
      </c>
      <c r="CK54" s="109">
        <v>1</v>
      </c>
      <c r="CL54" s="36">
        <v>1</v>
      </c>
      <c r="CN54" s="109"/>
    </row>
    <row r="55" spans="6:92" x14ac:dyDescent="0.15">
      <c r="W55" s="100" t="s">
        <v>737</v>
      </c>
      <c r="X55" s="109">
        <v>21</v>
      </c>
      <c r="Y55" s="36">
        <v>30</v>
      </c>
      <c r="Z55" s="108">
        <v>30101102</v>
      </c>
      <c r="AA55" s="36">
        <v>100</v>
      </c>
      <c r="AB55" s="36">
        <v>1</v>
      </c>
      <c r="AC55" s="36">
        <v>1</v>
      </c>
      <c r="AE55" s="36" t="s">
        <v>600</v>
      </c>
      <c r="AF55" s="109">
        <v>21</v>
      </c>
      <c r="AG55" s="36">
        <v>30</v>
      </c>
      <c r="AH55" s="108">
        <v>30201102</v>
      </c>
      <c r="AI55" s="36">
        <v>100</v>
      </c>
      <c r="AJ55" s="36">
        <v>1</v>
      </c>
      <c r="AK55" s="36">
        <v>1</v>
      </c>
      <c r="AU55" s="109"/>
      <c r="AV55" s="36" t="s">
        <v>830</v>
      </c>
      <c r="AW55" s="109">
        <v>40</v>
      </c>
      <c r="AX55" s="109">
        <v>50</v>
      </c>
      <c r="AY55" s="110">
        <v>20404000</v>
      </c>
      <c r="AZ55" s="36">
        <v>1000</v>
      </c>
      <c r="BA55" s="109">
        <v>1</v>
      </c>
      <c r="BB55" s="36">
        <v>1</v>
      </c>
      <c r="BD55" s="109"/>
      <c r="BE55" s="36" t="s">
        <v>830</v>
      </c>
      <c r="BF55" s="109">
        <v>40</v>
      </c>
      <c r="BG55" s="109">
        <v>50</v>
      </c>
      <c r="BH55" s="110">
        <v>20404001</v>
      </c>
      <c r="BI55" s="36">
        <v>1000</v>
      </c>
      <c r="BJ55" s="109">
        <v>1</v>
      </c>
      <c r="BK55" s="36">
        <v>1</v>
      </c>
      <c r="BM55" s="109"/>
      <c r="BN55" s="36" t="s">
        <v>830</v>
      </c>
      <c r="BO55" s="109">
        <v>40</v>
      </c>
      <c r="BP55" s="109">
        <v>50</v>
      </c>
      <c r="BQ55" s="110">
        <v>20404002</v>
      </c>
      <c r="BR55" s="36">
        <v>1000</v>
      </c>
      <c r="BS55" s="109">
        <v>1</v>
      </c>
      <c r="BT55" s="36">
        <v>1</v>
      </c>
      <c r="BV55" s="109"/>
      <c r="BW55" s="36" t="s">
        <v>830</v>
      </c>
      <c r="BX55" s="109">
        <v>40</v>
      </c>
      <c r="BY55" s="109">
        <v>50</v>
      </c>
      <c r="BZ55" s="110">
        <v>20404003</v>
      </c>
      <c r="CA55" s="36">
        <v>1000</v>
      </c>
      <c r="CB55" s="109">
        <v>1</v>
      </c>
      <c r="CC55" s="36">
        <v>1</v>
      </c>
      <c r="CE55" s="109"/>
      <c r="CF55" s="36" t="s">
        <v>830</v>
      </c>
      <c r="CG55" s="109">
        <v>40</v>
      </c>
      <c r="CH55" s="109">
        <v>50</v>
      </c>
      <c r="CI55" s="110">
        <v>20404004</v>
      </c>
      <c r="CJ55" s="36">
        <v>1000</v>
      </c>
      <c r="CK55" s="109">
        <v>1</v>
      </c>
      <c r="CL55" s="36">
        <v>1</v>
      </c>
      <c r="CN55" s="109"/>
    </row>
    <row r="56" spans="6:92" x14ac:dyDescent="0.15">
      <c r="W56" s="100" t="s">
        <v>738</v>
      </c>
      <c r="X56" s="109">
        <v>31</v>
      </c>
      <c r="Y56" s="36">
        <v>40</v>
      </c>
      <c r="Z56" s="108">
        <v>30101103</v>
      </c>
      <c r="AA56" s="36">
        <v>100</v>
      </c>
      <c r="AB56" s="36">
        <v>1</v>
      </c>
      <c r="AC56" s="36">
        <v>1</v>
      </c>
      <c r="AE56" s="36" t="s">
        <v>603</v>
      </c>
      <c r="AF56" s="109">
        <v>31</v>
      </c>
      <c r="AG56" s="36">
        <v>40</v>
      </c>
      <c r="AH56" s="108">
        <v>30201103</v>
      </c>
      <c r="AI56" s="36">
        <v>100</v>
      </c>
      <c r="AJ56" s="36">
        <v>1</v>
      </c>
      <c r="AK56" s="36">
        <v>1</v>
      </c>
      <c r="AU56" s="109"/>
      <c r="AV56" s="36" t="s">
        <v>831</v>
      </c>
      <c r="AW56" s="109">
        <v>45</v>
      </c>
      <c r="AX56" s="109">
        <v>50</v>
      </c>
      <c r="AY56" s="110">
        <v>20404500</v>
      </c>
      <c r="AZ56" s="36">
        <v>1000</v>
      </c>
      <c r="BA56" s="109">
        <v>1</v>
      </c>
      <c r="BB56" s="36">
        <v>1</v>
      </c>
      <c r="BD56" s="109"/>
      <c r="BE56" s="36" t="s">
        <v>831</v>
      </c>
      <c r="BF56" s="109">
        <v>45</v>
      </c>
      <c r="BG56" s="109">
        <v>50</v>
      </c>
      <c r="BH56" s="110">
        <v>20404501</v>
      </c>
      <c r="BI56" s="36">
        <v>1000</v>
      </c>
      <c r="BJ56" s="109">
        <v>1</v>
      </c>
      <c r="BK56" s="36">
        <v>1</v>
      </c>
      <c r="BM56" s="109"/>
      <c r="BN56" s="36" t="s">
        <v>831</v>
      </c>
      <c r="BO56" s="109">
        <v>45</v>
      </c>
      <c r="BP56" s="109">
        <v>50</v>
      </c>
      <c r="BQ56" s="110">
        <v>20404502</v>
      </c>
      <c r="BR56" s="36">
        <v>1000</v>
      </c>
      <c r="BS56" s="109">
        <v>1</v>
      </c>
      <c r="BT56" s="36">
        <v>1</v>
      </c>
      <c r="BV56" s="109"/>
      <c r="BW56" s="36" t="s">
        <v>831</v>
      </c>
      <c r="BX56" s="109">
        <v>45</v>
      </c>
      <c r="BY56" s="109">
        <v>50</v>
      </c>
      <c r="BZ56" s="110">
        <v>20404503</v>
      </c>
      <c r="CA56" s="36">
        <v>1000</v>
      </c>
      <c r="CB56" s="109">
        <v>1</v>
      </c>
      <c r="CC56" s="36">
        <v>1</v>
      </c>
      <c r="CE56" s="109"/>
      <c r="CF56" s="36" t="s">
        <v>831</v>
      </c>
      <c r="CG56" s="109">
        <v>45</v>
      </c>
      <c r="CH56" s="109">
        <v>50</v>
      </c>
      <c r="CI56" s="110">
        <v>20404504</v>
      </c>
      <c r="CJ56" s="36">
        <v>1000</v>
      </c>
      <c r="CK56" s="109">
        <v>1</v>
      </c>
      <c r="CL56" s="36">
        <v>1</v>
      </c>
      <c r="CN56" s="109"/>
    </row>
    <row r="57" spans="6:92" x14ac:dyDescent="0.15">
      <c r="W57" s="100" t="s">
        <v>739</v>
      </c>
      <c r="X57" s="109">
        <v>41</v>
      </c>
      <c r="Y57" s="36">
        <v>50</v>
      </c>
      <c r="Z57" s="108">
        <v>30101104</v>
      </c>
      <c r="AA57" s="36">
        <v>100</v>
      </c>
      <c r="AB57" s="36">
        <v>1</v>
      </c>
      <c r="AC57" s="36">
        <v>1</v>
      </c>
      <c r="AE57" s="36" t="s">
        <v>606</v>
      </c>
      <c r="AF57" s="109">
        <v>41</v>
      </c>
      <c r="AG57" s="36">
        <v>50</v>
      </c>
      <c r="AH57" s="108">
        <v>30201104</v>
      </c>
      <c r="AI57" s="36">
        <v>100</v>
      </c>
      <c r="AJ57" s="36">
        <v>1</v>
      </c>
      <c r="AK57" s="36">
        <v>1</v>
      </c>
      <c r="AU57" s="109"/>
      <c r="AV57" s="36" t="s">
        <v>832</v>
      </c>
      <c r="AW57" s="109">
        <v>45</v>
      </c>
      <c r="AX57" s="109">
        <v>50</v>
      </c>
      <c r="AY57" s="110">
        <v>20405000</v>
      </c>
      <c r="AZ57" s="36">
        <v>1000</v>
      </c>
      <c r="BA57" s="109">
        <v>1</v>
      </c>
      <c r="BB57" s="36">
        <v>1</v>
      </c>
      <c r="BD57" s="109"/>
      <c r="BE57" s="36" t="s">
        <v>832</v>
      </c>
      <c r="BF57" s="109">
        <v>45</v>
      </c>
      <c r="BG57" s="109">
        <v>50</v>
      </c>
      <c r="BH57" s="110">
        <v>20405001</v>
      </c>
      <c r="BI57" s="36">
        <v>1000</v>
      </c>
      <c r="BJ57" s="109">
        <v>1</v>
      </c>
      <c r="BK57" s="36">
        <v>1</v>
      </c>
      <c r="BM57" s="109"/>
      <c r="BN57" s="36" t="s">
        <v>832</v>
      </c>
      <c r="BO57" s="109">
        <v>45</v>
      </c>
      <c r="BP57" s="109">
        <v>50</v>
      </c>
      <c r="BQ57" s="110">
        <v>20405002</v>
      </c>
      <c r="BR57" s="36">
        <v>1000</v>
      </c>
      <c r="BS57" s="109">
        <v>1</v>
      </c>
      <c r="BT57" s="36">
        <v>1</v>
      </c>
      <c r="BV57" s="109"/>
      <c r="BW57" s="36" t="s">
        <v>832</v>
      </c>
      <c r="BX57" s="109">
        <v>45</v>
      </c>
      <c r="BY57" s="109">
        <v>50</v>
      </c>
      <c r="BZ57" s="110">
        <v>20405003</v>
      </c>
      <c r="CA57" s="36">
        <v>1000</v>
      </c>
      <c r="CB57" s="109">
        <v>1</v>
      </c>
      <c r="CC57" s="36">
        <v>1</v>
      </c>
      <c r="CE57" s="109"/>
      <c r="CF57" s="36" t="s">
        <v>832</v>
      </c>
      <c r="CG57" s="109">
        <v>45</v>
      </c>
      <c r="CH57" s="109">
        <v>50</v>
      </c>
      <c r="CI57" s="110">
        <v>20405004</v>
      </c>
      <c r="CJ57" s="36">
        <v>1000</v>
      </c>
      <c r="CK57" s="109">
        <v>1</v>
      </c>
      <c r="CL57" s="36">
        <v>1</v>
      </c>
      <c r="CN57" s="80"/>
    </row>
    <row r="58" spans="6:92" x14ac:dyDescent="0.15">
      <c r="W58" s="100" t="s">
        <v>740</v>
      </c>
      <c r="X58" s="109">
        <v>1</v>
      </c>
      <c r="Y58" s="36">
        <v>10</v>
      </c>
      <c r="Z58" s="108">
        <v>30101200</v>
      </c>
      <c r="AA58" s="36">
        <v>100</v>
      </c>
      <c r="AB58" s="36">
        <v>1</v>
      </c>
      <c r="AC58" s="36">
        <v>1</v>
      </c>
      <c r="AE58" s="36" t="s">
        <v>521</v>
      </c>
      <c r="AF58" s="109">
        <v>1</v>
      </c>
      <c r="AG58" s="36">
        <v>10</v>
      </c>
      <c r="AH58" s="108">
        <v>30201200</v>
      </c>
      <c r="AI58" s="36">
        <v>100</v>
      </c>
      <c r="AJ58" s="36">
        <v>1</v>
      </c>
      <c r="AK58" s="36">
        <v>1</v>
      </c>
      <c r="AU58" s="109" t="s">
        <v>775</v>
      </c>
      <c r="AV58" s="36" t="s">
        <v>833</v>
      </c>
      <c r="AW58" s="36">
        <v>1</v>
      </c>
      <c r="AX58" s="109">
        <v>10</v>
      </c>
      <c r="AY58" s="110">
        <v>20500100</v>
      </c>
      <c r="AZ58" s="36">
        <v>1000</v>
      </c>
      <c r="BA58" s="109">
        <v>1</v>
      </c>
      <c r="BB58" s="36">
        <v>1</v>
      </c>
      <c r="BD58" s="109" t="s">
        <v>775</v>
      </c>
      <c r="BE58" s="36" t="s">
        <v>833</v>
      </c>
      <c r="BF58" s="36">
        <v>1</v>
      </c>
      <c r="BG58" s="109">
        <v>10</v>
      </c>
      <c r="BH58" s="110">
        <v>20500101</v>
      </c>
      <c r="BI58" s="36">
        <v>1000</v>
      </c>
      <c r="BJ58" s="109">
        <v>1</v>
      </c>
      <c r="BK58" s="36">
        <v>1</v>
      </c>
      <c r="BM58" s="109" t="s">
        <v>775</v>
      </c>
      <c r="BN58" s="36" t="s">
        <v>833</v>
      </c>
      <c r="BO58" s="36">
        <v>1</v>
      </c>
      <c r="BP58" s="109">
        <v>10</v>
      </c>
      <c r="BQ58" s="110">
        <v>20500102</v>
      </c>
      <c r="BR58" s="36">
        <v>1000</v>
      </c>
      <c r="BS58" s="109">
        <v>1</v>
      </c>
      <c r="BT58" s="36">
        <v>1</v>
      </c>
      <c r="BV58" s="109" t="s">
        <v>775</v>
      </c>
      <c r="BW58" s="36" t="s">
        <v>833</v>
      </c>
      <c r="BX58" s="36">
        <v>1</v>
      </c>
      <c r="BY58" s="109">
        <v>10</v>
      </c>
      <c r="BZ58" s="110">
        <v>20500103</v>
      </c>
      <c r="CA58" s="36">
        <v>1000</v>
      </c>
      <c r="CB58" s="109">
        <v>1</v>
      </c>
      <c r="CC58" s="36">
        <v>1</v>
      </c>
      <c r="CE58" s="109" t="s">
        <v>775</v>
      </c>
      <c r="CF58" s="36" t="s">
        <v>833</v>
      </c>
      <c r="CG58" s="36">
        <v>1</v>
      </c>
      <c r="CH58" s="109">
        <v>10</v>
      </c>
      <c r="CI58" s="110">
        <v>20500104</v>
      </c>
      <c r="CJ58" s="36">
        <v>1000</v>
      </c>
      <c r="CK58" s="109">
        <v>1</v>
      </c>
      <c r="CL58" s="36">
        <v>1</v>
      </c>
      <c r="CN58" s="109"/>
    </row>
    <row r="59" spans="6:92" x14ac:dyDescent="0.15">
      <c r="W59" s="100" t="s">
        <v>741</v>
      </c>
      <c r="X59" s="109">
        <v>11</v>
      </c>
      <c r="Y59" s="36">
        <v>20</v>
      </c>
      <c r="Z59" s="108">
        <v>30101201</v>
      </c>
      <c r="AA59" s="36">
        <v>100</v>
      </c>
      <c r="AB59" s="36">
        <v>1</v>
      </c>
      <c r="AC59" s="36">
        <v>1</v>
      </c>
      <c r="AE59" s="36" t="s">
        <v>524</v>
      </c>
      <c r="AF59" s="109">
        <v>11</v>
      </c>
      <c r="AG59" s="36">
        <v>20</v>
      </c>
      <c r="AH59" s="108">
        <v>30201201</v>
      </c>
      <c r="AI59" s="36">
        <v>100</v>
      </c>
      <c r="AJ59" s="36">
        <v>1</v>
      </c>
      <c r="AK59" s="36">
        <v>1</v>
      </c>
      <c r="AU59" s="80"/>
      <c r="AV59" s="36" t="s">
        <v>834</v>
      </c>
      <c r="AW59" s="109">
        <v>5</v>
      </c>
      <c r="AX59" s="109">
        <v>15</v>
      </c>
      <c r="AY59" s="110">
        <v>20500500</v>
      </c>
      <c r="AZ59" s="36">
        <v>1000</v>
      </c>
      <c r="BA59" s="109">
        <v>1</v>
      </c>
      <c r="BB59" s="36">
        <v>1</v>
      </c>
      <c r="BD59" s="80"/>
      <c r="BE59" s="36" t="s">
        <v>834</v>
      </c>
      <c r="BF59" s="109">
        <v>5</v>
      </c>
      <c r="BG59" s="109">
        <v>15</v>
      </c>
      <c r="BH59" s="110">
        <v>20500501</v>
      </c>
      <c r="BI59" s="36">
        <v>1000</v>
      </c>
      <c r="BJ59" s="109">
        <v>1</v>
      </c>
      <c r="BK59" s="36">
        <v>1</v>
      </c>
      <c r="BM59" s="80"/>
      <c r="BN59" s="36" t="s">
        <v>834</v>
      </c>
      <c r="BO59" s="109">
        <v>5</v>
      </c>
      <c r="BP59" s="109">
        <v>15</v>
      </c>
      <c r="BQ59" s="110">
        <v>20500502</v>
      </c>
      <c r="BR59" s="36">
        <v>1000</v>
      </c>
      <c r="BS59" s="109">
        <v>1</v>
      </c>
      <c r="BT59" s="36">
        <v>1</v>
      </c>
      <c r="BV59" s="80"/>
      <c r="BW59" s="36" t="s">
        <v>834</v>
      </c>
      <c r="BX59" s="109">
        <v>5</v>
      </c>
      <c r="BY59" s="109">
        <v>15</v>
      </c>
      <c r="BZ59" s="110">
        <v>20500503</v>
      </c>
      <c r="CA59" s="36">
        <v>1000</v>
      </c>
      <c r="CB59" s="109">
        <v>1</v>
      </c>
      <c r="CC59" s="36">
        <v>1</v>
      </c>
      <c r="CE59" s="80"/>
      <c r="CF59" s="36" t="s">
        <v>834</v>
      </c>
      <c r="CG59" s="109">
        <v>5</v>
      </c>
      <c r="CH59" s="109">
        <v>15</v>
      </c>
      <c r="CI59" s="110">
        <v>20500504</v>
      </c>
      <c r="CJ59" s="36">
        <v>1000</v>
      </c>
      <c r="CK59" s="109">
        <v>1</v>
      </c>
      <c r="CL59" s="36">
        <v>1</v>
      </c>
      <c r="CN59" s="109"/>
    </row>
    <row r="60" spans="6:92" x14ac:dyDescent="0.15">
      <c r="W60" s="100" t="s">
        <v>742</v>
      </c>
      <c r="X60" s="109">
        <v>21</v>
      </c>
      <c r="Y60" s="36">
        <v>30</v>
      </c>
      <c r="Z60" s="108">
        <v>30101202</v>
      </c>
      <c r="AA60" s="36">
        <v>100</v>
      </c>
      <c r="AB60" s="36">
        <v>1</v>
      </c>
      <c r="AC60" s="36">
        <v>1</v>
      </c>
      <c r="AE60" s="36" t="s">
        <v>527</v>
      </c>
      <c r="AF60" s="109">
        <v>21</v>
      </c>
      <c r="AG60" s="36">
        <v>30</v>
      </c>
      <c r="AH60" s="108">
        <v>30201202</v>
      </c>
      <c r="AI60" s="36">
        <v>100</v>
      </c>
      <c r="AJ60" s="36">
        <v>1</v>
      </c>
      <c r="AK60" s="36">
        <v>1</v>
      </c>
      <c r="AU60" s="109"/>
      <c r="AV60" s="36" t="s">
        <v>835</v>
      </c>
      <c r="AW60" s="109">
        <v>10</v>
      </c>
      <c r="AX60" s="109">
        <v>20</v>
      </c>
      <c r="AY60" s="110">
        <v>20501000</v>
      </c>
      <c r="AZ60" s="36">
        <v>1000</v>
      </c>
      <c r="BA60" s="109">
        <v>1</v>
      </c>
      <c r="BB60" s="36">
        <v>1</v>
      </c>
      <c r="BD60" s="109"/>
      <c r="BE60" s="36" t="s">
        <v>835</v>
      </c>
      <c r="BF60" s="109">
        <v>10</v>
      </c>
      <c r="BG60" s="109">
        <v>20</v>
      </c>
      <c r="BH60" s="110">
        <v>20501001</v>
      </c>
      <c r="BI60" s="36">
        <v>1000</v>
      </c>
      <c r="BJ60" s="109">
        <v>1</v>
      </c>
      <c r="BK60" s="36">
        <v>1</v>
      </c>
      <c r="BM60" s="109"/>
      <c r="BN60" s="36" t="s">
        <v>835</v>
      </c>
      <c r="BO60" s="109">
        <v>10</v>
      </c>
      <c r="BP60" s="109">
        <v>20</v>
      </c>
      <c r="BQ60" s="110">
        <v>20501002</v>
      </c>
      <c r="BR60" s="36">
        <v>1000</v>
      </c>
      <c r="BS60" s="109">
        <v>1</v>
      </c>
      <c r="BT60" s="36">
        <v>1</v>
      </c>
      <c r="BV60" s="109"/>
      <c r="BW60" s="36" t="s">
        <v>835</v>
      </c>
      <c r="BX60" s="109">
        <v>10</v>
      </c>
      <c r="BY60" s="109">
        <v>20</v>
      </c>
      <c r="BZ60" s="110">
        <v>20501003</v>
      </c>
      <c r="CA60" s="36">
        <v>1000</v>
      </c>
      <c r="CB60" s="109">
        <v>1</v>
      </c>
      <c r="CC60" s="36">
        <v>1</v>
      </c>
      <c r="CE60" s="109"/>
      <c r="CF60" s="36" t="s">
        <v>835</v>
      </c>
      <c r="CG60" s="109">
        <v>10</v>
      </c>
      <c r="CH60" s="109">
        <v>20</v>
      </c>
      <c r="CI60" s="110">
        <v>20501004</v>
      </c>
      <c r="CJ60" s="36">
        <v>1000</v>
      </c>
      <c r="CK60" s="109">
        <v>1</v>
      </c>
      <c r="CL60" s="36">
        <v>1</v>
      </c>
      <c r="CN60" s="109"/>
    </row>
    <row r="61" spans="6:92" x14ac:dyDescent="0.15">
      <c r="W61" s="100" t="s">
        <v>743</v>
      </c>
      <c r="X61" s="109">
        <v>31</v>
      </c>
      <c r="Y61" s="36">
        <v>40</v>
      </c>
      <c r="Z61" s="108">
        <v>30101203</v>
      </c>
      <c r="AA61" s="36">
        <v>100</v>
      </c>
      <c r="AB61" s="36">
        <v>1</v>
      </c>
      <c r="AC61" s="36">
        <v>1</v>
      </c>
      <c r="AE61" s="36" t="s">
        <v>530</v>
      </c>
      <c r="AF61" s="109">
        <v>31</v>
      </c>
      <c r="AG61" s="36">
        <v>40</v>
      </c>
      <c r="AH61" s="108">
        <v>30201203</v>
      </c>
      <c r="AI61" s="36">
        <v>100</v>
      </c>
      <c r="AJ61" s="36">
        <v>1</v>
      </c>
      <c r="AK61" s="36">
        <v>1</v>
      </c>
      <c r="AU61" s="109"/>
      <c r="AV61" s="36" t="s">
        <v>836</v>
      </c>
      <c r="AW61" s="109">
        <v>15</v>
      </c>
      <c r="AX61" s="109">
        <v>25</v>
      </c>
      <c r="AY61" s="110">
        <v>20501500</v>
      </c>
      <c r="AZ61" s="36">
        <v>1000</v>
      </c>
      <c r="BA61" s="109">
        <v>1</v>
      </c>
      <c r="BB61" s="36">
        <v>1</v>
      </c>
      <c r="BD61" s="109"/>
      <c r="BE61" s="36" t="s">
        <v>836</v>
      </c>
      <c r="BF61" s="109">
        <v>15</v>
      </c>
      <c r="BG61" s="109">
        <v>25</v>
      </c>
      <c r="BH61" s="110">
        <v>20501501</v>
      </c>
      <c r="BI61" s="36">
        <v>1000</v>
      </c>
      <c r="BJ61" s="109">
        <v>1</v>
      </c>
      <c r="BK61" s="36">
        <v>1</v>
      </c>
      <c r="BM61" s="109"/>
      <c r="BN61" s="36" t="s">
        <v>836</v>
      </c>
      <c r="BO61" s="109">
        <v>15</v>
      </c>
      <c r="BP61" s="109">
        <v>25</v>
      </c>
      <c r="BQ61" s="110">
        <v>20501502</v>
      </c>
      <c r="BR61" s="36">
        <v>1000</v>
      </c>
      <c r="BS61" s="109">
        <v>1</v>
      </c>
      <c r="BT61" s="36">
        <v>1</v>
      </c>
      <c r="BV61" s="109"/>
      <c r="BW61" s="36" t="s">
        <v>836</v>
      </c>
      <c r="BX61" s="109">
        <v>15</v>
      </c>
      <c r="BY61" s="109">
        <v>25</v>
      </c>
      <c r="BZ61" s="110">
        <v>20501503</v>
      </c>
      <c r="CA61" s="36">
        <v>1000</v>
      </c>
      <c r="CB61" s="109">
        <v>1</v>
      </c>
      <c r="CC61" s="36">
        <v>1</v>
      </c>
      <c r="CE61" s="109"/>
      <c r="CF61" s="36" t="s">
        <v>836</v>
      </c>
      <c r="CG61" s="109">
        <v>15</v>
      </c>
      <c r="CH61" s="109">
        <v>25</v>
      </c>
      <c r="CI61" s="110">
        <v>20501504</v>
      </c>
      <c r="CJ61" s="36">
        <v>1000</v>
      </c>
      <c r="CK61" s="109">
        <v>1</v>
      </c>
      <c r="CL61" s="36">
        <v>1</v>
      </c>
      <c r="CN61" s="109"/>
    </row>
    <row r="62" spans="6:92" x14ac:dyDescent="0.15">
      <c r="W62" s="100" t="s">
        <v>744</v>
      </c>
      <c r="X62" s="109">
        <v>41</v>
      </c>
      <c r="Y62" s="36">
        <v>50</v>
      </c>
      <c r="Z62" s="108">
        <v>30101204</v>
      </c>
      <c r="AA62" s="36">
        <v>100</v>
      </c>
      <c r="AB62" s="36">
        <v>1</v>
      </c>
      <c r="AC62" s="36">
        <v>1</v>
      </c>
      <c r="AE62" s="36" t="s">
        <v>533</v>
      </c>
      <c r="AF62" s="109">
        <v>41</v>
      </c>
      <c r="AG62" s="36">
        <v>50</v>
      </c>
      <c r="AH62" s="108">
        <v>30201204</v>
      </c>
      <c r="AI62" s="36">
        <v>100</v>
      </c>
      <c r="AJ62" s="36">
        <v>1</v>
      </c>
      <c r="AK62" s="36">
        <v>1</v>
      </c>
      <c r="AU62" s="109"/>
      <c r="AV62" s="36" t="s">
        <v>837</v>
      </c>
      <c r="AW62" s="109">
        <v>20</v>
      </c>
      <c r="AX62" s="109">
        <v>30</v>
      </c>
      <c r="AY62" s="110">
        <v>20502000</v>
      </c>
      <c r="AZ62" s="36">
        <v>1000</v>
      </c>
      <c r="BA62" s="109">
        <v>1</v>
      </c>
      <c r="BB62" s="36">
        <v>1</v>
      </c>
      <c r="BD62" s="109"/>
      <c r="BE62" s="36" t="s">
        <v>837</v>
      </c>
      <c r="BF62" s="109">
        <v>20</v>
      </c>
      <c r="BG62" s="109">
        <v>30</v>
      </c>
      <c r="BH62" s="110">
        <v>20502001</v>
      </c>
      <c r="BI62" s="36">
        <v>1000</v>
      </c>
      <c r="BJ62" s="109">
        <v>1</v>
      </c>
      <c r="BK62" s="36">
        <v>1</v>
      </c>
      <c r="BM62" s="109"/>
      <c r="BN62" s="36" t="s">
        <v>837</v>
      </c>
      <c r="BO62" s="109">
        <v>20</v>
      </c>
      <c r="BP62" s="109">
        <v>30</v>
      </c>
      <c r="BQ62" s="110">
        <v>20502002</v>
      </c>
      <c r="BR62" s="36">
        <v>1000</v>
      </c>
      <c r="BS62" s="109">
        <v>1</v>
      </c>
      <c r="BT62" s="36">
        <v>1</v>
      </c>
      <c r="BV62" s="109"/>
      <c r="BW62" s="36" t="s">
        <v>837</v>
      </c>
      <c r="BX62" s="109">
        <v>20</v>
      </c>
      <c r="BY62" s="109">
        <v>30</v>
      </c>
      <c r="BZ62" s="110">
        <v>20502003</v>
      </c>
      <c r="CA62" s="36">
        <v>1000</v>
      </c>
      <c r="CB62" s="109">
        <v>1</v>
      </c>
      <c r="CC62" s="36">
        <v>1</v>
      </c>
      <c r="CE62" s="109"/>
      <c r="CF62" s="36" t="s">
        <v>837</v>
      </c>
      <c r="CG62" s="109">
        <v>20</v>
      </c>
      <c r="CH62" s="109">
        <v>30</v>
      </c>
      <c r="CI62" s="110">
        <v>20502004</v>
      </c>
      <c r="CJ62" s="36">
        <v>1000</v>
      </c>
      <c r="CK62" s="109">
        <v>1</v>
      </c>
      <c r="CL62" s="36">
        <v>1</v>
      </c>
      <c r="CN62" s="109"/>
    </row>
    <row r="63" spans="6:92" x14ac:dyDescent="0.15">
      <c r="W63" s="100" t="s">
        <v>745</v>
      </c>
      <c r="X63" s="109">
        <v>1</v>
      </c>
      <c r="Y63" s="36">
        <v>10</v>
      </c>
      <c r="Z63" s="108">
        <v>30101300</v>
      </c>
      <c r="AA63" s="36">
        <v>100</v>
      </c>
      <c r="AB63" s="36">
        <v>1</v>
      </c>
      <c r="AC63" s="36">
        <v>1</v>
      </c>
      <c r="AE63" s="36" t="s">
        <v>520</v>
      </c>
      <c r="AF63" s="109">
        <v>1</v>
      </c>
      <c r="AG63" s="36">
        <v>10</v>
      </c>
      <c r="AH63" s="108">
        <v>30201300</v>
      </c>
      <c r="AI63" s="36">
        <v>100</v>
      </c>
      <c r="AJ63" s="36">
        <v>1</v>
      </c>
      <c r="AK63" s="36">
        <v>1</v>
      </c>
      <c r="AU63" s="109"/>
      <c r="AV63" s="36" t="s">
        <v>838</v>
      </c>
      <c r="AW63" s="109">
        <v>25</v>
      </c>
      <c r="AX63" s="109">
        <v>35</v>
      </c>
      <c r="AY63" s="110">
        <v>20502500</v>
      </c>
      <c r="AZ63" s="36">
        <v>1000</v>
      </c>
      <c r="BA63" s="109">
        <v>1</v>
      </c>
      <c r="BB63" s="36">
        <v>1</v>
      </c>
      <c r="BD63" s="109"/>
      <c r="BE63" s="36" t="s">
        <v>838</v>
      </c>
      <c r="BF63" s="109">
        <v>25</v>
      </c>
      <c r="BG63" s="109">
        <v>35</v>
      </c>
      <c r="BH63" s="110">
        <v>20502501</v>
      </c>
      <c r="BI63" s="36">
        <v>1000</v>
      </c>
      <c r="BJ63" s="109">
        <v>1</v>
      </c>
      <c r="BK63" s="36">
        <v>1</v>
      </c>
      <c r="BM63" s="109"/>
      <c r="BN63" s="36" t="s">
        <v>838</v>
      </c>
      <c r="BO63" s="109">
        <v>25</v>
      </c>
      <c r="BP63" s="109">
        <v>35</v>
      </c>
      <c r="BQ63" s="110">
        <v>20502502</v>
      </c>
      <c r="BR63" s="36">
        <v>1000</v>
      </c>
      <c r="BS63" s="109">
        <v>1</v>
      </c>
      <c r="BT63" s="36">
        <v>1</v>
      </c>
      <c r="BV63" s="109"/>
      <c r="BW63" s="36" t="s">
        <v>838</v>
      </c>
      <c r="BX63" s="109">
        <v>25</v>
      </c>
      <c r="BY63" s="109">
        <v>35</v>
      </c>
      <c r="BZ63" s="110">
        <v>20502503</v>
      </c>
      <c r="CA63" s="36">
        <v>1000</v>
      </c>
      <c r="CB63" s="109">
        <v>1</v>
      </c>
      <c r="CC63" s="36">
        <v>1</v>
      </c>
      <c r="CE63" s="109"/>
      <c r="CF63" s="36" t="s">
        <v>838</v>
      </c>
      <c r="CG63" s="109">
        <v>25</v>
      </c>
      <c r="CH63" s="109">
        <v>35</v>
      </c>
      <c r="CI63" s="110">
        <v>20502504</v>
      </c>
      <c r="CJ63" s="36">
        <v>1000</v>
      </c>
      <c r="CK63" s="109">
        <v>1</v>
      </c>
      <c r="CL63" s="36">
        <v>1</v>
      </c>
      <c r="CN63" s="109"/>
    </row>
    <row r="64" spans="6:92" x14ac:dyDescent="0.15">
      <c r="W64" s="100" t="s">
        <v>746</v>
      </c>
      <c r="X64" s="109">
        <v>11</v>
      </c>
      <c r="Y64" s="36">
        <v>20</v>
      </c>
      <c r="Z64" s="108">
        <v>30101301</v>
      </c>
      <c r="AA64" s="36">
        <v>100</v>
      </c>
      <c r="AB64" s="36">
        <v>1</v>
      </c>
      <c r="AC64" s="36">
        <v>1</v>
      </c>
      <c r="AE64" s="36" t="s">
        <v>523</v>
      </c>
      <c r="AF64" s="109">
        <v>11</v>
      </c>
      <c r="AG64" s="36">
        <v>20</v>
      </c>
      <c r="AH64" s="108">
        <v>30201301</v>
      </c>
      <c r="AI64" s="36">
        <v>100</v>
      </c>
      <c r="AJ64" s="36">
        <v>1</v>
      </c>
      <c r="AK64" s="36">
        <v>1</v>
      </c>
      <c r="AU64" s="109"/>
      <c r="AV64" s="36" t="s">
        <v>839</v>
      </c>
      <c r="AW64" s="109">
        <v>30</v>
      </c>
      <c r="AX64" s="109">
        <v>40</v>
      </c>
      <c r="AY64" s="110">
        <v>20503000</v>
      </c>
      <c r="AZ64" s="36">
        <v>1000</v>
      </c>
      <c r="BA64" s="109">
        <v>1</v>
      </c>
      <c r="BB64" s="36">
        <v>1</v>
      </c>
      <c r="BD64" s="109"/>
      <c r="BE64" s="36" t="s">
        <v>839</v>
      </c>
      <c r="BF64" s="109">
        <v>30</v>
      </c>
      <c r="BG64" s="109">
        <v>40</v>
      </c>
      <c r="BH64" s="110">
        <v>20503001</v>
      </c>
      <c r="BI64" s="36">
        <v>1000</v>
      </c>
      <c r="BJ64" s="109">
        <v>1</v>
      </c>
      <c r="BK64" s="36">
        <v>1</v>
      </c>
      <c r="BM64" s="109"/>
      <c r="BN64" s="36" t="s">
        <v>839</v>
      </c>
      <c r="BO64" s="109">
        <v>30</v>
      </c>
      <c r="BP64" s="109">
        <v>40</v>
      </c>
      <c r="BQ64" s="110">
        <v>20503002</v>
      </c>
      <c r="BR64" s="36">
        <v>1000</v>
      </c>
      <c r="BS64" s="109">
        <v>1</v>
      </c>
      <c r="BT64" s="36">
        <v>1</v>
      </c>
      <c r="BV64" s="109"/>
      <c r="BW64" s="36" t="s">
        <v>839</v>
      </c>
      <c r="BX64" s="109">
        <v>30</v>
      </c>
      <c r="BY64" s="109">
        <v>40</v>
      </c>
      <c r="BZ64" s="110">
        <v>20503003</v>
      </c>
      <c r="CA64" s="36">
        <v>1000</v>
      </c>
      <c r="CB64" s="109">
        <v>1</v>
      </c>
      <c r="CC64" s="36">
        <v>1</v>
      </c>
      <c r="CE64" s="109"/>
      <c r="CF64" s="36" t="s">
        <v>839</v>
      </c>
      <c r="CG64" s="109">
        <v>30</v>
      </c>
      <c r="CH64" s="109">
        <v>40</v>
      </c>
      <c r="CI64" s="110">
        <v>20503004</v>
      </c>
      <c r="CJ64" s="36">
        <v>1000</v>
      </c>
      <c r="CK64" s="109">
        <v>1</v>
      </c>
      <c r="CL64" s="36">
        <v>1</v>
      </c>
      <c r="CN64" s="109"/>
    </row>
    <row r="65" spans="23:92" x14ac:dyDescent="0.15">
      <c r="W65" s="100" t="s">
        <v>747</v>
      </c>
      <c r="X65" s="109">
        <v>21</v>
      </c>
      <c r="Y65" s="36">
        <v>30</v>
      </c>
      <c r="Z65" s="108">
        <v>30101302</v>
      </c>
      <c r="AA65" s="36">
        <v>100</v>
      </c>
      <c r="AB65" s="36">
        <v>1</v>
      </c>
      <c r="AC65" s="36">
        <v>1</v>
      </c>
      <c r="AE65" s="36" t="s">
        <v>526</v>
      </c>
      <c r="AF65" s="109">
        <v>21</v>
      </c>
      <c r="AG65" s="36">
        <v>30</v>
      </c>
      <c r="AH65" s="108">
        <v>30201302</v>
      </c>
      <c r="AI65" s="36">
        <v>100</v>
      </c>
      <c r="AJ65" s="36">
        <v>1</v>
      </c>
      <c r="AK65" s="36">
        <v>1</v>
      </c>
      <c r="AU65" s="109"/>
      <c r="AV65" s="36" t="s">
        <v>840</v>
      </c>
      <c r="AW65" s="109">
        <v>35</v>
      </c>
      <c r="AX65" s="109">
        <v>45</v>
      </c>
      <c r="AY65" s="110">
        <v>20503500</v>
      </c>
      <c r="AZ65" s="36">
        <v>1000</v>
      </c>
      <c r="BA65" s="109">
        <v>1</v>
      </c>
      <c r="BB65" s="36">
        <v>1</v>
      </c>
      <c r="BD65" s="109"/>
      <c r="BE65" s="36" t="s">
        <v>840</v>
      </c>
      <c r="BF65" s="109">
        <v>35</v>
      </c>
      <c r="BG65" s="109">
        <v>45</v>
      </c>
      <c r="BH65" s="110">
        <v>20503501</v>
      </c>
      <c r="BI65" s="36">
        <v>1000</v>
      </c>
      <c r="BJ65" s="109">
        <v>1</v>
      </c>
      <c r="BK65" s="36">
        <v>1</v>
      </c>
      <c r="BM65" s="109"/>
      <c r="BN65" s="36" t="s">
        <v>840</v>
      </c>
      <c r="BO65" s="109">
        <v>35</v>
      </c>
      <c r="BP65" s="109">
        <v>45</v>
      </c>
      <c r="BQ65" s="110">
        <v>20503502</v>
      </c>
      <c r="BR65" s="36">
        <v>1000</v>
      </c>
      <c r="BS65" s="109">
        <v>1</v>
      </c>
      <c r="BT65" s="36">
        <v>1</v>
      </c>
      <c r="BV65" s="109"/>
      <c r="BW65" s="36" t="s">
        <v>840</v>
      </c>
      <c r="BX65" s="109">
        <v>35</v>
      </c>
      <c r="BY65" s="109">
        <v>45</v>
      </c>
      <c r="BZ65" s="110">
        <v>20503503</v>
      </c>
      <c r="CA65" s="36">
        <v>1000</v>
      </c>
      <c r="CB65" s="109">
        <v>1</v>
      </c>
      <c r="CC65" s="36">
        <v>1</v>
      </c>
      <c r="CE65" s="109"/>
      <c r="CF65" s="36" t="s">
        <v>840</v>
      </c>
      <c r="CG65" s="109">
        <v>35</v>
      </c>
      <c r="CH65" s="109">
        <v>45</v>
      </c>
      <c r="CI65" s="110">
        <v>20503504</v>
      </c>
      <c r="CJ65" s="36">
        <v>1000</v>
      </c>
      <c r="CK65" s="109">
        <v>1</v>
      </c>
      <c r="CL65" s="36">
        <v>1</v>
      </c>
      <c r="CN65" s="109"/>
    </row>
    <row r="66" spans="23:92" x14ac:dyDescent="0.15">
      <c r="W66" s="100" t="s">
        <v>748</v>
      </c>
      <c r="X66" s="109">
        <v>31</v>
      </c>
      <c r="Y66" s="36">
        <v>40</v>
      </c>
      <c r="Z66" s="108">
        <v>30101303</v>
      </c>
      <c r="AA66" s="36">
        <v>100</v>
      </c>
      <c r="AB66" s="36">
        <v>1</v>
      </c>
      <c r="AC66" s="36">
        <v>1</v>
      </c>
      <c r="AE66" s="36" t="s">
        <v>529</v>
      </c>
      <c r="AF66" s="109">
        <v>31</v>
      </c>
      <c r="AG66" s="36">
        <v>40</v>
      </c>
      <c r="AH66" s="108">
        <v>30201303</v>
      </c>
      <c r="AI66" s="36">
        <v>100</v>
      </c>
      <c r="AJ66" s="36">
        <v>1</v>
      </c>
      <c r="AK66" s="36">
        <v>1</v>
      </c>
      <c r="AU66" s="109"/>
      <c r="AV66" s="36" t="s">
        <v>841</v>
      </c>
      <c r="AW66" s="109">
        <v>40</v>
      </c>
      <c r="AX66" s="109">
        <v>50</v>
      </c>
      <c r="AY66" s="110">
        <v>20504000</v>
      </c>
      <c r="AZ66" s="36">
        <v>1000</v>
      </c>
      <c r="BA66" s="109">
        <v>1</v>
      </c>
      <c r="BB66" s="36">
        <v>1</v>
      </c>
      <c r="BD66" s="109"/>
      <c r="BE66" s="36" t="s">
        <v>841</v>
      </c>
      <c r="BF66" s="109">
        <v>40</v>
      </c>
      <c r="BG66" s="109">
        <v>50</v>
      </c>
      <c r="BH66" s="110">
        <v>20504001</v>
      </c>
      <c r="BI66" s="36">
        <v>1000</v>
      </c>
      <c r="BJ66" s="109">
        <v>1</v>
      </c>
      <c r="BK66" s="36">
        <v>1</v>
      </c>
      <c r="BM66" s="109"/>
      <c r="BN66" s="36" t="s">
        <v>841</v>
      </c>
      <c r="BO66" s="109">
        <v>40</v>
      </c>
      <c r="BP66" s="109">
        <v>50</v>
      </c>
      <c r="BQ66" s="110">
        <v>20504002</v>
      </c>
      <c r="BR66" s="36">
        <v>1000</v>
      </c>
      <c r="BS66" s="109">
        <v>1</v>
      </c>
      <c r="BT66" s="36">
        <v>1</v>
      </c>
      <c r="BV66" s="109"/>
      <c r="BW66" s="36" t="s">
        <v>841</v>
      </c>
      <c r="BX66" s="109">
        <v>40</v>
      </c>
      <c r="BY66" s="109">
        <v>50</v>
      </c>
      <c r="BZ66" s="110">
        <v>20504003</v>
      </c>
      <c r="CA66" s="36">
        <v>1000</v>
      </c>
      <c r="CB66" s="109">
        <v>1</v>
      </c>
      <c r="CC66" s="36">
        <v>1</v>
      </c>
      <c r="CE66" s="109"/>
      <c r="CF66" s="36" t="s">
        <v>841</v>
      </c>
      <c r="CG66" s="109">
        <v>40</v>
      </c>
      <c r="CH66" s="109">
        <v>50</v>
      </c>
      <c r="CI66" s="110">
        <v>20504004</v>
      </c>
      <c r="CJ66" s="36">
        <v>1000</v>
      </c>
      <c r="CK66" s="109">
        <v>1</v>
      </c>
      <c r="CL66" s="36">
        <v>1</v>
      </c>
      <c r="CN66" s="109"/>
    </row>
    <row r="67" spans="23:92" x14ac:dyDescent="0.15">
      <c r="W67" s="100" t="s">
        <v>749</v>
      </c>
      <c r="X67" s="109">
        <v>41</v>
      </c>
      <c r="Y67" s="36">
        <v>50</v>
      </c>
      <c r="Z67" s="108">
        <v>30101304</v>
      </c>
      <c r="AA67" s="36">
        <v>100</v>
      </c>
      <c r="AB67" s="36">
        <v>1</v>
      </c>
      <c r="AC67" s="36">
        <v>1</v>
      </c>
      <c r="AE67" s="36" t="s">
        <v>532</v>
      </c>
      <c r="AF67" s="109">
        <v>41</v>
      </c>
      <c r="AG67" s="36">
        <v>50</v>
      </c>
      <c r="AH67" s="108">
        <v>30201304</v>
      </c>
      <c r="AI67" s="36">
        <v>100</v>
      </c>
      <c r="AJ67" s="36">
        <v>1</v>
      </c>
      <c r="AK67" s="36">
        <v>1</v>
      </c>
      <c r="AU67" s="109"/>
      <c r="AV67" s="36" t="s">
        <v>842</v>
      </c>
      <c r="AW67" s="109">
        <v>45</v>
      </c>
      <c r="AX67" s="109">
        <v>50</v>
      </c>
      <c r="AY67" s="110">
        <v>20504500</v>
      </c>
      <c r="AZ67" s="36">
        <v>1000</v>
      </c>
      <c r="BA67" s="109">
        <v>1</v>
      </c>
      <c r="BB67" s="36">
        <v>1</v>
      </c>
      <c r="BD67" s="109"/>
      <c r="BE67" s="36" t="s">
        <v>842</v>
      </c>
      <c r="BF67" s="109">
        <v>45</v>
      </c>
      <c r="BG67" s="109">
        <v>50</v>
      </c>
      <c r="BH67" s="110">
        <v>20504501</v>
      </c>
      <c r="BI67" s="36">
        <v>1000</v>
      </c>
      <c r="BJ67" s="109">
        <v>1</v>
      </c>
      <c r="BK67" s="36">
        <v>1</v>
      </c>
      <c r="BM67" s="109"/>
      <c r="BN67" s="36" t="s">
        <v>842</v>
      </c>
      <c r="BO67" s="109">
        <v>45</v>
      </c>
      <c r="BP67" s="109">
        <v>50</v>
      </c>
      <c r="BQ67" s="110">
        <v>20504502</v>
      </c>
      <c r="BR67" s="36">
        <v>1000</v>
      </c>
      <c r="BS67" s="109">
        <v>1</v>
      </c>
      <c r="BT67" s="36">
        <v>1</v>
      </c>
      <c r="BV67" s="109"/>
      <c r="BW67" s="36" t="s">
        <v>842</v>
      </c>
      <c r="BX67" s="109">
        <v>45</v>
      </c>
      <c r="BY67" s="109">
        <v>50</v>
      </c>
      <c r="BZ67" s="110">
        <v>20504503</v>
      </c>
      <c r="CA67" s="36">
        <v>1000</v>
      </c>
      <c r="CB67" s="109">
        <v>1</v>
      </c>
      <c r="CC67" s="36">
        <v>1</v>
      </c>
      <c r="CE67" s="109"/>
      <c r="CF67" s="36" t="s">
        <v>842</v>
      </c>
      <c r="CG67" s="109">
        <v>45</v>
      </c>
      <c r="CH67" s="109">
        <v>50</v>
      </c>
      <c r="CI67" s="110">
        <v>20504504</v>
      </c>
      <c r="CJ67" s="36">
        <v>1000</v>
      </c>
      <c r="CK67" s="109">
        <v>1</v>
      </c>
      <c r="CL67" s="36">
        <v>1</v>
      </c>
      <c r="CN67" s="109"/>
    </row>
    <row r="68" spans="23:92" x14ac:dyDescent="0.15">
      <c r="W68" s="100" t="s">
        <v>750</v>
      </c>
      <c r="X68" s="109">
        <v>1</v>
      </c>
      <c r="Y68" s="36">
        <v>10</v>
      </c>
      <c r="Z68" s="108">
        <v>30101400</v>
      </c>
      <c r="AA68" s="36">
        <v>100</v>
      </c>
      <c r="AB68" s="36">
        <v>1</v>
      </c>
      <c r="AC68" s="36">
        <v>1</v>
      </c>
      <c r="AE68" s="36" t="s">
        <v>487</v>
      </c>
      <c r="AF68" s="109">
        <v>1</v>
      </c>
      <c r="AG68" s="36">
        <v>10</v>
      </c>
      <c r="AH68" s="108">
        <v>30201400</v>
      </c>
      <c r="AI68" s="36">
        <v>100</v>
      </c>
      <c r="AJ68" s="36">
        <v>1</v>
      </c>
      <c r="AK68" s="36">
        <v>1</v>
      </c>
      <c r="AU68" s="109"/>
      <c r="AV68" s="36" t="s">
        <v>843</v>
      </c>
      <c r="AW68" s="109">
        <v>45</v>
      </c>
      <c r="AX68" s="109">
        <v>50</v>
      </c>
      <c r="AY68" s="110">
        <v>20505000</v>
      </c>
      <c r="AZ68" s="36">
        <v>1000</v>
      </c>
      <c r="BA68" s="109">
        <v>1</v>
      </c>
      <c r="BB68" s="36">
        <v>1</v>
      </c>
      <c r="BD68" s="109"/>
      <c r="BE68" s="36" t="s">
        <v>843</v>
      </c>
      <c r="BF68" s="109">
        <v>45</v>
      </c>
      <c r="BG68" s="109">
        <v>50</v>
      </c>
      <c r="BH68" s="110">
        <v>20505001</v>
      </c>
      <c r="BI68" s="36">
        <v>1000</v>
      </c>
      <c r="BJ68" s="109">
        <v>1</v>
      </c>
      <c r="BK68" s="36">
        <v>1</v>
      </c>
      <c r="BM68" s="109"/>
      <c r="BN68" s="36" t="s">
        <v>843</v>
      </c>
      <c r="BO68" s="109">
        <v>45</v>
      </c>
      <c r="BP68" s="109">
        <v>50</v>
      </c>
      <c r="BQ68" s="110">
        <v>20505002</v>
      </c>
      <c r="BR68" s="36">
        <v>1000</v>
      </c>
      <c r="BS68" s="109">
        <v>1</v>
      </c>
      <c r="BT68" s="36">
        <v>1</v>
      </c>
      <c r="BV68" s="109"/>
      <c r="BW68" s="36" t="s">
        <v>843</v>
      </c>
      <c r="BX68" s="109">
        <v>45</v>
      </c>
      <c r="BY68" s="109">
        <v>50</v>
      </c>
      <c r="BZ68" s="110">
        <v>20505003</v>
      </c>
      <c r="CA68" s="36">
        <v>1000</v>
      </c>
      <c r="CB68" s="109">
        <v>1</v>
      </c>
      <c r="CC68" s="36">
        <v>1</v>
      </c>
      <c r="CE68" s="109"/>
      <c r="CF68" s="36" t="s">
        <v>843</v>
      </c>
      <c r="CG68" s="109">
        <v>45</v>
      </c>
      <c r="CH68" s="109">
        <v>50</v>
      </c>
      <c r="CI68" s="110">
        <v>20505004</v>
      </c>
      <c r="CJ68" s="36">
        <v>1000</v>
      </c>
      <c r="CK68" s="109">
        <v>1</v>
      </c>
      <c r="CL68" s="36">
        <v>1</v>
      </c>
      <c r="CN68" s="109"/>
    </row>
    <row r="69" spans="23:92" x14ac:dyDescent="0.15">
      <c r="W69" s="100" t="s">
        <v>751</v>
      </c>
      <c r="X69" s="109">
        <v>11</v>
      </c>
      <c r="Y69" s="36">
        <v>20</v>
      </c>
      <c r="Z69" s="108">
        <v>30101401</v>
      </c>
      <c r="AA69" s="36">
        <v>100</v>
      </c>
      <c r="AB69" s="36">
        <v>1</v>
      </c>
      <c r="AC69" s="36">
        <v>1</v>
      </c>
      <c r="AE69" s="36" t="s">
        <v>491</v>
      </c>
      <c r="AF69" s="109">
        <v>11</v>
      </c>
      <c r="AG69" s="36">
        <v>20</v>
      </c>
      <c r="AH69" s="108">
        <v>30201401</v>
      </c>
      <c r="AI69" s="36">
        <v>100</v>
      </c>
      <c r="AJ69" s="36">
        <v>1</v>
      </c>
      <c r="AK69" s="36">
        <v>1</v>
      </c>
      <c r="AU69" s="109" t="s">
        <v>776</v>
      </c>
      <c r="AV69" s="36" t="s">
        <v>844</v>
      </c>
      <c r="AW69" s="36">
        <v>1</v>
      </c>
      <c r="AX69" s="109">
        <v>10</v>
      </c>
      <c r="AY69" s="110">
        <v>20600100</v>
      </c>
      <c r="AZ69" s="36">
        <v>1000</v>
      </c>
      <c r="BA69" s="109">
        <v>1</v>
      </c>
      <c r="BB69" s="36">
        <v>1</v>
      </c>
      <c r="BD69" s="109" t="s">
        <v>776</v>
      </c>
      <c r="BE69" s="36" t="s">
        <v>844</v>
      </c>
      <c r="BF69" s="36">
        <v>1</v>
      </c>
      <c r="BG69" s="109">
        <v>10</v>
      </c>
      <c r="BH69" s="110">
        <v>20600101</v>
      </c>
      <c r="BI69" s="36">
        <v>1000</v>
      </c>
      <c r="BJ69" s="109">
        <v>1</v>
      </c>
      <c r="BK69" s="36">
        <v>1</v>
      </c>
      <c r="BM69" s="109" t="s">
        <v>776</v>
      </c>
      <c r="BN69" s="36" t="s">
        <v>844</v>
      </c>
      <c r="BO69" s="36">
        <v>1</v>
      </c>
      <c r="BP69" s="109">
        <v>10</v>
      </c>
      <c r="BQ69" s="110">
        <v>20600102</v>
      </c>
      <c r="BR69" s="36">
        <v>1000</v>
      </c>
      <c r="BS69" s="109">
        <v>1</v>
      </c>
      <c r="BT69" s="36">
        <v>1</v>
      </c>
      <c r="BV69" s="109" t="s">
        <v>776</v>
      </c>
      <c r="BW69" s="36" t="s">
        <v>844</v>
      </c>
      <c r="BX69" s="36">
        <v>1</v>
      </c>
      <c r="BY69" s="109">
        <v>10</v>
      </c>
      <c r="BZ69" s="110">
        <v>20600103</v>
      </c>
      <c r="CA69" s="36">
        <v>1000</v>
      </c>
      <c r="CB69" s="109">
        <v>1</v>
      </c>
      <c r="CC69" s="36">
        <v>1</v>
      </c>
      <c r="CE69" s="109" t="s">
        <v>776</v>
      </c>
      <c r="CF69" s="36" t="s">
        <v>844</v>
      </c>
      <c r="CG69" s="36">
        <v>1</v>
      </c>
      <c r="CH69" s="109">
        <v>10</v>
      </c>
      <c r="CI69" s="110">
        <v>20600104</v>
      </c>
      <c r="CJ69" s="36">
        <v>1000</v>
      </c>
      <c r="CK69" s="109">
        <v>1</v>
      </c>
      <c r="CL69" s="36">
        <v>1</v>
      </c>
      <c r="CN69" s="109"/>
    </row>
    <row r="70" spans="23:92" x14ac:dyDescent="0.15">
      <c r="W70" s="100" t="s">
        <v>752</v>
      </c>
      <c r="X70" s="109">
        <v>21</v>
      </c>
      <c r="Y70" s="36">
        <v>30</v>
      </c>
      <c r="Z70" s="108">
        <v>30101402</v>
      </c>
      <c r="AA70" s="36">
        <v>100</v>
      </c>
      <c r="AB70" s="36">
        <v>1</v>
      </c>
      <c r="AC70" s="36">
        <v>1</v>
      </c>
      <c r="AE70" s="36" t="s">
        <v>495</v>
      </c>
      <c r="AF70" s="109">
        <v>21</v>
      </c>
      <c r="AG70" s="36">
        <v>30</v>
      </c>
      <c r="AH70" s="108">
        <v>30201402</v>
      </c>
      <c r="AI70" s="36">
        <v>100</v>
      </c>
      <c r="AJ70" s="36">
        <v>1</v>
      </c>
      <c r="AK70" s="36">
        <v>1</v>
      </c>
      <c r="AU70" s="109"/>
      <c r="AV70" s="36" t="s">
        <v>845</v>
      </c>
      <c r="AW70" s="109">
        <v>5</v>
      </c>
      <c r="AX70" s="109">
        <v>15</v>
      </c>
      <c r="AY70" s="110">
        <v>20600500</v>
      </c>
      <c r="AZ70" s="36">
        <v>1000</v>
      </c>
      <c r="BA70" s="109">
        <v>1</v>
      </c>
      <c r="BB70" s="36">
        <v>1</v>
      </c>
      <c r="BD70" s="109"/>
      <c r="BE70" s="36" t="s">
        <v>845</v>
      </c>
      <c r="BF70" s="109">
        <v>5</v>
      </c>
      <c r="BG70" s="109">
        <v>15</v>
      </c>
      <c r="BH70" s="110">
        <v>20600501</v>
      </c>
      <c r="BI70" s="36">
        <v>1000</v>
      </c>
      <c r="BJ70" s="109">
        <v>1</v>
      </c>
      <c r="BK70" s="36">
        <v>1</v>
      </c>
      <c r="BM70" s="109"/>
      <c r="BN70" s="36" t="s">
        <v>845</v>
      </c>
      <c r="BO70" s="109">
        <v>5</v>
      </c>
      <c r="BP70" s="109">
        <v>15</v>
      </c>
      <c r="BQ70" s="110">
        <v>20600502</v>
      </c>
      <c r="BR70" s="36">
        <v>1000</v>
      </c>
      <c r="BS70" s="109">
        <v>1</v>
      </c>
      <c r="BT70" s="36">
        <v>1</v>
      </c>
      <c r="BV70" s="109"/>
      <c r="BW70" s="36" t="s">
        <v>845</v>
      </c>
      <c r="BX70" s="109">
        <v>5</v>
      </c>
      <c r="BY70" s="109">
        <v>15</v>
      </c>
      <c r="BZ70" s="110">
        <v>20600503</v>
      </c>
      <c r="CA70" s="36">
        <v>1000</v>
      </c>
      <c r="CB70" s="109">
        <v>1</v>
      </c>
      <c r="CC70" s="36">
        <v>1</v>
      </c>
      <c r="CE70" s="109"/>
      <c r="CF70" s="36" t="s">
        <v>845</v>
      </c>
      <c r="CG70" s="109">
        <v>5</v>
      </c>
      <c r="CH70" s="109">
        <v>15</v>
      </c>
      <c r="CI70" s="110">
        <v>20600504</v>
      </c>
      <c r="CJ70" s="36">
        <v>1000</v>
      </c>
      <c r="CK70" s="109">
        <v>1</v>
      </c>
      <c r="CL70" s="36">
        <v>1</v>
      </c>
      <c r="CN70" s="109"/>
    </row>
    <row r="71" spans="23:92" x14ac:dyDescent="0.15">
      <c r="W71" s="100" t="s">
        <v>753</v>
      </c>
      <c r="X71" s="109">
        <v>31</v>
      </c>
      <c r="Y71" s="36">
        <v>40</v>
      </c>
      <c r="Z71" s="108">
        <v>30101403</v>
      </c>
      <c r="AA71" s="36">
        <v>100</v>
      </c>
      <c r="AB71" s="36">
        <v>1</v>
      </c>
      <c r="AC71" s="36">
        <v>1</v>
      </c>
      <c r="AE71" s="36" t="s">
        <v>499</v>
      </c>
      <c r="AF71" s="109">
        <v>31</v>
      </c>
      <c r="AG71" s="36">
        <v>40</v>
      </c>
      <c r="AH71" s="108">
        <v>30201403</v>
      </c>
      <c r="AI71" s="36">
        <v>100</v>
      </c>
      <c r="AJ71" s="36">
        <v>1</v>
      </c>
      <c r="AK71" s="36">
        <v>1</v>
      </c>
      <c r="AU71" s="109"/>
      <c r="AV71" s="36" t="s">
        <v>846</v>
      </c>
      <c r="AW71" s="109">
        <v>10</v>
      </c>
      <c r="AX71" s="109">
        <v>20</v>
      </c>
      <c r="AY71" s="110">
        <v>20601000</v>
      </c>
      <c r="AZ71" s="36">
        <v>1000</v>
      </c>
      <c r="BA71" s="109">
        <v>1</v>
      </c>
      <c r="BB71" s="36">
        <v>1</v>
      </c>
      <c r="BD71" s="109"/>
      <c r="BE71" s="36" t="s">
        <v>846</v>
      </c>
      <c r="BF71" s="109">
        <v>10</v>
      </c>
      <c r="BG71" s="109">
        <v>20</v>
      </c>
      <c r="BH71" s="110">
        <v>20601001</v>
      </c>
      <c r="BI71" s="36">
        <v>1000</v>
      </c>
      <c r="BJ71" s="109">
        <v>1</v>
      </c>
      <c r="BK71" s="36">
        <v>1</v>
      </c>
      <c r="BM71" s="109"/>
      <c r="BN71" s="36" t="s">
        <v>846</v>
      </c>
      <c r="BO71" s="109">
        <v>10</v>
      </c>
      <c r="BP71" s="109">
        <v>20</v>
      </c>
      <c r="BQ71" s="110">
        <v>20601002</v>
      </c>
      <c r="BR71" s="36">
        <v>1000</v>
      </c>
      <c r="BS71" s="109">
        <v>1</v>
      </c>
      <c r="BT71" s="36">
        <v>1</v>
      </c>
      <c r="BV71" s="109"/>
      <c r="BW71" s="36" t="s">
        <v>846</v>
      </c>
      <c r="BX71" s="109">
        <v>10</v>
      </c>
      <c r="BY71" s="109">
        <v>20</v>
      </c>
      <c r="BZ71" s="110">
        <v>20601003</v>
      </c>
      <c r="CA71" s="36">
        <v>1000</v>
      </c>
      <c r="CB71" s="109">
        <v>1</v>
      </c>
      <c r="CC71" s="36">
        <v>1</v>
      </c>
      <c r="CE71" s="109"/>
      <c r="CF71" s="36" t="s">
        <v>846</v>
      </c>
      <c r="CG71" s="109">
        <v>10</v>
      </c>
      <c r="CH71" s="109">
        <v>20</v>
      </c>
      <c r="CI71" s="110">
        <v>20601004</v>
      </c>
      <c r="CJ71" s="36">
        <v>1000</v>
      </c>
      <c r="CK71" s="109">
        <v>1</v>
      </c>
      <c r="CL71" s="36">
        <v>1</v>
      </c>
      <c r="CN71" s="109"/>
    </row>
    <row r="72" spans="23:92" x14ac:dyDescent="0.15">
      <c r="W72" s="100" t="s">
        <v>754</v>
      </c>
      <c r="X72" s="109">
        <v>41</v>
      </c>
      <c r="Y72" s="36">
        <v>50</v>
      </c>
      <c r="Z72" s="108">
        <v>30101404</v>
      </c>
      <c r="AA72" s="36">
        <v>100</v>
      </c>
      <c r="AB72" s="36">
        <v>1</v>
      </c>
      <c r="AC72" s="36">
        <v>1</v>
      </c>
      <c r="AE72" s="36" t="s">
        <v>503</v>
      </c>
      <c r="AF72" s="109">
        <v>41</v>
      </c>
      <c r="AG72" s="36">
        <v>50</v>
      </c>
      <c r="AH72" s="108">
        <v>30201404</v>
      </c>
      <c r="AI72" s="36">
        <v>100</v>
      </c>
      <c r="AJ72" s="36">
        <v>1</v>
      </c>
      <c r="AK72" s="36">
        <v>1</v>
      </c>
      <c r="AU72" s="109"/>
      <c r="AV72" s="36" t="s">
        <v>847</v>
      </c>
      <c r="AW72" s="109">
        <v>15</v>
      </c>
      <c r="AX72" s="109">
        <v>25</v>
      </c>
      <c r="AY72" s="110">
        <v>20601500</v>
      </c>
      <c r="AZ72" s="36">
        <v>1000</v>
      </c>
      <c r="BA72" s="109">
        <v>1</v>
      </c>
      <c r="BB72" s="36">
        <v>1</v>
      </c>
      <c r="BD72" s="109"/>
      <c r="BE72" s="36" t="s">
        <v>847</v>
      </c>
      <c r="BF72" s="109">
        <v>15</v>
      </c>
      <c r="BG72" s="109">
        <v>25</v>
      </c>
      <c r="BH72" s="110">
        <v>20601501</v>
      </c>
      <c r="BI72" s="36">
        <v>1000</v>
      </c>
      <c r="BJ72" s="109">
        <v>1</v>
      </c>
      <c r="BK72" s="36">
        <v>1</v>
      </c>
      <c r="BM72" s="109"/>
      <c r="BN72" s="36" t="s">
        <v>847</v>
      </c>
      <c r="BO72" s="109">
        <v>15</v>
      </c>
      <c r="BP72" s="109">
        <v>25</v>
      </c>
      <c r="BQ72" s="110">
        <v>20601502</v>
      </c>
      <c r="BR72" s="36">
        <v>1000</v>
      </c>
      <c r="BS72" s="109">
        <v>1</v>
      </c>
      <c r="BT72" s="36">
        <v>1</v>
      </c>
      <c r="BV72" s="109"/>
      <c r="BW72" s="36" t="s">
        <v>847</v>
      </c>
      <c r="BX72" s="109">
        <v>15</v>
      </c>
      <c r="BY72" s="109">
        <v>25</v>
      </c>
      <c r="BZ72" s="110">
        <v>20601503</v>
      </c>
      <c r="CA72" s="36">
        <v>1000</v>
      </c>
      <c r="CB72" s="109">
        <v>1</v>
      </c>
      <c r="CC72" s="36">
        <v>1</v>
      </c>
      <c r="CE72" s="109"/>
      <c r="CF72" s="36" t="s">
        <v>847</v>
      </c>
      <c r="CG72" s="109">
        <v>15</v>
      </c>
      <c r="CH72" s="109">
        <v>25</v>
      </c>
      <c r="CI72" s="110">
        <v>20601504</v>
      </c>
      <c r="CJ72" s="36">
        <v>1000</v>
      </c>
      <c r="CK72" s="109">
        <v>1</v>
      </c>
      <c r="CL72" s="36">
        <v>1</v>
      </c>
      <c r="CN72" s="109"/>
    </row>
    <row r="73" spans="23:92" x14ac:dyDescent="0.15">
      <c r="W73" s="100" t="s">
        <v>755</v>
      </c>
      <c r="X73" s="109">
        <v>1</v>
      </c>
      <c r="Y73" s="36">
        <v>10</v>
      </c>
      <c r="Z73" s="108">
        <v>30101500</v>
      </c>
      <c r="AA73" s="36">
        <v>100</v>
      </c>
      <c r="AB73" s="36">
        <v>1</v>
      </c>
      <c r="AC73" s="36">
        <v>1</v>
      </c>
      <c r="AE73" s="36" t="s">
        <v>535</v>
      </c>
      <c r="AF73" s="109">
        <v>1</v>
      </c>
      <c r="AG73" s="36">
        <v>10</v>
      </c>
      <c r="AH73" s="108">
        <v>30201500</v>
      </c>
      <c r="AI73" s="36">
        <v>100</v>
      </c>
      <c r="AJ73" s="36">
        <v>1</v>
      </c>
      <c r="AK73" s="36">
        <v>1</v>
      </c>
      <c r="AU73" s="109"/>
      <c r="AV73" s="36" t="s">
        <v>848</v>
      </c>
      <c r="AW73" s="109">
        <v>20</v>
      </c>
      <c r="AX73" s="109">
        <v>30</v>
      </c>
      <c r="AY73" s="110">
        <v>20602000</v>
      </c>
      <c r="AZ73" s="36">
        <v>1000</v>
      </c>
      <c r="BA73" s="109">
        <v>1</v>
      </c>
      <c r="BB73" s="36">
        <v>1</v>
      </c>
      <c r="BD73" s="109"/>
      <c r="BE73" s="36" t="s">
        <v>848</v>
      </c>
      <c r="BF73" s="109">
        <v>20</v>
      </c>
      <c r="BG73" s="109">
        <v>30</v>
      </c>
      <c r="BH73" s="110">
        <v>20602001</v>
      </c>
      <c r="BI73" s="36">
        <v>1000</v>
      </c>
      <c r="BJ73" s="109">
        <v>1</v>
      </c>
      <c r="BK73" s="36">
        <v>1</v>
      </c>
      <c r="BM73" s="109"/>
      <c r="BN73" s="36" t="s">
        <v>848</v>
      </c>
      <c r="BO73" s="109">
        <v>20</v>
      </c>
      <c r="BP73" s="109">
        <v>30</v>
      </c>
      <c r="BQ73" s="110">
        <v>20602002</v>
      </c>
      <c r="BR73" s="36">
        <v>1000</v>
      </c>
      <c r="BS73" s="109">
        <v>1</v>
      </c>
      <c r="BT73" s="36">
        <v>1</v>
      </c>
      <c r="BV73" s="109"/>
      <c r="BW73" s="36" t="s">
        <v>848</v>
      </c>
      <c r="BX73" s="109">
        <v>20</v>
      </c>
      <c r="BY73" s="109">
        <v>30</v>
      </c>
      <c r="BZ73" s="110">
        <v>20602003</v>
      </c>
      <c r="CA73" s="36">
        <v>1000</v>
      </c>
      <c r="CB73" s="109">
        <v>1</v>
      </c>
      <c r="CC73" s="36">
        <v>1</v>
      </c>
      <c r="CE73" s="109"/>
      <c r="CF73" s="36" t="s">
        <v>848</v>
      </c>
      <c r="CG73" s="109">
        <v>20</v>
      </c>
      <c r="CH73" s="109">
        <v>30</v>
      </c>
      <c r="CI73" s="110">
        <v>20602004</v>
      </c>
      <c r="CJ73" s="36">
        <v>1000</v>
      </c>
      <c r="CK73" s="109">
        <v>1</v>
      </c>
      <c r="CL73" s="36">
        <v>1</v>
      </c>
      <c r="CN73" s="109"/>
    </row>
    <row r="74" spans="23:92" x14ac:dyDescent="0.15">
      <c r="W74" s="100" t="s">
        <v>756</v>
      </c>
      <c r="X74" s="109">
        <v>11</v>
      </c>
      <c r="Y74" s="36">
        <v>20</v>
      </c>
      <c r="Z74" s="108">
        <v>30101501</v>
      </c>
      <c r="AA74" s="36">
        <v>100</v>
      </c>
      <c r="AB74" s="36">
        <v>1</v>
      </c>
      <c r="AC74" s="36">
        <v>1</v>
      </c>
      <c r="AE74" s="36" t="s">
        <v>538</v>
      </c>
      <c r="AF74" s="109">
        <v>11</v>
      </c>
      <c r="AG74" s="36">
        <v>20</v>
      </c>
      <c r="AH74" s="108">
        <v>30201501</v>
      </c>
      <c r="AI74" s="36">
        <v>100</v>
      </c>
      <c r="AJ74" s="36">
        <v>1</v>
      </c>
      <c r="AK74" s="36">
        <v>1</v>
      </c>
      <c r="AU74" s="109"/>
      <c r="AV74" s="36" t="s">
        <v>849</v>
      </c>
      <c r="AW74" s="109">
        <v>25</v>
      </c>
      <c r="AX74" s="109">
        <v>35</v>
      </c>
      <c r="AY74" s="110">
        <v>20602500</v>
      </c>
      <c r="AZ74" s="36">
        <v>1000</v>
      </c>
      <c r="BA74" s="109">
        <v>1</v>
      </c>
      <c r="BB74" s="36">
        <v>1</v>
      </c>
      <c r="BD74" s="109"/>
      <c r="BE74" s="36" t="s">
        <v>849</v>
      </c>
      <c r="BF74" s="109">
        <v>25</v>
      </c>
      <c r="BG74" s="109">
        <v>35</v>
      </c>
      <c r="BH74" s="110">
        <v>20602501</v>
      </c>
      <c r="BI74" s="36">
        <v>1000</v>
      </c>
      <c r="BJ74" s="109">
        <v>1</v>
      </c>
      <c r="BK74" s="36">
        <v>1</v>
      </c>
      <c r="BM74" s="109"/>
      <c r="BN74" s="36" t="s">
        <v>849</v>
      </c>
      <c r="BO74" s="109">
        <v>25</v>
      </c>
      <c r="BP74" s="109">
        <v>35</v>
      </c>
      <c r="BQ74" s="110">
        <v>20602502</v>
      </c>
      <c r="BR74" s="36">
        <v>1000</v>
      </c>
      <c r="BS74" s="109">
        <v>1</v>
      </c>
      <c r="BT74" s="36">
        <v>1</v>
      </c>
      <c r="BV74" s="109"/>
      <c r="BW74" s="36" t="s">
        <v>849</v>
      </c>
      <c r="BX74" s="109">
        <v>25</v>
      </c>
      <c r="BY74" s="109">
        <v>35</v>
      </c>
      <c r="BZ74" s="110">
        <v>20602503</v>
      </c>
      <c r="CA74" s="36">
        <v>1000</v>
      </c>
      <c r="CB74" s="109">
        <v>1</v>
      </c>
      <c r="CC74" s="36">
        <v>1</v>
      </c>
      <c r="CE74" s="109"/>
      <c r="CF74" s="36" t="s">
        <v>849</v>
      </c>
      <c r="CG74" s="109">
        <v>25</v>
      </c>
      <c r="CH74" s="109">
        <v>35</v>
      </c>
      <c r="CI74" s="110">
        <v>20602504</v>
      </c>
      <c r="CJ74" s="36">
        <v>1000</v>
      </c>
      <c r="CK74" s="109">
        <v>1</v>
      </c>
      <c r="CL74" s="36">
        <v>1</v>
      </c>
      <c r="CN74" s="109"/>
    </row>
    <row r="75" spans="23:92" x14ac:dyDescent="0.15">
      <c r="W75" s="100" t="s">
        <v>757</v>
      </c>
      <c r="X75" s="109">
        <v>21</v>
      </c>
      <c r="Y75" s="36">
        <v>30</v>
      </c>
      <c r="Z75" s="108">
        <v>30101502</v>
      </c>
      <c r="AA75" s="36">
        <v>100</v>
      </c>
      <c r="AB75" s="36">
        <v>1</v>
      </c>
      <c r="AC75" s="36">
        <v>1</v>
      </c>
      <c r="AE75" s="36" t="s">
        <v>541</v>
      </c>
      <c r="AF75" s="109">
        <v>21</v>
      </c>
      <c r="AG75" s="36">
        <v>30</v>
      </c>
      <c r="AH75" s="108">
        <v>30201502</v>
      </c>
      <c r="AI75" s="36">
        <v>100</v>
      </c>
      <c r="AJ75" s="36">
        <v>1</v>
      </c>
      <c r="AK75" s="36">
        <v>1</v>
      </c>
      <c r="AU75" s="109"/>
      <c r="AV75" s="36" t="s">
        <v>850</v>
      </c>
      <c r="AW75" s="109">
        <v>30</v>
      </c>
      <c r="AX75" s="109">
        <v>40</v>
      </c>
      <c r="AY75" s="110">
        <v>20603000</v>
      </c>
      <c r="AZ75" s="36">
        <v>1000</v>
      </c>
      <c r="BA75" s="109">
        <v>1</v>
      </c>
      <c r="BB75" s="36">
        <v>1</v>
      </c>
      <c r="BD75" s="109"/>
      <c r="BE75" s="36" t="s">
        <v>850</v>
      </c>
      <c r="BF75" s="109">
        <v>30</v>
      </c>
      <c r="BG75" s="109">
        <v>40</v>
      </c>
      <c r="BH75" s="110">
        <v>20603001</v>
      </c>
      <c r="BI75" s="36">
        <v>1000</v>
      </c>
      <c r="BJ75" s="109">
        <v>1</v>
      </c>
      <c r="BK75" s="36">
        <v>1</v>
      </c>
      <c r="BM75" s="109"/>
      <c r="BN75" s="36" t="s">
        <v>850</v>
      </c>
      <c r="BO75" s="109">
        <v>30</v>
      </c>
      <c r="BP75" s="109">
        <v>40</v>
      </c>
      <c r="BQ75" s="110">
        <v>20603002</v>
      </c>
      <c r="BR75" s="36">
        <v>1000</v>
      </c>
      <c r="BS75" s="109">
        <v>1</v>
      </c>
      <c r="BT75" s="36">
        <v>1</v>
      </c>
      <c r="BV75" s="109"/>
      <c r="BW75" s="36" t="s">
        <v>850</v>
      </c>
      <c r="BX75" s="109">
        <v>30</v>
      </c>
      <c r="BY75" s="109">
        <v>40</v>
      </c>
      <c r="BZ75" s="110">
        <v>20603003</v>
      </c>
      <c r="CA75" s="36">
        <v>1000</v>
      </c>
      <c r="CB75" s="109">
        <v>1</v>
      </c>
      <c r="CC75" s="36">
        <v>1</v>
      </c>
      <c r="CE75" s="109"/>
      <c r="CF75" s="36" t="s">
        <v>850</v>
      </c>
      <c r="CG75" s="109">
        <v>30</v>
      </c>
      <c r="CH75" s="109">
        <v>40</v>
      </c>
      <c r="CI75" s="110">
        <v>20603004</v>
      </c>
      <c r="CJ75" s="36">
        <v>1000</v>
      </c>
      <c r="CK75" s="109">
        <v>1</v>
      </c>
      <c r="CL75" s="36">
        <v>1</v>
      </c>
      <c r="CN75" s="109"/>
    </row>
    <row r="76" spans="23:92" x14ac:dyDescent="0.15">
      <c r="W76" s="100" t="s">
        <v>758</v>
      </c>
      <c r="X76" s="109">
        <v>31</v>
      </c>
      <c r="Y76" s="36">
        <v>40</v>
      </c>
      <c r="Z76" s="108">
        <v>30101503</v>
      </c>
      <c r="AA76" s="36">
        <v>100</v>
      </c>
      <c r="AB76" s="36">
        <v>1</v>
      </c>
      <c r="AC76" s="36">
        <v>1</v>
      </c>
      <c r="AE76" s="36" t="s">
        <v>544</v>
      </c>
      <c r="AF76" s="109">
        <v>31</v>
      </c>
      <c r="AG76" s="36">
        <v>40</v>
      </c>
      <c r="AH76" s="108">
        <v>30201503</v>
      </c>
      <c r="AI76" s="36">
        <v>100</v>
      </c>
      <c r="AJ76" s="36">
        <v>1</v>
      </c>
      <c r="AK76" s="36">
        <v>1</v>
      </c>
      <c r="AU76" s="109"/>
      <c r="AV76" s="36" t="s">
        <v>851</v>
      </c>
      <c r="AW76" s="109">
        <v>35</v>
      </c>
      <c r="AX76" s="109">
        <v>45</v>
      </c>
      <c r="AY76" s="110">
        <v>20603500</v>
      </c>
      <c r="AZ76" s="36">
        <v>1000</v>
      </c>
      <c r="BA76" s="109">
        <v>1</v>
      </c>
      <c r="BB76" s="36">
        <v>1</v>
      </c>
      <c r="BD76" s="109"/>
      <c r="BE76" s="36" t="s">
        <v>851</v>
      </c>
      <c r="BF76" s="109">
        <v>35</v>
      </c>
      <c r="BG76" s="109">
        <v>45</v>
      </c>
      <c r="BH76" s="110">
        <v>20603501</v>
      </c>
      <c r="BI76" s="36">
        <v>1000</v>
      </c>
      <c r="BJ76" s="109">
        <v>1</v>
      </c>
      <c r="BK76" s="36">
        <v>1</v>
      </c>
      <c r="BM76" s="109"/>
      <c r="BN76" s="36" t="s">
        <v>851</v>
      </c>
      <c r="BO76" s="109">
        <v>35</v>
      </c>
      <c r="BP76" s="109">
        <v>45</v>
      </c>
      <c r="BQ76" s="110">
        <v>20603502</v>
      </c>
      <c r="BR76" s="36">
        <v>1000</v>
      </c>
      <c r="BS76" s="109">
        <v>1</v>
      </c>
      <c r="BT76" s="36">
        <v>1</v>
      </c>
      <c r="BV76" s="109"/>
      <c r="BW76" s="36" t="s">
        <v>851</v>
      </c>
      <c r="BX76" s="109">
        <v>35</v>
      </c>
      <c r="BY76" s="109">
        <v>45</v>
      </c>
      <c r="BZ76" s="110">
        <v>20603503</v>
      </c>
      <c r="CA76" s="36">
        <v>1000</v>
      </c>
      <c r="CB76" s="109">
        <v>1</v>
      </c>
      <c r="CC76" s="36">
        <v>1</v>
      </c>
      <c r="CE76" s="109"/>
      <c r="CF76" s="36" t="s">
        <v>851</v>
      </c>
      <c r="CG76" s="109">
        <v>35</v>
      </c>
      <c r="CH76" s="109">
        <v>45</v>
      </c>
      <c r="CI76" s="110">
        <v>20603504</v>
      </c>
      <c r="CJ76" s="36">
        <v>1000</v>
      </c>
      <c r="CK76" s="109">
        <v>1</v>
      </c>
      <c r="CL76" s="36">
        <v>1</v>
      </c>
      <c r="CN76" s="109"/>
    </row>
    <row r="77" spans="23:92" x14ac:dyDescent="0.15">
      <c r="W77" s="100" t="s">
        <v>759</v>
      </c>
      <c r="X77" s="109">
        <v>41</v>
      </c>
      <c r="Y77" s="36">
        <v>50</v>
      </c>
      <c r="Z77" s="108">
        <v>30101504</v>
      </c>
      <c r="AA77" s="36">
        <v>100</v>
      </c>
      <c r="AB77" s="36">
        <v>1</v>
      </c>
      <c r="AC77" s="36">
        <v>1</v>
      </c>
      <c r="AE77" s="36" t="s">
        <v>547</v>
      </c>
      <c r="AF77" s="109">
        <v>41</v>
      </c>
      <c r="AG77" s="36">
        <v>50</v>
      </c>
      <c r="AH77" s="108">
        <v>30201504</v>
      </c>
      <c r="AI77" s="36">
        <v>100</v>
      </c>
      <c r="AJ77" s="36">
        <v>1</v>
      </c>
      <c r="AK77" s="36">
        <v>1</v>
      </c>
      <c r="AU77" s="109"/>
      <c r="AV77" s="36" t="s">
        <v>852</v>
      </c>
      <c r="AW77" s="109">
        <v>40</v>
      </c>
      <c r="AX77" s="109">
        <v>50</v>
      </c>
      <c r="AY77" s="110">
        <v>20604000</v>
      </c>
      <c r="AZ77" s="36">
        <v>1000</v>
      </c>
      <c r="BA77" s="109">
        <v>1</v>
      </c>
      <c r="BB77" s="36">
        <v>1</v>
      </c>
      <c r="BD77" s="109"/>
      <c r="BE77" s="36" t="s">
        <v>852</v>
      </c>
      <c r="BF77" s="109">
        <v>40</v>
      </c>
      <c r="BG77" s="109">
        <v>50</v>
      </c>
      <c r="BH77" s="110">
        <v>20604001</v>
      </c>
      <c r="BI77" s="36">
        <v>1000</v>
      </c>
      <c r="BJ77" s="109">
        <v>1</v>
      </c>
      <c r="BK77" s="36">
        <v>1</v>
      </c>
      <c r="BM77" s="109"/>
      <c r="BN77" s="36" t="s">
        <v>852</v>
      </c>
      <c r="BO77" s="109">
        <v>40</v>
      </c>
      <c r="BP77" s="109">
        <v>50</v>
      </c>
      <c r="BQ77" s="110">
        <v>20604002</v>
      </c>
      <c r="BR77" s="36">
        <v>1000</v>
      </c>
      <c r="BS77" s="109">
        <v>1</v>
      </c>
      <c r="BT77" s="36">
        <v>1</v>
      </c>
      <c r="BV77" s="109"/>
      <c r="BW77" s="36" t="s">
        <v>852</v>
      </c>
      <c r="BX77" s="109">
        <v>40</v>
      </c>
      <c r="BY77" s="109">
        <v>50</v>
      </c>
      <c r="BZ77" s="110">
        <v>20604003</v>
      </c>
      <c r="CA77" s="36">
        <v>1000</v>
      </c>
      <c r="CB77" s="109">
        <v>1</v>
      </c>
      <c r="CC77" s="36">
        <v>1</v>
      </c>
      <c r="CE77" s="109"/>
      <c r="CF77" s="36" t="s">
        <v>852</v>
      </c>
      <c r="CG77" s="109">
        <v>40</v>
      </c>
      <c r="CH77" s="109">
        <v>50</v>
      </c>
      <c r="CI77" s="110">
        <v>20604004</v>
      </c>
      <c r="CJ77" s="36">
        <v>1000</v>
      </c>
      <c r="CK77" s="109">
        <v>1</v>
      </c>
      <c r="CL77" s="36">
        <v>1</v>
      </c>
      <c r="CN77" s="109"/>
    </row>
    <row r="78" spans="23:92" x14ac:dyDescent="0.15">
      <c r="W78" s="100" t="s">
        <v>760</v>
      </c>
      <c r="X78" s="109">
        <v>1</v>
      </c>
      <c r="Y78" s="36">
        <v>10</v>
      </c>
      <c r="Z78" s="108">
        <v>30101600</v>
      </c>
      <c r="AA78" s="36">
        <v>100</v>
      </c>
      <c r="AB78" s="36">
        <v>1</v>
      </c>
      <c r="AC78" s="36">
        <v>1</v>
      </c>
      <c r="AE78" s="36" t="s">
        <v>609</v>
      </c>
      <c r="AF78" s="109">
        <v>1</v>
      </c>
      <c r="AG78" s="36">
        <v>10</v>
      </c>
      <c r="AH78" s="108">
        <v>30201600</v>
      </c>
      <c r="AI78" s="36">
        <v>100</v>
      </c>
      <c r="AJ78" s="36">
        <v>1</v>
      </c>
      <c r="AK78" s="36">
        <v>1</v>
      </c>
      <c r="AU78" s="109"/>
      <c r="AV78" s="36" t="s">
        <v>853</v>
      </c>
      <c r="AW78" s="109">
        <v>45</v>
      </c>
      <c r="AX78" s="109">
        <v>50</v>
      </c>
      <c r="AY78" s="110">
        <v>20604500</v>
      </c>
      <c r="AZ78" s="36">
        <v>1000</v>
      </c>
      <c r="BA78" s="109">
        <v>1</v>
      </c>
      <c r="BB78" s="36">
        <v>1</v>
      </c>
      <c r="BD78" s="109"/>
      <c r="BE78" s="36" t="s">
        <v>853</v>
      </c>
      <c r="BF78" s="109">
        <v>45</v>
      </c>
      <c r="BG78" s="109">
        <v>50</v>
      </c>
      <c r="BH78" s="110">
        <v>20604501</v>
      </c>
      <c r="BI78" s="36">
        <v>1000</v>
      </c>
      <c r="BJ78" s="109">
        <v>1</v>
      </c>
      <c r="BK78" s="36">
        <v>1</v>
      </c>
      <c r="BM78" s="109"/>
      <c r="BN78" s="36" t="s">
        <v>853</v>
      </c>
      <c r="BO78" s="109">
        <v>45</v>
      </c>
      <c r="BP78" s="109">
        <v>50</v>
      </c>
      <c r="BQ78" s="110">
        <v>20604502</v>
      </c>
      <c r="BR78" s="36">
        <v>1000</v>
      </c>
      <c r="BS78" s="109">
        <v>1</v>
      </c>
      <c r="BT78" s="36">
        <v>1</v>
      </c>
      <c r="BV78" s="109"/>
      <c r="BW78" s="36" t="s">
        <v>853</v>
      </c>
      <c r="BX78" s="109">
        <v>45</v>
      </c>
      <c r="BY78" s="109">
        <v>50</v>
      </c>
      <c r="BZ78" s="110">
        <v>20604503</v>
      </c>
      <c r="CA78" s="36">
        <v>1000</v>
      </c>
      <c r="CB78" s="109">
        <v>1</v>
      </c>
      <c r="CC78" s="36">
        <v>1</v>
      </c>
      <c r="CE78" s="109"/>
      <c r="CF78" s="36" t="s">
        <v>853</v>
      </c>
      <c r="CG78" s="109">
        <v>45</v>
      </c>
      <c r="CH78" s="109">
        <v>50</v>
      </c>
      <c r="CI78" s="110">
        <v>20604504</v>
      </c>
      <c r="CJ78" s="36">
        <v>1000</v>
      </c>
      <c r="CK78" s="109">
        <v>1</v>
      </c>
      <c r="CL78" s="36">
        <v>1</v>
      </c>
      <c r="CN78" s="109"/>
    </row>
    <row r="79" spans="23:92" x14ac:dyDescent="0.15">
      <c r="W79" s="100" t="s">
        <v>761</v>
      </c>
      <c r="X79" s="109">
        <v>11</v>
      </c>
      <c r="Y79" s="36">
        <v>20</v>
      </c>
      <c r="Z79" s="108">
        <v>30101601</v>
      </c>
      <c r="AA79" s="36">
        <v>100</v>
      </c>
      <c r="AB79" s="36">
        <v>1</v>
      </c>
      <c r="AC79" s="36">
        <v>1</v>
      </c>
      <c r="AE79" s="36" t="s">
        <v>611</v>
      </c>
      <c r="AF79" s="109">
        <v>11</v>
      </c>
      <c r="AG79" s="36">
        <v>20</v>
      </c>
      <c r="AH79" s="108">
        <v>30201601</v>
      </c>
      <c r="AI79" s="36">
        <v>100</v>
      </c>
      <c r="AJ79" s="36">
        <v>1</v>
      </c>
      <c r="AK79" s="36">
        <v>1</v>
      </c>
      <c r="AU79" s="109"/>
      <c r="AV79" s="36" t="s">
        <v>854</v>
      </c>
      <c r="AW79" s="109">
        <v>45</v>
      </c>
      <c r="AX79" s="109">
        <v>50</v>
      </c>
      <c r="AY79" s="110">
        <v>20605000</v>
      </c>
      <c r="AZ79" s="36">
        <v>1000</v>
      </c>
      <c r="BA79" s="109">
        <v>1</v>
      </c>
      <c r="BB79" s="36">
        <v>1</v>
      </c>
      <c r="BD79" s="109"/>
      <c r="BE79" s="36" t="s">
        <v>854</v>
      </c>
      <c r="BF79" s="109">
        <v>45</v>
      </c>
      <c r="BG79" s="109">
        <v>50</v>
      </c>
      <c r="BH79" s="110">
        <v>20605001</v>
      </c>
      <c r="BI79" s="36">
        <v>1000</v>
      </c>
      <c r="BJ79" s="109">
        <v>1</v>
      </c>
      <c r="BK79" s="36">
        <v>1</v>
      </c>
      <c r="BM79" s="109"/>
      <c r="BN79" s="36" t="s">
        <v>854</v>
      </c>
      <c r="BO79" s="109">
        <v>45</v>
      </c>
      <c r="BP79" s="109">
        <v>50</v>
      </c>
      <c r="BQ79" s="110">
        <v>20605002</v>
      </c>
      <c r="BR79" s="36">
        <v>1000</v>
      </c>
      <c r="BS79" s="109">
        <v>1</v>
      </c>
      <c r="BT79" s="36">
        <v>1</v>
      </c>
      <c r="BV79" s="109"/>
      <c r="BW79" s="36" t="s">
        <v>854</v>
      </c>
      <c r="BX79" s="109">
        <v>45</v>
      </c>
      <c r="BY79" s="109">
        <v>50</v>
      </c>
      <c r="BZ79" s="110">
        <v>20605003</v>
      </c>
      <c r="CA79" s="36">
        <v>1000</v>
      </c>
      <c r="CB79" s="109">
        <v>1</v>
      </c>
      <c r="CC79" s="36">
        <v>1</v>
      </c>
      <c r="CE79" s="109"/>
      <c r="CF79" s="36" t="s">
        <v>854</v>
      </c>
      <c r="CG79" s="109">
        <v>45</v>
      </c>
      <c r="CH79" s="109">
        <v>50</v>
      </c>
      <c r="CI79" s="110">
        <v>20605004</v>
      </c>
      <c r="CJ79" s="36">
        <v>1000</v>
      </c>
      <c r="CK79" s="109">
        <v>1</v>
      </c>
      <c r="CL79" s="36">
        <v>1</v>
      </c>
      <c r="CN79" s="109"/>
    </row>
    <row r="80" spans="23:92" x14ac:dyDescent="0.15">
      <c r="W80" s="100" t="s">
        <v>762</v>
      </c>
      <c r="X80" s="109">
        <v>21</v>
      </c>
      <c r="Y80" s="36">
        <v>30</v>
      </c>
      <c r="Z80" s="108">
        <v>30101602</v>
      </c>
      <c r="AA80" s="36">
        <v>100</v>
      </c>
      <c r="AB80" s="36">
        <v>1</v>
      </c>
      <c r="AC80" s="36">
        <v>1</v>
      </c>
      <c r="AE80" s="36" t="s">
        <v>613</v>
      </c>
      <c r="AF80" s="109">
        <v>21</v>
      </c>
      <c r="AG80" s="36">
        <v>30</v>
      </c>
      <c r="AH80" s="108">
        <v>30201602</v>
      </c>
      <c r="AI80" s="36">
        <v>100</v>
      </c>
      <c r="AJ80" s="36">
        <v>1</v>
      </c>
      <c r="AK80" s="36">
        <v>1</v>
      </c>
      <c r="AU80" s="109" t="s">
        <v>777</v>
      </c>
      <c r="AV80" s="36" t="s">
        <v>855</v>
      </c>
      <c r="AW80" s="36">
        <v>1</v>
      </c>
      <c r="AX80" s="109">
        <v>10</v>
      </c>
      <c r="AY80" s="110">
        <v>20700100</v>
      </c>
      <c r="AZ80" s="36">
        <v>1000</v>
      </c>
      <c r="BA80" s="109">
        <v>1</v>
      </c>
      <c r="BB80" s="36">
        <v>1</v>
      </c>
      <c r="BD80" s="109" t="s">
        <v>777</v>
      </c>
      <c r="BE80" s="36" t="s">
        <v>855</v>
      </c>
      <c r="BF80" s="36">
        <v>1</v>
      </c>
      <c r="BG80" s="109">
        <v>10</v>
      </c>
      <c r="BH80" s="110">
        <v>20700101</v>
      </c>
      <c r="BI80" s="36">
        <v>1000</v>
      </c>
      <c r="BJ80" s="109">
        <v>1</v>
      </c>
      <c r="BK80" s="36">
        <v>1</v>
      </c>
      <c r="BM80" s="109" t="s">
        <v>777</v>
      </c>
      <c r="BN80" s="36" t="s">
        <v>855</v>
      </c>
      <c r="BO80" s="36">
        <v>1</v>
      </c>
      <c r="BP80" s="109">
        <v>10</v>
      </c>
      <c r="BQ80" s="110">
        <v>20700102</v>
      </c>
      <c r="BR80" s="36">
        <v>1000</v>
      </c>
      <c r="BS80" s="109">
        <v>1</v>
      </c>
      <c r="BT80" s="36">
        <v>1</v>
      </c>
      <c r="BV80" s="109" t="s">
        <v>777</v>
      </c>
      <c r="BW80" s="36" t="s">
        <v>855</v>
      </c>
      <c r="BX80" s="36">
        <v>1</v>
      </c>
      <c r="BY80" s="109">
        <v>10</v>
      </c>
      <c r="BZ80" s="110">
        <v>20700103</v>
      </c>
      <c r="CA80" s="36">
        <v>1000</v>
      </c>
      <c r="CB80" s="109">
        <v>1</v>
      </c>
      <c r="CC80" s="36">
        <v>1</v>
      </c>
      <c r="CE80" s="109" t="s">
        <v>777</v>
      </c>
      <c r="CF80" s="36" t="s">
        <v>855</v>
      </c>
      <c r="CG80" s="36">
        <v>1</v>
      </c>
      <c r="CH80" s="109">
        <v>10</v>
      </c>
      <c r="CI80" s="110">
        <v>20700104</v>
      </c>
      <c r="CJ80" s="36">
        <v>1000</v>
      </c>
      <c r="CK80" s="109">
        <v>1</v>
      </c>
      <c r="CL80" s="36">
        <v>1</v>
      </c>
      <c r="CN80" s="109"/>
    </row>
    <row r="81" spans="23:92" x14ac:dyDescent="0.15">
      <c r="W81" s="100" t="s">
        <v>763</v>
      </c>
      <c r="X81" s="109">
        <v>31</v>
      </c>
      <c r="Y81" s="36">
        <v>40</v>
      </c>
      <c r="Z81" s="108">
        <v>30101603</v>
      </c>
      <c r="AA81" s="36">
        <v>100</v>
      </c>
      <c r="AB81" s="36">
        <v>1</v>
      </c>
      <c r="AC81" s="36">
        <v>1</v>
      </c>
      <c r="AE81" s="36" t="s">
        <v>615</v>
      </c>
      <c r="AF81" s="109">
        <v>31</v>
      </c>
      <c r="AG81" s="36">
        <v>40</v>
      </c>
      <c r="AH81" s="108">
        <v>30201603</v>
      </c>
      <c r="AI81" s="36">
        <v>100</v>
      </c>
      <c r="AJ81" s="36">
        <v>1</v>
      </c>
      <c r="AK81" s="36">
        <v>1</v>
      </c>
      <c r="AU81" s="109"/>
      <c r="AV81" s="36" t="s">
        <v>856</v>
      </c>
      <c r="AW81" s="109">
        <v>5</v>
      </c>
      <c r="AX81" s="109">
        <v>15</v>
      </c>
      <c r="AY81" s="110">
        <v>20700500</v>
      </c>
      <c r="AZ81" s="36">
        <v>1000</v>
      </c>
      <c r="BA81" s="109">
        <v>1</v>
      </c>
      <c r="BB81" s="36">
        <v>1</v>
      </c>
      <c r="BD81" s="109"/>
      <c r="BE81" s="36" t="s">
        <v>856</v>
      </c>
      <c r="BF81" s="109">
        <v>5</v>
      </c>
      <c r="BG81" s="109">
        <v>15</v>
      </c>
      <c r="BH81" s="110">
        <v>20700501</v>
      </c>
      <c r="BI81" s="36">
        <v>1000</v>
      </c>
      <c r="BJ81" s="109">
        <v>1</v>
      </c>
      <c r="BK81" s="36">
        <v>1</v>
      </c>
      <c r="BM81" s="109"/>
      <c r="BN81" s="36" t="s">
        <v>856</v>
      </c>
      <c r="BO81" s="109">
        <v>5</v>
      </c>
      <c r="BP81" s="109">
        <v>15</v>
      </c>
      <c r="BQ81" s="110">
        <v>20700502</v>
      </c>
      <c r="BR81" s="36">
        <v>1000</v>
      </c>
      <c r="BS81" s="109">
        <v>1</v>
      </c>
      <c r="BT81" s="36">
        <v>1</v>
      </c>
      <c r="BV81" s="109"/>
      <c r="BW81" s="36" t="s">
        <v>856</v>
      </c>
      <c r="BX81" s="109">
        <v>5</v>
      </c>
      <c r="BY81" s="109">
        <v>15</v>
      </c>
      <c r="BZ81" s="110">
        <v>20700503</v>
      </c>
      <c r="CA81" s="36">
        <v>1000</v>
      </c>
      <c r="CB81" s="109">
        <v>1</v>
      </c>
      <c r="CC81" s="36">
        <v>1</v>
      </c>
      <c r="CE81" s="109"/>
      <c r="CF81" s="36" t="s">
        <v>856</v>
      </c>
      <c r="CG81" s="109">
        <v>5</v>
      </c>
      <c r="CH81" s="109">
        <v>15</v>
      </c>
      <c r="CI81" s="110">
        <v>20700504</v>
      </c>
      <c r="CJ81" s="36">
        <v>1000</v>
      </c>
      <c r="CK81" s="109">
        <v>1</v>
      </c>
      <c r="CL81" s="36">
        <v>1</v>
      </c>
      <c r="CN81" s="109"/>
    </row>
    <row r="82" spans="23:92" x14ac:dyDescent="0.15">
      <c r="W82" s="100" t="s">
        <v>764</v>
      </c>
      <c r="X82" s="109">
        <v>41</v>
      </c>
      <c r="Y82" s="36">
        <v>50</v>
      </c>
      <c r="Z82" s="108">
        <v>30101604</v>
      </c>
      <c r="AA82" s="36">
        <v>100</v>
      </c>
      <c r="AB82" s="36">
        <v>1</v>
      </c>
      <c r="AC82" s="36">
        <v>1</v>
      </c>
      <c r="AE82" s="36" t="s">
        <v>617</v>
      </c>
      <c r="AF82" s="109">
        <v>41</v>
      </c>
      <c r="AG82" s="36">
        <v>50</v>
      </c>
      <c r="AH82" s="108">
        <v>30201604</v>
      </c>
      <c r="AI82" s="36">
        <v>100</v>
      </c>
      <c r="AJ82" s="36">
        <v>1</v>
      </c>
      <c r="AK82" s="36">
        <v>1</v>
      </c>
      <c r="AU82" s="109"/>
      <c r="AV82" s="36" t="s">
        <v>857</v>
      </c>
      <c r="AW82" s="109">
        <v>10</v>
      </c>
      <c r="AX82" s="109">
        <v>20</v>
      </c>
      <c r="AY82" s="110">
        <v>20701000</v>
      </c>
      <c r="AZ82" s="36">
        <v>1000</v>
      </c>
      <c r="BA82" s="109">
        <v>1</v>
      </c>
      <c r="BB82" s="36">
        <v>1</v>
      </c>
      <c r="BD82" s="109"/>
      <c r="BE82" s="36" t="s">
        <v>857</v>
      </c>
      <c r="BF82" s="109">
        <v>10</v>
      </c>
      <c r="BG82" s="109">
        <v>20</v>
      </c>
      <c r="BH82" s="110">
        <v>20701001</v>
      </c>
      <c r="BI82" s="36">
        <v>1000</v>
      </c>
      <c r="BJ82" s="109">
        <v>1</v>
      </c>
      <c r="BK82" s="36">
        <v>1</v>
      </c>
      <c r="BM82" s="109"/>
      <c r="BN82" s="36" t="s">
        <v>857</v>
      </c>
      <c r="BO82" s="109">
        <v>10</v>
      </c>
      <c r="BP82" s="109">
        <v>20</v>
      </c>
      <c r="BQ82" s="110">
        <v>20701002</v>
      </c>
      <c r="BR82" s="36">
        <v>1000</v>
      </c>
      <c r="BS82" s="109">
        <v>1</v>
      </c>
      <c r="BT82" s="36">
        <v>1</v>
      </c>
      <c r="BV82" s="109"/>
      <c r="BW82" s="36" t="s">
        <v>857</v>
      </c>
      <c r="BX82" s="109">
        <v>10</v>
      </c>
      <c r="BY82" s="109">
        <v>20</v>
      </c>
      <c r="BZ82" s="110">
        <v>20701003</v>
      </c>
      <c r="CA82" s="36">
        <v>1000</v>
      </c>
      <c r="CB82" s="109">
        <v>1</v>
      </c>
      <c r="CC82" s="36">
        <v>1</v>
      </c>
      <c r="CE82" s="109"/>
      <c r="CF82" s="36" t="s">
        <v>857</v>
      </c>
      <c r="CG82" s="109">
        <v>10</v>
      </c>
      <c r="CH82" s="109">
        <v>20</v>
      </c>
      <c r="CI82" s="110">
        <v>20701004</v>
      </c>
      <c r="CJ82" s="36">
        <v>1000</v>
      </c>
      <c r="CK82" s="109">
        <v>1</v>
      </c>
      <c r="CL82" s="36">
        <v>1</v>
      </c>
      <c r="CN82" s="109"/>
    </row>
    <row r="83" spans="23:92" x14ac:dyDescent="0.15">
      <c r="W83" s="100" t="s">
        <v>765</v>
      </c>
      <c r="X83" s="109">
        <v>1</v>
      </c>
      <c r="Y83" s="36">
        <v>10</v>
      </c>
      <c r="Z83" s="108">
        <v>30101700</v>
      </c>
      <c r="AA83" s="36">
        <v>100</v>
      </c>
      <c r="AB83" s="36">
        <v>1</v>
      </c>
      <c r="AC83" s="36">
        <v>1</v>
      </c>
      <c r="AE83" s="36" t="s">
        <v>505</v>
      </c>
      <c r="AF83" s="109">
        <v>1</v>
      </c>
      <c r="AG83" s="36">
        <v>10</v>
      </c>
      <c r="AH83" s="108">
        <v>30201700</v>
      </c>
      <c r="AI83" s="36">
        <v>100</v>
      </c>
      <c r="AJ83" s="36">
        <v>1</v>
      </c>
      <c r="AK83" s="36">
        <v>1</v>
      </c>
      <c r="AU83" s="109"/>
      <c r="AV83" s="36" t="s">
        <v>858</v>
      </c>
      <c r="AW83" s="109">
        <v>15</v>
      </c>
      <c r="AX83" s="109">
        <v>25</v>
      </c>
      <c r="AY83" s="110">
        <v>20701500</v>
      </c>
      <c r="AZ83" s="36">
        <v>1000</v>
      </c>
      <c r="BA83" s="109">
        <v>1</v>
      </c>
      <c r="BB83" s="36">
        <v>1</v>
      </c>
      <c r="BD83" s="109"/>
      <c r="BE83" s="36" t="s">
        <v>858</v>
      </c>
      <c r="BF83" s="109">
        <v>15</v>
      </c>
      <c r="BG83" s="109">
        <v>25</v>
      </c>
      <c r="BH83" s="110">
        <v>20701501</v>
      </c>
      <c r="BI83" s="36">
        <v>1000</v>
      </c>
      <c r="BJ83" s="109">
        <v>1</v>
      </c>
      <c r="BK83" s="36">
        <v>1</v>
      </c>
      <c r="BM83" s="109"/>
      <c r="BN83" s="36" t="s">
        <v>858</v>
      </c>
      <c r="BO83" s="109">
        <v>15</v>
      </c>
      <c r="BP83" s="109">
        <v>25</v>
      </c>
      <c r="BQ83" s="110">
        <v>20701502</v>
      </c>
      <c r="BR83" s="36">
        <v>1000</v>
      </c>
      <c r="BS83" s="109">
        <v>1</v>
      </c>
      <c r="BT83" s="36">
        <v>1</v>
      </c>
      <c r="BV83" s="109"/>
      <c r="BW83" s="36" t="s">
        <v>858</v>
      </c>
      <c r="BX83" s="109">
        <v>15</v>
      </c>
      <c r="BY83" s="109">
        <v>25</v>
      </c>
      <c r="BZ83" s="110">
        <v>20701503</v>
      </c>
      <c r="CA83" s="36">
        <v>1000</v>
      </c>
      <c r="CB83" s="109">
        <v>1</v>
      </c>
      <c r="CC83" s="36">
        <v>1</v>
      </c>
      <c r="CE83" s="109"/>
      <c r="CF83" s="36" t="s">
        <v>858</v>
      </c>
      <c r="CG83" s="109">
        <v>15</v>
      </c>
      <c r="CH83" s="109">
        <v>25</v>
      </c>
      <c r="CI83" s="110">
        <v>20701504</v>
      </c>
      <c r="CJ83" s="36">
        <v>1000</v>
      </c>
      <c r="CK83" s="109">
        <v>1</v>
      </c>
      <c r="CL83" s="36">
        <v>1</v>
      </c>
      <c r="CN83" s="109"/>
    </row>
    <row r="84" spans="23:92" x14ac:dyDescent="0.15">
      <c r="W84" s="100" t="s">
        <v>766</v>
      </c>
      <c r="X84" s="109">
        <v>11</v>
      </c>
      <c r="Y84" s="36">
        <v>20</v>
      </c>
      <c r="Z84" s="108">
        <v>30101701</v>
      </c>
      <c r="AA84" s="36">
        <v>100</v>
      </c>
      <c r="AB84" s="36">
        <v>1</v>
      </c>
      <c r="AC84" s="36">
        <v>1</v>
      </c>
      <c r="AE84" s="36" t="s">
        <v>508</v>
      </c>
      <c r="AF84" s="109">
        <v>11</v>
      </c>
      <c r="AG84" s="36">
        <v>20</v>
      </c>
      <c r="AH84" s="108">
        <v>30201701</v>
      </c>
      <c r="AI84" s="36">
        <v>100</v>
      </c>
      <c r="AJ84" s="36">
        <v>1</v>
      </c>
      <c r="AK84" s="36">
        <v>1</v>
      </c>
      <c r="AU84" s="109"/>
      <c r="AV84" s="36" t="s">
        <v>859</v>
      </c>
      <c r="AW84" s="109">
        <v>20</v>
      </c>
      <c r="AX84" s="109">
        <v>30</v>
      </c>
      <c r="AY84" s="110">
        <v>20702000</v>
      </c>
      <c r="AZ84" s="36">
        <v>1000</v>
      </c>
      <c r="BA84" s="109">
        <v>1</v>
      </c>
      <c r="BB84" s="36">
        <v>1</v>
      </c>
      <c r="BD84" s="109"/>
      <c r="BE84" s="36" t="s">
        <v>859</v>
      </c>
      <c r="BF84" s="109">
        <v>20</v>
      </c>
      <c r="BG84" s="109">
        <v>30</v>
      </c>
      <c r="BH84" s="110">
        <v>20702001</v>
      </c>
      <c r="BI84" s="36">
        <v>1000</v>
      </c>
      <c r="BJ84" s="109">
        <v>1</v>
      </c>
      <c r="BK84" s="36">
        <v>1</v>
      </c>
      <c r="BM84" s="109"/>
      <c r="BN84" s="36" t="s">
        <v>859</v>
      </c>
      <c r="BO84" s="109">
        <v>20</v>
      </c>
      <c r="BP84" s="109">
        <v>30</v>
      </c>
      <c r="BQ84" s="110">
        <v>20702002</v>
      </c>
      <c r="BR84" s="36">
        <v>1000</v>
      </c>
      <c r="BS84" s="109">
        <v>1</v>
      </c>
      <c r="BT84" s="36">
        <v>1</v>
      </c>
      <c r="BV84" s="109"/>
      <c r="BW84" s="36" t="s">
        <v>859</v>
      </c>
      <c r="BX84" s="109">
        <v>20</v>
      </c>
      <c r="BY84" s="109">
        <v>30</v>
      </c>
      <c r="BZ84" s="110">
        <v>20702003</v>
      </c>
      <c r="CA84" s="36">
        <v>1000</v>
      </c>
      <c r="CB84" s="109">
        <v>1</v>
      </c>
      <c r="CC84" s="36">
        <v>1</v>
      </c>
      <c r="CE84" s="109"/>
      <c r="CF84" s="36" t="s">
        <v>859</v>
      </c>
      <c r="CG84" s="109">
        <v>20</v>
      </c>
      <c r="CH84" s="109">
        <v>30</v>
      </c>
      <c r="CI84" s="110">
        <v>20702004</v>
      </c>
      <c r="CJ84" s="36">
        <v>1000</v>
      </c>
      <c r="CK84" s="109">
        <v>1</v>
      </c>
      <c r="CL84" s="36">
        <v>1</v>
      </c>
      <c r="CN84" s="109"/>
    </row>
    <row r="85" spans="23:92" x14ac:dyDescent="0.15">
      <c r="W85" s="100" t="s">
        <v>767</v>
      </c>
      <c r="X85" s="109">
        <v>21</v>
      </c>
      <c r="Y85" s="36">
        <v>30</v>
      </c>
      <c r="Z85" s="108">
        <v>30101702</v>
      </c>
      <c r="AA85" s="36">
        <v>100</v>
      </c>
      <c r="AB85" s="36">
        <v>1</v>
      </c>
      <c r="AC85" s="36">
        <v>1</v>
      </c>
      <c r="AE85" s="36" t="s">
        <v>511</v>
      </c>
      <c r="AF85" s="109">
        <v>21</v>
      </c>
      <c r="AG85" s="36">
        <v>30</v>
      </c>
      <c r="AH85" s="108">
        <v>30201702</v>
      </c>
      <c r="AI85" s="36">
        <v>100</v>
      </c>
      <c r="AJ85" s="36">
        <v>1</v>
      </c>
      <c r="AK85" s="36">
        <v>1</v>
      </c>
      <c r="AU85" s="109"/>
      <c r="AV85" s="36" t="s">
        <v>860</v>
      </c>
      <c r="AW85" s="109">
        <v>25</v>
      </c>
      <c r="AX85" s="109">
        <v>35</v>
      </c>
      <c r="AY85" s="110">
        <v>20702500</v>
      </c>
      <c r="AZ85" s="36">
        <v>1000</v>
      </c>
      <c r="BA85" s="109">
        <v>1</v>
      </c>
      <c r="BB85" s="36">
        <v>1</v>
      </c>
      <c r="BD85" s="109"/>
      <c r="BE85" s="36" t="s">
        <v>860</v>
      </c>
      <c r="BF85" s="109">
        <v>25</v>
      </c>
      <c r="BG85" s="109">
        <v>35</v>
      </c>
      <c r="BH85" s="110">
        <v>20702501</v>
      </c>
      <c r="BI85" s="36">
        <v>1000</v>
      </c>
      <c r="BJ85" s="109">
        <v>1</v>
      </c>
      <c r="BK85" s="36">
        <v>1</v>
      </c>
      <c r="BM85" s="109"/>
      <c r="BN85" s="36" t="s">
        <v>860</v>
      </c>
      <c r="BO85" s="109">
        <v>25</v>
      </c>
      <c r="BP85" s="109">
        <v>35</v>
      </c>
      <c r="BQ85" s="110">
        <v>20702502</v>
      </c>
      <c r="BR85" s="36">
        <v>1000</v>
      </c>
      <c r="BS85" s="109">
        <v>1</v>
      </c>
      <c r="BT85" s="36">
        <v>1</v>
      </c>
      <c r="BV85" s="109"/>
      <c r="BW85" s="36" t="s">
        <v>860</v>
      </c>
      <c r="BX85" s="109">
        <v>25</v>
      </c>
      <c r="BY85" s="109">
        <v>35</v>
      </c>
      <c r="BZ85" s="110">
        <v>20702503</v>
      </c>
      <c r="CA85" s="36">
        <v>1000</v>
      </c>
      <c r="CB85" s="109">
        <v>1</v>
      </c>
      <c r="CC85" s="36">
        <v>1</v>
      </c>
      <c r="CE85" s="109"/>
      <c r="CF85" s="36" t="s">
        <v>860</v>
      </c>
      <c r="CG85" s="109">
        <v>25</v>
      </c>
      <c r="CH85" s="109">
        <v>35</v>
      </c>
      <c r="CI85" s="110">
        <v>20702504</v>
      </c>
      <c r="CJ85" s="36">
        <v>1000</v>
      </c>
      <c r="CK85" s="109">
        <v>1</v>
      </c>
      <c r="CL85" s="36">
        <v>1</v>
      </c>
      <c r="CN85" s="109"/>
    </row>
    <row r="86" spans="23:92" x14ac:dyDescent="0.15">
      <c r="W86" s="100" t="s">
        <v>768</v>
      </c>
      <c r="X86" s="109">
        <v>31</v>
      </c>
      <c r="Y86" s="36">
        <v>40</v>
      </c>
      <c r="Z86" s="108">
        <v>30101703</v>
      </c>
      <c r="AA86" s="36">
        <v>100</v>
      </c>
      <c r="AB86" s="36">
        <v>1</v>
      </c>
      <c r="AC86" s="36">
        <v>1</v>
      </c>
      <c r="AE86" s="36" t="s">
        <v>514</v>
      </c>
      <c r="AF86" s="109">
        <v>31</v>
      </c>
      <c r="AG86" s="36">
        <v>40</v>
      </c>
      <c r="AH86" s="108">
        <v>30201703</v>
      </c>
      <c r="AI86" s="36">
        <v>100</v>
      </c>
      <c r="AJ86" s="36">
        <v>1</v>
      </c>
      <c r="AK86" s="36">
        <v>1</v>
      </c>
      <c r="AU86" s="109"/>
      <c r="AV86" s="36" t="s">
        <v>861</v>
      </c>
      <c r="AW86" s="109">
        <v>30</v>
      </c>
      <c r="AX86" s="109">
        <v>40</v>
      </c>
      <c r="AY86" s="110">
        <v>20703000</v>
      </c>
      <c r="AZ86" s="36">
        <v>1000</v>
      </c>
      <c r="BA86" s="109">
        <v>1</v>
      </c>
      <c r="BB86" s="36">
        <v>1</v>
      </c>
      <c r="BD86" s="109"/>
      <c r="BE86" s="36" t="s">
        <v>861</v>
      </c>
      <c r="BF86" s="109">
        <v>30</v>
      </c>
      <c r="BG86" s="109">
        <v>40</v>
      </c>
      <c r="BH86" s="110">
        <v>20703001</v>
      </c>
      <c r="BI86" s="36">
        <v>1000</v>
      </c>
      <c r="BJ86" s="109">
        <v>1</v>
      </c>
      <c r="BK86" s="36">
        <v>1</v>
      </c>
      <c r="BM86" s="109"/>
      <c r="BN86" s="36" t="s">
        <v>861</v>
      </c>
      <c r="BO86" s="109">
        <v>30</v>
      </c>
      <c r="BP86" s="109">
        <v>40</v>
      </c>
      <c r="BQ86" s="110">
        <v>20703002</v>
      </c>
      <c r="BR86" s="36">
        <v>1000</v>
      </c>
      <c r="BS86" s="109">
        <v>1</v>
      </c>
      <c r="BT86" s="36">
        <v>1</v>
      </c>
      <c r="BV86" s="109"/>
      <c r="BW86" s="36" t="s">
        <v>861</v>
      </c>
      <c r="BX86" s="109">
        <v>30</v>
      </c>
      <c r="BY86" s="109">
        <v>40</v>
      </c>
      <c r="BZ86" s="110">
        <v>20703003</v>
      </c>
      <c r="CA86" s="36">
        <v>1000</v>
      </c>
      <c r="CB86" s="109">
        <v>1</v>
      </c>
      <c r="CC86" s="36">
        <v>1</v>
      </c>
      <c r="CE86" s="109"/>
      <c r="CF86" s="36" t="s">
        <v>861</v>
      </c>
      <c r="CG86" s="109">
        <v>30</v>
      </c>
      <c r="CH86" s="109">
        <v>40</v>
      </c>
      <c r="CI86" s="110">
        <v>20703004</v>
      </c>
      <c r="CJ86" s="36">
        <v>1000</v>
      </c>
      <c r="CK86" s="109">
        <v>1</v>
      </c>
      <c r="CL86" s="36">
        <v>1</v>
      </c>
      <c r="CN86" s="109"/>
    </row>
    <row r="87" spans="23:92" x14ac:dyDescent="0.15">
      <c r="W87" s="100" t="s">
        <v>769</v>
      </c>
      <c r="X87" s="109">
        <v>41</v>
      </c>
      <c r="Y87" s="36">
        <v>50</v>
      </c>
      <c r="Z87" s="108">
        <v>30101704</v>
      </c>
      <c r="AA87" s="36">
        <v>100</v>
      </c>
      <c r="AB87" s="36">
        <v>1</v>
      </c>
      <c r="AC87" s="36">
        <v>1</v>
      </c>
      <c r="AE87" s="36" t="s">
        <v>517</v>
      </c>
      <c r="AF87" s="109">
        <v>41</v>
      </c>
      <c r="AG87" s="36">
        <v>50</v>
      </c>
      <c r="AH87" s="108">
        <v>30201704</v>
      </c>
      <c r="AI87" s="36">
        <v>100</v>
      </c>
      <c r="AJ87" s="36">
        <v>1</v>
      </c>
      <c r="AK87" s="36">
        <v>1</v>
      </c>
      <c r="AU87" s="109"/>
      <c r="AV87" s="36" t="s">
        <v>862</v>
      </c>
      <c r="AW87" s="109">
        <v>35</v>
      </c>
      <c r="AX87" s="109">
        <v>45</v>
      </c>
      <c r="AY87" s="110">
        <v>20703500</v>
      </c>
      <c r="AZ87" s="36">
        <v>1000</v>
      </c>
      <c r="BA87" s="109">
        <v>1</v>
      </c>
      <c r="BB87" s="36">
        <v>1</v>
      </c>
      <c r="BD87" s="109"/>
      <c r="BE87" s="36" t="s">
        <v>862</v>
      </c>
      <c r="BF87" s="109">
        <v>35</v>
      </c>
      <c r="BG87" s="109">
        <v>45</v>
      </c>
      <c r="BH87" s="110">
        <v>20703501</v>
      </c>
      <c r="BI87" s="36">
        <v>1000</v>
      </c>
      <c r="BJ87" s="109">
        <v>1</v>
      </c>
      <c r="BK87" s="36">
        <v>1</v>
      </c>
      <c r="BM87" s="109"/>
      <c r="BN87" s="36" t="s">
        <v>862</v>
      </c>
      <c r="BO87" s="109">
        <v>35</v>
      </c>
      <c r="BP87" s="109">
        <v>45</v>
      </c>
      <c r="BQ87" s="110">
        <v>20703502</v>
      </c>
      <c r="BR87" s="36">
        <v>1000</v>
      </c>
      <c r="BS87" s="109">
        <v>1</v>
      </c>
      <c r="BT87" s="36">
        <v>1</v>
      </c>
      <c r="BV87" s="109"/>
      <c r="BW87" s="36" t="s">
        <v>862</v>
      </c>
      <c r="BX87" s="109">
        <v>35</v>
      </c>
      <c r="BY87" s="109">
        <v>45</v>
      </c>
      <c r="BZ87" s="110">
        <v>20703503</v>
      </c>
      <c r="CA87" s="36">
        <v>1000</v>
      </c>
      <c r="CB87" s="109">
        <v>1</v>
      </c>
      <c r="CC87" s="36">
        <v>1</v>
      </c>
      <c r="CE87" s="109"/>
      <c r="CF87" s="36" t="s">
        <v>862</v>
      </c>
      <c r="CG87" s="109">
        <v>35</v>
      </c>
      <c r="CH87" s="109">
        <v>45</v>
      </c>
      <c r="CI87" s="110">
        <v>20703504</v>
      </c>
      <c r="CJ87" s="36">
        <v>1000</v>
      </c>
      <c r="CK87" s="109">
        <v>1</v>
      </c>
      <c r="CL87" s="36">
        <v>1</v>
      </c>
      <c r="CN87" s="109"/>
    </row>
    <row r="88" spans="23:92" x14ac:dyDescent="0.15">
      <c r="AE88" s="36" t="s">
        <v>506</v>
      </c>
      <c r="AF88" s="109">
        <v>1</v>
      </c>
      <c r="AG88" s="36">
        <v>10</v>
      </c>
      <c r="AH88" s="108">
        <v>30201800</v>
      </c>
      <c r="AI88" s="36">
        <v>100</v>
      </c>
      <c r="AJ88" s="36">
        <v>1</v>
      </c>
      <c r="AK88" s="36">
        <v>1</v>
      </c>
      <c r="AU88" s="109"/>
      <c r="AV88" s="36" t="s">
        <v>863</v>
      </c>
      <c r="AW88" s="109">
        <v>40</v>
      </c>
      <c r="AX88" s="109">
        <v>50</v>
      </c>
      <c r="AY88" s="110">
        <v>20704000</v>
      </c>
      <c r="AZ88" s="36">
        <v>1000</v>
      </c>
      <c r="BA88" s="109">
        <v>1</v>
      </c>
      <c r="BB88" s="36">
        <v>1</v>
      </c>
      <c r="BD88" s="109"/>
      <c r="BE88" s="36" t="s">
        <v>863</v>
      </c>
      <c r="BF88" s="109">
        <v>40</v>
      </c>
      <c r="BG88" s="109">
        <v>50</v>
      </c>
      <c r="BH88" s="110">
        <v>20704001</v>
      </c>
      <c r="BI88" s="36">
        <v>1000</v>
      </c>
      <c r="BJ88" s="109">
        <v>1</v>
      </c>
      <c r="BK88" s="36">
        <v>1</v>
      </c>
      <c r="BM88" s="109"/>
      <c r="BN88" s="36" t="s">
        <v>863</v>
      </c>
      <c r="BO88" s="109">
        <v>40</v>
      </c>
      <c r="BP88" s="109">
        <v>50</v>
      </c>
      <c r="BQ88" s="110">
        <v>20704002</v>
      </c>
      <c r="BR88" s="36">
        <v>1000</v>
      </c>
      <c r="BS88" s="109">
        <v>1</v>
      </c>
      <c r="BT88" s="36">
        <v>1</v>
      </c>
      <c r="BV88" s="109"/>
      <c r="BW88" s="36" t="s">
        <v>863</v>
      </c>
      <c r="BX88" s="109">
        <v>40</v>
      </c>
      <c r="BY88" s="109">
        <v>50</v>
      </c>
      <c r="BZ88" s="110">
        <v>20704003</v>
      </c>
      <c r="CA88" s="36">
        <v>1000</v>
      </c>
      <c r="CB88" s="109">
        <v>1</v>
      </c>
      <c r="CC88" s="36">
        <v>1</v>
      </c>
      <c r="CE88" s="109"/>
      <c r="CF88" s="36" t="s">
        <v>863</v>
      </c>
      <c r="CG88" s="109">
        <v>40</v>
      </c>
      <c r="CH88" s="109">
        <v>50</v>
      </c>
      <c r="CI88" s="110">
        <v>20704004</v>
      </c>
      <c r="CJ88" s="36">
        <v>1000</v>
      </c>
      <c r="CK88" s="109">
        <v>1</v>
      </c>
      <c r="CL88" s="36">
        <v>1</v>
      </c>
      <c r="CN88" s="109"/>
    </row>
    <row r="89" spans="23:92" x14ac:dyDescent="0.15">
      <c r="AE89" s="36" t="s">
        <v>509</v>
      </c>
      <c r="AF89" s="109">
        <v>11</v>
      </c>
      <c r="AG89" s="36">
        <v>20</v>
      </c>
      <c r="AH89" s="108">
        <v>30201801</v>
      </c>
      <c r="AI89" s="36">
        <v>100</v>
      </c>
      <c r="AJ89" s="36">
        <v>1</v>
      </c>
      <c r="AK89" s="36">
        <v>1</v>
      </c>
      <c r="AU89" s="109"/>
      <c r="AV89" s="36" t="s">
        <v>864</v>
      </c>
      <c r="AW89" s="109">
        <v>45</v>
      </c>
      <c r="AX89" s="109">
        <v>50</v>
      </c>
      <c r="AY89" s="110">
        <v>20704500</v>
      </c>
      <c r="AZ89" s="36">
        <v>1000</v>
      </c>
      <c r="BA89" s="109">
        <v>1</v>
      </c>
      <c r="BB89" s="36">
        <v>1</v>
      </c>
      <c r="BD89" s="109"/>
      <c r="BE89" s="36" t="s">
        <v>864</v>
      </c>
      <c r="BF89" s="109">
        <v>45</v>
      </c>
      <c r="BG89" s="109">
        <v>50</v>
      </c>
      <c r="BH89" s="110">
        <v>20704501</v>
      </c>
      <c r="BI89" s="36">
        <v>1000</v>
      </c>
      <c r="BJ89" s="109">
        <v>1</v>
      </c>
      <c r="BK89" s="36">
        <v>1</v>
      </c>
      <c r="BM89" s="109"/>
      <c r="BN89" s="36" t="s">
        <v>864</v>
      </c>
      <c r="BO89" s="109">
        <v>45</v>
      </c>
      <c r="BP89" s="109">
        <v>50</v>
      </c>
      <c r="BQ89" s="110">
        <v>20704502</v>
      </c>
      <c r="BR89" s="36">
        <v>1000</v>
      </c>
      <c r="BS89" s="109">
        <v>1</v>
      </c>
      <c r="BT89" s="36">
        <v>1</v>
      </c>
      <c r="BV89" s="109"/>
      <c r="BW89" s="36" t="s">
        <v>864</v>
      </c>
      <c r="BX89" s="109">
        <v>45</v>
      </c>
      <c r="BY89" s="109">
        <v>50</v>
      </c>
      <c r="BZ89" s="110">
        <v>20704503</v>
      </c>
      <c r="CA89" s="36">
        <v>1000</v>
      </c>
      <c r="CB89" s="109">
        <v>1</v>
      </c>
      <c r="CC89" s="36">
        <v>1</v>
      </c>
      <c r="CE89" s="109"/>
      <c r="CF89" s="36" t="s">
        <v>864</v>
      </c>
      <c r="CG89" s="109">
        <v>45</v>
      </c>
      <c r="CH89" s="109">
        <v>50</v>
      </c>
      <c r="CI89" s="110">
        <v>20704504</v>
      </c>
      <c r="CJ89" s="36">
        <v>1000</v>
      </c>
      <c r="CK89" s="109">
        <v>1</v>
      </c>
      <c r="CL89" s="36">
        <v>1</v>
      </c>
    </row>
    <row r="90" spans="23:92" x14ac:dyDescent="0.15">
      <c r="AE90" s="36" t="s">
        <v>512</v>
      </c>
      <c r="AF90" s="109">
        <v>21</v>
      </c>
      <c r="AG90" s="36">
        <v>30</v>
      </c>
      <c r="AH90" s="108">
        <v>30201802</v>
      </c>
      <c r="AI90" s="36">
        <v>100</v>
      </c>
      <c r="AJ90" s="36">
        <v>1</v>
      </c>
      <c r="AK90" s="36">
        <v>1</v>
      </c>
      <c r="AU90" s="109"/>
      <c r="AV90" s="36" t="s">
        <v>865</v>
      </c>
      <c r="AW90" s="109">
        <v>45</v>
      </c>
      <c r="AX90" s="109">
        <v>50</v>
      </c>
      <c r="AY90" s="110">
        <v>20705000</v>
      </c>
      <c r="AZ90" s="36">
        <v>1000</v>
      </c>
      <c r="BA90" s="109">
        <v>1</v>
      </c>
      <c r="BB90" s="36">
        <v>1</v>
      </c>
      <c r="BD90" s="109"/>
      <c r="BE90" s="36" t="s">
        <v>865</v>
      </c>
      <c r="BF90" s="109">
        <v>45</v>
      </c>
      <c r="BG90" s="109">
        <v>50</v>
      </c>
      <c r="BH90" s="110">
        <v>20705001</v>
      </c>
      <c r="BI90" s="36">
        <v>1000</v>
      </c>
      <c r="BJ90" s="109">
        <v>1</v>
      </c>
      <c r="BK90" s="36">
        <v>1</v>
      </c>
      <c r="BM90" s="109"/>
      <c r="BN90" s="36" t="s">
        <v>865</v>
      </c>
      <c r="BO90" s="109">
        <v>45</v>
      </c>
      <c r="BP90" s="109">
        <v>50</v>
      </c>
      <c r="BQ90" s="110">
        <v>20705002</v>
      </c>
      <c r="BR90" s="36">
        <v>1000</v>
      </c>
      <c r="BS90" s="109">
        <v>1</v>
      </c>
      <c r="BT90" s="36">
        <v>1</v>
      </c>
      <c r="BV90" s="109"/>
      <c r="BW90" s="36" t="s">
        <v>865</v>
      </c>
      <c r="BX90" s="109">
        <v>45</v>
      </c>
      <c r="BY90" s="109">
        <v>50</v>
      </c>
      <c r="BZ90" s="110">
        <v>20705003</v>
      </c>
      <c r="CA90" s="36">
        <v>1000</v>
      </c>
      <c r="CB90" s="109">
        <v>1</v>
      </c>
      <c r="CC90" s="36">
        <v>1</v>
      </c>
      <c r="CE90" s="109"/>
      <c r="CF90" s="36" t="s">
        <v>865</v>
      </c>
      <c r="CG90" s="109">
        <v>45</v>
      </c>
      <c r="CH90" s="109">
        <v>50</v>
      </c>
      <c r="CI90" s="110">
        <v>20705004</v>
      </c>
      <c r="CJ90" s="36">
        <v>1000</v>
      </c>
      <c r="CK90" s="109">
        <v>1</v>
      </c>
      <c r="CL90" s="36">
        <v>1</v>
      </c>
    </row>
    <row r="91" spans="23:92" x14ac:dyDescent="0.15">
      <c r="AE91" s="36" t="s">
        <v>515</v>
      </c>
      <c r="AF91" s="109">
        <v>31</v>
      </c>
      <c r="AG91" s="36">
        <v>40</v>
      </c>
      <c r="AH91" s="108">
        <v>30201803</v>
      </c>
      <c r="AI91" s="36">
        <v>100</v>
      </c>
      <c r="AJ91" s="36">
        <v>1</v>
      </c>
      <c r="AK91" s="36">
        <v>1</v>
      </c>
      <c r="AU91" s="109"/>
      <c r="AW91" s="109"/>
      <c r="AX91" s="109"/>
      <c r="AY91" s="110"/>
      <c r="BA91" s="109"/>
      <c r="BD91" s="109"/>
      <c r="BF91" s="109"/>
      <c r="BG91" s="109"/>
      <c r="BH91" s="110"/>
      <c r="BJ91" s="109"/>
      <c r="BM91" s="109"/>
      <c r="BO91" s="109"/>
      <c r="BP91" s="109"/>
      <c r="BQ91" s="110"/>
      <c r="BS91" s="109"/>
      <c r="BV91" s="109"/>
      <c r="BX91" s="109"/>
      <c r="BY91" s="109"/>
      <c r="BZ91" s="110"/>
      <c r="CB91" s="109"/>
      <c r="CE91" s="109"/>
      <c r="CG91" s="109"/>
      <c r="CH91" s="109"/>
      <c r="CI91" s="110"/>
      <c r="CK91" s="109"/>
    </row>
    <row r="92" spans="23:92" x14ac:dyDescent="0.15">
      <c r="AE92" s="36" t="s">
        <v>518</v>
      </c>
      <c r="AF92" s="109">
        <v>41</v>
      </c>
      <c r="AG92" s="36">
        <v>50</v>
      </c>
      <c r="AH92" s="108">
        <v>30201804</v>
      </c>
      <c r="AI92" s="36">
        <v>100</v>
      </c>
      <c r="AJ92" s="36">
        <v>1</v>
      </c>
      <c r="AK92" s="36">
        <v>1</v>
      </c>
      <c r="AU92" s="109"/>
      <c r="AW92" s="109"/>
      <c r="AX92" s="109"/>
      <c r="AY92" s="110"/>
      <c r="BA92" s="109"/>
      <c r="BD92" s="109"/>
      <c r="BF92" s="109"/>
      <c r="BG92" s="109"/>
      <c r="BH92" s="110"/>
      <c r="BJ92" s="109"/>
      <c r="BM92" s="109"/>
      <c r="BO92" s="109"/>
      <c r="BP92" s="109"/>
      <c r="BQ92" s="110"/>
      <c r="BS92" s="109"/>
      <c r="BV92" s="109"/>
      <c r="BX92" s="109"/>
      <c r="BY92" s="109"/>
      <c r="BZ92" s="110"/>
      <c r="CB92" s="109"/>
      <c r="CE92" s="109"/>
      <c r="CG92" s="109"/>
      <c r="CH92" s="109"/>
      <c r="CI92" s="110"/>
      <c r="CK92" s="109"/>
    </row>
    <row r="93" spans="23:92" x14ac:dyDescent="0.15">
      <c r="AU93" s="109"/>
      <c r="AW93" s="109"/>
      <c r="AX93" s="109"/>
      <c r="AY93" s="110"/>
      <c r="BA93" s="109"/>
      <c r="BD93" s="109"/>
      <c r="BF93" s="109"/>
      <c r="BG93" s="109"/>
      <c r="BH93" s="110"/>
      <c r="BJ93" s="109"/>
      <c r="BM93" s="109"/>
      <c r="BO93" s="109"/>
      <c r="BP93" s="109"/>
      <c r="BQ93" s="110"/>
      <c r="BS93" s="109"/>
      <c r="BV93" s="109"/>
      <c r="BX93" s="109"/>
      <c r="BY93" s="109"/>
      <c r="BZ93" s="110"/>
      <c r="CB93" s="109"/>
      <c r="CE93" s="109"/>
      <c r="CG93" s="109"/>
      <c r="CH93" s="109"/>
      <c r="CI93" s="110"/>
      <c r="CK93" s="109"/>
    </row>
    <row r="94" spans="23:92" x14ac:dyDescent="0.15">
      <c r="AU94" s="109"/>
      <c r="AW94" s="109"/>
      <c r="AX94" s="109"/>
      <c r="AY94" s="110"/>
      <c r="BA94" s="109"/>
      <c r="BD94" s="109"/>
      <c r="BF94" s="109"/>
      <c r="BG94" s="109"/>
      <c r="BH94" s="110"/>
      <c r="BJ94" s="109"/>
      <c r="BM94" s="109"/>
      <c r="BO94" s="109"/>
      <c r="BP94" s="109"/>
      <c r="BQ94" s="110"/>
      <c r="BS94" s="109"/>
      <c r="BV94" s="109"/>
      <c r="BX94" s="109"/>
      <c r="BY94" s="109"/>
      <c r="BZ94" s="110"/>
      <c r="CB94" s="109"/>
      <c r="CE94" s="109"/>
      <c r="CG94" s="109"/>
      <c r="CH94" s="109"/>
      <c r="CI94" s="110"/>
      <c r="CK94" s="109"/>
    </row>
    <row r="95" spans="23:92" x14ac:dyDescent="0.15">
      <c r="AU95" s="109"/>
      <c r="AW95" s="109"/>
      <c r="AX95" s="109"/>
      <c r="AY95" s="110"/>
      <c r="BA95" s="109"/>
      <c r="BD95" s="109"/>
      <c r="BF95" s="109"/>
      <c r="BG95" s="109"/>
      <c r="BH95" s="110"/>
      <c r="BJ95" s="109"/>
      <c r="BM95" s="109"/>
      <c r="BO95" s="109"/>
      <c r="BP95" s="109"/>
      <c r="BQ95" s="110"/>
      <c r="BS95" s="109"/>
      <c r="BV95" s="109"/>
      <c r="BX95" s="109"/>
      <c r="BY95" s="109"/>
      <c r="BZ95" s="110"/>
      <c r="CB95" s="109"/>
      <c r="CE95" s="109"/>
      <c r="CG95" s="109"/>
      <c r="CH95" s="109"/>
      <c r="CI95" s="110"/>
      <c r="CK95" s="109"/>
    </row>
    <row r="96" spans="23:92" x14ac:dyDescent="0.15">
      <c r="AU96" s="109"/>
      <c r="AW96" s="109"/>
      <c r="AX96" s="109"/>
      <c r="AY96" s="110"/>
      <c r="BA96" s="109"/>
      <c r="BD96" s="109"/>
      <c r="BF96" s="109"/>
      <c r="BG96" s="109"/>
      <c r="BH96" s="110"/>
      <c r="BJ96" s="109"/>
      <c r="BM96" s="109"/>
      <c r="BO96" s="109"/>
      <c r="BP96" s="109"/>
      <c r="BQ96" s="110"/>
      <c r="BS96" s="109"/>
      <c r="BV96" s="109"/>
      <c r="BX96" s="109"/>
      <c r="BY96" s="109"/>
      <c r="BZ96" s="110"/>
      <c r="CB96" s="109"/>
      <c r="CE96" s="109"/>
      <c r="CG96" s="109"/>
      <c r="CH96" s="109"/>
      <c r="CI96" s="110"/>
      <c r="CK96" s="109"/>
    </row>
    <row r="97" spans="47:89" x14ac:dyDescent="0.15">
      <c r="AU97" s="109"/>
      <c r="AW97" s="109"/>
      <c r="AX97" s="109"/>
      <c r="AY97" s="110"/>
      <c r="BA97" s="109"/>
      <c r="BD97" s="109"/>
      <c r="BF97" s="109"/>
      <c r="BG97" s="109"/>
      <c r="BH97" s="110"/>
      <c r="BJ97" s="109"/>
      <c r="BM97" s="109"/>
      <c r="BO97" s="109"/>
      <c r="BP97" s="109"/>
      <c r="BQ97" s="110"/>
      <c r="BS97" s="109"/>
      <c r="BV97" s="109"/>
      <c r="BX97" s="109"/>
      <c r="BY97" s="109"/>
      <c r="BZ97" s="110"/>
      <c r="CB97" s="109"/>
      <c r="CE97" s="109"/>
      <c r="CG97" s="109"/>
      <c r="CH97" s="109"/>
      <c r="CI97" s="110"/>
      <c r="CK97" s="109"/>
    </row>
    <row r="98" spans="47:89" x14ac:dyDescent="0.15">
      <c r="AU98" s="109"/>
      <c r="AW98" s="109"/>
      <c r="AX98" s="109"/>
      <c r="AY98" s="110"/>
      <c r="BA98" s="109"/>
      <c r="BD98" s="109"/>
      <c r="BF98" s="109"/>
      <c r="BG98" s="109"/>
      <c r="BH98" s="110"/>
      <c r="BJ98" s="109"/>
      <c r="BM98" s="109"/>
      <c r="BO98" s="109"/>
      <c r="BP98" s="109"/>
      <c r="BQ98" s="110"/>
      <c r="BS98" s="109"/>
      <c r="BV98" s="109"/>
      <c r="BX98" s="109"/>
      <c r="BY98" s="109"/>
      <c r="BZ98" s="110"/>
      <c r="CB98" s="109"/>
      <c r="CE98" s="109"/>
      <c r="CG98" s="109"/>
      <c r="CH98" s="109"/>
      <c r="CI98" s="110"/>
      <c r="CK98" s="109"/>
    </row>
    <row r="99" spans="47:89" x14ac:dyDescent="0.15">
      <c r="AU99" s="109"/>
      <c r="AW99" s="109"/>
      <c r="AX99" s="109"/>
      <c r="AY99" s="110"/>
      <c r="BA99" s="109"/>
      <c r="BD99" s="109"/>
      <c r="BF99" s="109"/>
      <c r="BG99" s="109"/>
      <c r="BH99" s="110"/>
      <c r="BJ99" s="109"/>
      <c r="BM99" s="109"/>
      <c r="BO99" s="109"/>
      <c r="BP99" s="109"/>
      <c r="BQ99" s="110"/>
      <c r="BS99" s="109"/>
      <c r="BV99" s="109"/>
      <c r="BX99" s="109"/>
      <c r="BY99" s="109"/>
      <c r="BZ99" s="110"/>
      <c r="CB99" s="109"/>
      <c r="CE99" s="109"/>
      <c r="CG99" s="109"/>
      <c r="CH99" s="109"/>
      <c r="CI99" s="110"/>
      <c r="CK99" s="109"/>
    </row>
    <row r="100" spans="47:89" x14ac:dyDescent="0.15">
      <c r="AU100" s="109"/>
      <c r="AW100" s="109"/>
      <c r="AX100" s="109"/>
      <c r="AY100" s="110"/>
      <c r="BA100" s="109"/>
      <c r="BD100" s="109"/>
      <c r="BF100" s="109"/>
      <c r="BG100" s="109"/>
      <c r="BH100" s="110"/>
      <c r="BJ100" s="109"/>
      <c r="BM100" s="109"/>
      <c r="BO100" s="109"/>
      <c r="BP100" s="109"/>
      <c r="BQ100" s="110"/>
      <c r="BS100" s="109"/>
      <c r="BV100" s="109"/>
      <c r="BX100" s="109"/>
      <c r="BY100" s="109"/>
      <c r="BZ100" s="110"/>
      <c r="CB100" s="109"/>
      <c r="CE100" s="109"/>
      <c r="CG100" s="109"/>
      <c r="CH100" s="109"/>
      <c r="CI100" s="110"/>
      <c r="CK100" s="109"/>
    </row>
    <row r="101" spans="47:89" x14ac:dyDescent="0.15">
      <c r="AU101" s="109"/>
      <c r="AW101" s="109"/>
      <c r="AX101" s="109"/>
      <c r="AY101" s="110"/>
      <c r="BA101" s="109"/>
      <c r="BD101" s="109"/>
      <c r="BF101" s="109"/>
      <c r="BG101" s="109"/>
      <c r="BH101" s="110"/>
      <c r="BJ101" s="109"/>
      <c r="BM101" s="109"/>
      <c r="BO101" s="109"/>
      <c r="BP101" s="109"/>
      <c r="BQ101" s="110"/>
      <c r="BS101" s="109"/>
      <c r="BV101" s="109"/>
      <c r="BX101" s="109"/>
      <c r="BY101" s="109"/>
      <c r="BZ101" s="110"/>
      <c r="CB101" s="109"/>
      <c r="CE101" s="109"/>
      <c r="CG101" s="109"/>
      <c r="CH101" s="109"/>
      <c r="CI101" s="110"/>
      <c r="CK101" s="109"/>
    </row>
    <row r="102" spans="47:89" x14ac:dyDescent="0.15">
      <c r="AU102" s="109"/>
      <c r="AW102" s="109"/>
      <c r="AX102" s="109"/>
      <c r="AY102" s="110"/>
      <c r="BA102" s="109"/>
      <c r="BD102" s="109"/>
      <c r="BF102" s="109"/>
      <c r="BG102" s="109"/>
      <c r="BH102" s="110"/>
      <c r="BJ102" s="109"/>
      <c r="BM102" s="109"/>
      <c r="BO102" s="109"/>
      <c r="BP102" s="109"/>
      <c r="BQ102" s="110"/>
      <c r="BS102" s="109"/>
      <c r="BV102" s="109"/>
      <c r="BX102" s="109"/>
      <c r="BY102" s="109"/>
      <c r="BZ102" s="110"/>
      <c r="CB102" s="109"/>
      <c r="CE102" s="109"/>
      <c r="CG102" s="109"/>
      <c r="CH102" s="109"/>
      <c r="CI102" s="110"/>
      <c r="CK102" s="109"/>
    </row>
    <row r="103" spans="47:89" x14ac:dyDescent="0.15">
      <c r="AU103" s="109"/>
      <c r="AW103" s="109"/>
      <c r="AX103" s="109"/>
      <c r="AY103" s="110"/>
      <c r="BA103" s="109"/>
      <c r="BD103" s="109"/>
      <c r="BF103" s="109"/>
      <c r="BG103" s="109"/>
      <c r="BH103" s="110"/>
      <c r="BJ103" s="109"/>
      <c r="BM103" s="109"/>
      <c r="BO103" s="109"/>
      <c r="BP103" s="109"/>
      <c r="BQ103" s="110"/>
      <c r="BS103" s="109"/>
      <c r="BV103" s="109"/>
      <c r="BX103" s="109"/>
      <c r="BY103" s="109"/>
      <c r="BZ103" s="110"/>
      <c r="CB103" s="109"/>
      <c r="CE103" s="109"/>
      <c r="CG103" s="109"/>
      <c r="CH103" s="109"/>
      <c r="CI103" s="110"/>
      <c r="CK103" s="109"/>
    </row>
    <row r="104" spans="47:89" x14ac:dyDescent="0.15">
      <c r="AU104" s="109"/>
      <c r="AW104" s="109"/>
      <c r="AX104" s="109"/>
      <c r="AY104" s="110"/>
      <c r="BA104" s="109"/>
      <c r="BD104" s="109"/>
      <c r="BF104" s="109"/>
      <c r="BG104" s="109"/>
      <c r="BH104" s="110"/>
      <c r="BJ104" s="109"/>
      <c r="BM104" s="109"/>
      <c r="BO104" s="109"/>
      <c r="BP104" s="109"/>
      <c r="BQ104" s="110"/>
      <c r="BS104" s="109"/>
      <c r="BV104" s="109"/>
      <c r="BX104" s="109"/>
      <c r="BY104" s="109"/>
      <c r="BZ104" s="110"/>
      <c r="CB104" s="109"/>
      <c r="CE104" s="109"/>
      <c r="CG104" s="109"/>
      <c r="CH104" s="109"/>
      <c r="CI104" s="110"/>
      <c r="CK104" s="109"/>
    </row>
    <row r="105" spans="47:89" x14ac:dyDescent="0.15">
      <c r="AU105" s="109"/>
      <c r="AW105" s="109"/>
      <c r="AX105" s="109"/>
      <c r="AY105" s="110"/>
      <c r="BA105" s="109"/>
      <c r="BD105" s="109"/>
      <c r="BF105" s="109"/>
      <c r="BG105" s="109"/>
      <c r="BH105" s="110"/>
      <c r="BJ105" s="109"/>
      <c r="BM105" s="109"/>
      <c r="BO105" s="109"/>
      <c r="BP105" s="109"/>
      <c r="BQ105" s="110"/>
      <c r="BS105" s="109"/>
      <c r="BV105" s="109"/>
      <c r="BX105" s="109"/>
      <c r="BY105" s="109"/>
      <c r="BZ105" s="110"/>
      <c r="CB105" s="109"/>
      <c r="CE105" s="109"/>
      <c r="CG105" s="109"/>
      <c r="CH105" s="109"/>
      <c r="CI105" s="110"/>
      <c r="CK105" s="109"/>
    </row>
    <row r="106" spans="47:89" x14ac:dyDescent="0.15">
      <c r="AU106" s="109"/>
      <c r="AW106" s="109"/>
      <c r="AX106" s="109"/>
      <c r="AY106" s="110"/>
      <c r="BA106" s="109"/>
      <c r="BD106" s="109"/>
      <c r="BF106" s="109"/>
      <c r="BG106" s="109"/>
      <c r="BH106" s="110"/>
      <c r="BJ106" s="109"/>
      <c r="BM106" s="109"/>
      <c r="BO106" s="109"/>
      <c r="BP106" s="109"/>
      <c r="BQ106" s="110"/>
      <c r="BS106" s="109"/>
      <c r="BV106" s="109"/>
      <c r="BX106" s="109"/>
      <c r="BY106" s="109"/>
      <c r="BZ106" s="110"/>
      <c r="CB106" s="109"/>
      <c r="CE106" s="109"/>
      <c r="CG106" s="109"/>
      <c r="CH106" s="109"/>
      <c r="CI106" s="110"/>
      <c r="CK106" s="109"/>
    </row>
    <row r="107" spans="47:89" x14ac:dyDescent="0.15">
      <c r="AU107" s="109"/>
      <c r="AW107" s="109"/>
      <c r="AX107" s="109"/>
      <c r="AY107" s="110"/>
      <c r="BA107" s="109"/>
      <c r="BD107" s="109"/>
      <c r="BF107" s="109"/>
      <c r="BG107" s="109"/>
      <c r="BH107" s="110"/>
      <c r="BJ107" s="109"/>
      <c r="BM107" s="109"/>
      <c r="BO107" s="109"/>
      <c r="BP107" s="109"/>
      <c r="BQ107" s="110"/>
      <c r="BS107" s="109"/>
      <c r="BV107" s="109"/>
      <c r="BX107" s="109"/>
      <c r="BY107" s="109"/>
      <c r="BZ107" s="110"/>
      <c r="CB107" s="109"/>
      <c r="CE107" s="109"/>
      <c r="CG107" s="109"/>
      <c r="CH107" s="109"/>
      <c r="CI107" s="110"/>
      <c r="CK107" s="109"/>
    </row>
    <row r="108" spans="47:89" x14ac:dyDescent="0.15">
      <c r="AU108" s="109"/>
      <c r="AW108" s="109"/>
      <c r="AX108" s="109"/>
      <c r="AY108" s="110"/>
      <c r="BA108" s="109"/>
      <c r="BD108" s="109"/>
      <c r="BF108" s="109"/>
      <c r="BG108" s="109"/>
      <c r="BH108" s="110"/>
      <c r="BJ108" s="109"/>
      <c r="BM108" s="109"/>
      <c r="BO108" s="109"/>
      <c r="BP108" s="109"/>
      <c r="BQ108" s="110"/>
      <c r="BS108" s="109"/>
      <c r="BV108" s="109"/>
      <c r="BX108" s="109"/>
      <c r="BY108" s="109"/>
      <c r="BZ108" s="110"/>
      <c r="CB108" s="109"/>
      <c r="CE108" s="109"/>
      <c r="CG108" s="109"/>
      <c r="CH108" s="109"/>
      <c r="CI108" s="110"/>
      <c r="CK108" s="109"/>
    </row>
    <row r="109" spans="47:89" x14ac:dyDescent="0.15">
      <c r="AU109" s="109"/>
      <c r="AW109" s="109"/>
      <c r="AX109" s="109"/>
      <c r="AY109" s="110"/>
      <c r="BA109" s="109"/>
      <c r="BD109" s="109"/>
      <c r="BF109" s="109"/>
      <c r="BG109" s="109"/>
      <c r="BH109" s="110"/>
      <c r="BJ109" s="109"/>
      <c r="BM109" s="109"/>
      <c r="BO109" s="109"/>
      <c r="BP109" s="109"/>
      <c r="BQ109" s="110"/>
      <c r="BS109" s="109"/>
      <c r="BV109" s="109"/>
      <c r="BX109" s="109"/>
      <c r="BY109" s="109"/>
      <c r="BZ109" s="110"/>
      <c r="CB109" s="109"/>
      <c r="CE109" s="109"/>
      <c r="CG109" s="109"/>
      <c r="CH109" s="109"/>
      <c r="CI109" s="110"/>
      <c r="CK109" s="109"/>
    </row>
    <row r="110" spans="47:89" x14ac:dyDescent="0.15">
      <c r="AU110" s="109"/>
      <c r="AW110" s="109"/>
      <c r="AX110" s="109"/>
      <c r="AY110" s="110"/>
      <c r="BA110" s="109"/>
      <c r="BD110" s="109"/>
      <c r="BF110" s="109"/>
      <c r="BG110" s="109"/>
      <c r="BH110" s="110"/>
      <c r="BJ110" s="109"/>
      <c r="BM110" s="109"/>
      <c r="BO110" s="109"/>
      <c r="BP110" s="109"/>
      <c r="BQ110" s="110"/>
      <c r="BS110" s="109"/>
      <c r="BV110" s="109"/>
      <c r="BX110" s="109"/>
      <c r="BY110" s="109"/>
      <c r="BZ110" s="110"/>
      <c r="CB110" s="109"/>
      <c r="CE110" s="109"/>
      <c r="CG110" s="109"/>
      <c r="CH110" s="109"/>
      <c r="CI110" s="110"/>
      <c r="CK110" s="109"/>
    </row>
    <row r="111" spans="47:89" x14ac:dyDescent="0.15">
      <c r="AU111" s="109"/>
      <c r="AW111" s="109"/>
      <c r="AX111" s="109"/>
      <c r="AY111" s="110"/>
      <c r="BA111" s="109"/>
      <c r="BD111" s="109"/>
      <c r="BF111" s="109"/>
      <c r="BG111" s="109"/>
      <c r="BH111" s="110"/>
      <c r="BJ111" s="109"/>
      <c r="BM111" s="109"/>
      <c r="BO111" s="109"/>
      <c r="BP111" s="109"/>
      <c r="BQ111" s="110"/>
      <c r="BS111" s="109"/>
      <c r="BV111" s="109"/>
      <c r="BX111" s="109"/>
      <c r="BY111" s="109"/>
      <c r="BZ111" s="110"/>
      <c r="CB111" s="109"/>
      <c r="CE111" s="109"/>
      <c r="CG111" s="109"/>
      <c r="CH111" s="109"/>
      <c r="CI111" s="110"/>
      <c r="CK111" s="109"/>
    </row>
    <row r="112" spans="47:89" x14ac:dyDescent="0.15">
      <c r="AU112" s="109"/>
      <c r="AW112" s="109"/>
      <c r="AX112" s="109"/>
      <c r="AY112" s="110"/>
      <c r="BA112" s="109"/>
      <c r="BD112" s="109"/>
      <c r="BF112" s="109"/>
      <c r="BG112" s="109"/>
      <c r="BH112" s="110"/>
      <c r="BJ112" s="109"/>
      <c r="BM112" s="109"/>
      <c r="BO112" s="109"/>
      <c r="BP112" s="109"/>
      <c r="BQ112" s="110"/>
      <c r="BS112" s="109"/>
      <c r="BV112" s="109"/>
      <c r="BX112" s="109"/>
      <c r="BY112" s="109"/>
      <c r="BZ112" s="110"/>
      <c r="CB112" s="109"/>
      <c r="CE112" s="109"/>
      <c r="CG112" s="109"/>
      <c r="CH112" s="109"/>
      <c r="CI112" s="110"/>
      <c r="CK112" s="109"/>
    </row>
    <row r="113" spans="47:89" x14ac:dyDescent="0.15">
      <c r="AU113" s="109"/>
      <c r="AW113" s="109"/>
      <c r="AX113" s="109"/>
      <c r="AY113" s="110"/>
      <c r="BA113" s="109"/>
      <c r="BD113" s="109"/>
      <c r="BF113" s="109"/>
      <c r="BG113" s="109"/>
      <c r="BH113" s="110"/>
      <c r="BJ113" s="109"/>
      <c r="BM113" s="109"/>
      <c r="BO113" s="109"/>
      <c r="BP113" s="109"/>
      <c r="BQ113" s="110"/>
      <c r="BS113" s="109"/>
      <c r="BV113" s="109"/>
      <c r="BX113" s="109"/>
      <c r="BY113" s="109"/>
      <c r="BZ113" s="110"/>
      <c r="CB113" s="109"/>
      <c r="CE113" s="109"/>
      <c r="CG113" s="109"/>
      <c r="CH113" s="109"/>
      <c r="CI113" s="110"/>
      <c r="CK113" s="109"/>
    </row>
    <row r="114" spans="47:89" x14ac:dyDescent="0.15">
      <c r="AU114" s="109"/>
      <c r="AW114" s="109"/>
      <c r="AX114" s="109"/>
      <c r="AY114" s="110"/>
      <c r="BA114" s="109"/>
      <c r="BD114" s="109"/>
      <c r="BF114" s="109"/>
      <c r="BG114" s="109"/>
      <c r="BH114" s="110"/>
      <c r="BJ114" s="109"/>
      <c r="BM114" s="109"/>
      <c r="BO114" s="109"/>
      <c r="BP114" s="109"/>
      <c r="BQ114" s="110"/>
      <c r="BS114" s="109"/>
      <c r="BV114" s="109"/>
      <c r="BX114" s="109"/>
      <c r="BY114" s="109"/>
      <c r="BZ114" s="110"/>
      <c r="CB114" s="109"/>
      <c r="CE114" s="109"/>
      <c r="CG114" s="109"/>
      <c r="CH114" s="109"/>
      <c r="CI114" s="110"/>
      <c r="CK114" s="109"/>
    </row>
    <row r="115" spans="47:89" x14ac:dyDescent="0.15">
      <c r="AU115" s="109"/>
      <c r="AW115" s="109"/>
      <c r="AX115" s="109"/>
      <c r="AY115" s="110"/>
      <c r="BA115" s="109"/>
      <c r="BD115" s="109"/>
      <c r="BF115" s="109"/>
      <c r="BG115" s="109"/>
      <c r="BH115" s="110"/>
      <c r="BJ115" s="109"/>
      <c r="BM115" s="109"/>
      <c r="BO115" s="109"/>
      <c r="BP115" s="109"/>
      <c r="BQ115" s="110"/>
      <c r="BS115" s="109"/>
      <c r="BV115" s="109"/>
      <c r="BX115" s="109"/>
      <c r="BY115" s="109"/>
      <c r="BZ115" s="110"/>
      <c r="CB115" s="109"/>
      <c r="CE115" s="109"/>
      <c r="CG115" s="109"/>
      <c r="CH115" s="109"/>
      <c r="CI115" s="110"/>
      <c r="CK115" s="109"/>
    </row>
    <row r="116" spans="47:89" x14ac:dyDescent="0.15">
      <c r="AU116" s="109"/>
      <c r="AW116" s="109"/>
      <c r="AX116" s="109"/>
      <c r="AY116" s="110"/>
      <c r="BA116" s="109"/>
      <c r="BD116" s="109"/>
      <c r="BF116" s="109"/>
      <c r="BG116" s="109"/>
      <c r="BH116" s="110"/>
      <c r="BJ116" s="109"/>
      <c r="BM116" s="109"/>
      <c r="BO116" s="109"/>
      <c r="BP116" s="109"/>
      <c r="BQ116" s="110"/>
      <c r="BS116" s="109"/>
      <c r="BV116" s="109"/>
      <c r="BX116" s="109"/>
      <c r="BY116" s="109"/>
      <c r="BZ116" s="110"/>
      <c r="CB116" s="109"/>
      <c r="CE116" s="109"/>
      <c r="CG116" s="109"/>
      <c r="CH116" s="109"/>
      <c r="CI116" s="110"/>
      <c r="CK116" s="109"/>
    </row>
    <row r="117" spans="47:89" x14ac:dyDescent="0.15">
      <c r="AU117" s="109"/>
      <c r="AW117" s="109"/>
      <c r="AX117" s="109"/>
      <c r="AY117" s="110"/>
      <c r="BA117" s="109"/>
      <c r="BD117" s="109"/>
      <c r="BF117" s="109"/>
      <c r="BG117" s="109"/>
      <c r="BH117" s="110"/>
      <c r="BJ117" s="109"/>
      <c r="BM117" s="109"/>
      <c r="BO117" s="109"/>
      <c r="BP117" s="109"/>
      <c r="BQ117" s="110"/>
      <c r="BS117" s="109"/>
      <c r="BV117" s="109"/>
      <c r="BX117" s="109"/>
      <c r="BY117" s="109"/>
      <c r="BZ117" s="110"/>
      <c r="CB117" s="109"/>
      <c r="CE117" s="109"/>
      <c r="CG117" s="109"/>
      <c r="CH117" s="109"/>
      <c r="CI117" s="110"/>
      <c r="CK117" s="109"/>
    </row>
    <row r="118" spans="47:89" x14ac:dyDescent="0.15">
      <c r="AU118" s="109"/>
      <c r="AW118" s="109"/>
      <c r="AX118" s="109"/>
      <c r="AY118" s="110"/>
      <c r="BA118" s="109"/>
      <c r="BD118" s="109"/>
      <c r="BF118" s="109"/>
      <c r="BG118" s="109"/>
      <c r="BH118" s="110"/>
      <c r="BJ118" s="109"/>
      <c r="BM118" s="109"/>
      <c r="BO118" s="109"/>
      <c r="BP118" s="109"/>
      <c r="BQ118" s="110"/>
      <c r="BS118" s="109"/>
      <c r="BV118" s="109"/>
      <c r="BX118" s="109"/>
      <c r="BY118" s="109"/>
      <c r="BZ118" s="110"/>
      <c r="CB118" s="109"/>
      <c r="CE118" s="109"/>
      <c r="CG118" s="109"/>
      <c r="CH118" s="109"/>
      <c r="CI118" s="110"/>
      <c r="CK118" s="109"/>
    </row>
    <row r="119" spans="47:89" x14ac:dyDescent="0.15">
      <c r="AU119" s="109"/>
      <c r="AW119" s="109"/>
      <c r="AX119" s="109"/>
      <c r="AY119" s="110"/>
      <c r="BA119" s="109"/>
      <c r="BD119" s="109"/>
      <c r="BF119" s="109"/>
      <c r="BG119" s="109"/>
      <c r="BH119" s="110"/>
      <c r="BJ119" s="109"/>
      <c r="BM119" s="109"/>
      <c r="BO119" s="109"/>
      <c r="BP119" s="109"/>
      <c r="BQ119" s="110"/>
      <c r="BS119" s="109"/>
      <c r="BV119" s="109"/>
      <c r="BX119" s="109"/>
      <c r="BY119" s="109"/>
      <c r="BZ119" s="110"/>
      <c r="CB119" s="109"/>
      <c r="CE119" s="109"/>
      <c r="CG119" s="109"/>
      <c r="CH119" s="109"/>
      <c r="CI119" s="110"/>
      <c r="CK119" s="109"/>
    </row>
    <row r="120" spans="47:89" x14ac:dyDescent="0.15">
      <c r="AU120" s="109"/>
      <c r="AW120" s="109"/>
      <c r="AX120" s="109"/>
      <c r="AY120" s="110"/>
      <c r="BA120" s="109"/>
      <c r="BD120" s="109"/>
      <c r="BF120" s="109"/>
      <c r="BG120" s="109"/>
      <c r="BH120" s="110"/>
      <c r="BJ120" s="109"/>
      <c r="BM120" s="109"/>
      <c r="BO120" s="109"/>
      <c r="BP120" s="109"/>
      <c r="BQ120" s="110"/>
      <c r="BS120" s="109"/>
      <c r="BV120" s="109"/>
      <c r="BX120" s="109"/>
      <c r="BY120" s="109"/>
      <c r="BZ120" s="110"/>
      <c r="CB120" s="109"/>
      <c r="CE120" s="109"/>
      <c r="CG120" s="109"/>
      <c r="CH120" s="109"/>
      <c r="CI120" s="110"/>
      <c r="CK120" s="109"/>
    </row>
    <row r="121" spans="47:89" x14ac:dyDescent="0.15">
      <c r="AU121" s="109"/>
      <c r="AW121" s="109"/>
      <c r="AX121" s="109"/>
      <c r="AY121" s="110"/>
      <c r="BA121" s="109"/>
      <c r="BD121" s="109"/>
      <c r="BF121" s="109"/>
      <c r="BG121" s="109"/>
      <c r="BH121" s="110"/>
      <c r="BJ121" s="109"/>
      <c r="BM121" s="109"/>
      <c r="BO121" s="109"/>
      <c r="BP121" s="109"/>
      <c r="BQ121" s="110"/>
      <c r="BS121" s="109"/>
      <c r="BV121" s="109"/>
      <c r="BX121" s="109"/>
      <c r="BY121" s="109"/>
      <c r="BZ121" s="110"/>
      <c r="CB121" s="109"/>
      <c r="CE121" s="109"/>
      <c r="CG121" s="109"/>
      <c r="CH121" s="109"/>
      <c r="CI121" s="110"/>
      <c r="CK121" s="109"/>
    </row>
    <row r="122" spans="47:89" x14ac:dyDescent="0.15">
      <c r="AU122" s="109"/>
      <c r="AW122" s="109"/>
      <c r="AX122" s="109"/>
      <c r="AY122" s="110"/>
      <c r="BA122" s="109"/>
      <c r="BD122" s="109"/>
      <c r="BF122" s="109"/>
      <c r="BG122" s="109"/>
      <c r="BH122" s="110"/>
      <c r="BJ122" s="109"/>
      <c r="BM122" s="109"/>
      <c r="BO122" s="109"/>
      <c r="BP122" s="109"/>
      <c r="BQ122" s="110"/>
      <c r="BS122" s="109"/>
      <c r="BV122" s="109"/>
      <c r="BX122" s="109"/>
      <c r="BY122" s="109"/>
      <c r="BZ122" s="110"/>
      <c r="CB122" s="109"/>
      <c r="CE122" s="109"/>
      <c r="CG122" s="109"/>
      <c r="CH122" s="109"/>
      <c r="CI122" s="110"/>
      <c r="CK122" s="109"/>
    </row>
    <row r="123" spans="47:89" x14ac:dyDescent="0.15">
      <c r="AU123" s="109"/>
      <c r="AW123" s="109"/>
      <c r="AX123" s="109"/>
      <c r="AY123" s="110"/>
      <c r="BA123" s="109"/>
      <c r="BD123" s="109"/>
      <c r="BF123" s="109"/>
      <c r="BG123" s="109"/>
      <c r="BH123" s="110"/>
      <c r="BJ123" s="109"/>
      <c r="BM123" s="109"/>
      <c r="BO123" s="109"/>
      <c r="BP123" s="109"/>
      <c r="BQ123" s="110"/>
      <c r="BS123" s="109"/>
      <c r="BV123" s="109"/>
      <c r="BX123" s="109"/>
      <c r="BY123" s="109"/>
      <c r="BZ123" s="110"/>
      <c r="CB123" s="109"/>
      <c r="CE123" s="109"/>
      <c r="CG123" s="109"/>
      <c r="CH123" s="109"/>
      <c r="CI123" s="110"/>
      <c r="CK123" s="109"/>
    </row>
    <row r="124" spans="47:89" x14ac:dyDescent="0.15">
      <c r="AU124" s="109"/>
      <c r="AW124" s="109"/>
      <c r="AX124" s="109"/>
      <c r="AY124" s="110"/>
      <c r="BA124" s="109"/>
      <c r="BD124" s="109"/>
      <c r="BF124" s="109"/>
      <c r="BG124" s="109"/>
      <c r="BH124" s="110"/>
      <c r="BJ124" s="109"/>
      <c r="BM124" s="109"/>
      <c r="BO124" s="109"/>
      <c r="BP124" s="109"/>
      <c r="BQ124" s="110"/>
      <c r="BS124" s="109"/>
      <c r="BV124" s="109"/>
      <c r="BX124" s="109"/>
      <c r="BY124" s="109"/>
      <c r="BZ124" s="110"/>
      <c r="CB124" s="109"/>
      <c r="CE124" s="109"/>
      <c r="CG124" s="109"/>
      <c r="CH124" s="109"/>
      <c r="CI124" s="110"/>
      <c r="CK124" s="109"/>
    </row>
    <row r="125" spans="47:89" x14ac:dyDescent="0.15">
      <c r="AU125" s="109"/>
      <c r="AW125" s="109"/>
      <c r="AX125" s="109"/>
      <c r="AY125" s="110"/>
      <c r="BA125" s="109"/>
      <c r="BD125" s="109"/>
      <c r="BF125" s="109"/>
      <c r="BG125" s="109"/>
      <c r="BH125" s="110"/>
      <c r="BJ125" s="109"/>
      <c r="BM125" s="109"/>
      <c r="BO125" s="109"/>
      <c r="BP125" s="109"/>
      <c r="BQ125" s="110"/>
      <c r="BS125" s="109"/>
      <c r="BV125" s="109"/>
      <c r="BX125" s="109"/>
      <c r="BY125" s="109"/>
      <c r="BZ125" s="110"/>
      <c r="CB125" s="109"/>
      <c r="CE125" s="109"/>
      <c r="CG125" s="109"/>
      <c r="CH125" s="109"/>
      <c r="CI125" s="110"/>
      <c r="CK125" s="109"/>
    </row>
    <row r="126" spans="47:89" x14ac:dyDescent="0.15">
      <c r="AU126" s="109"/>
      <c r="AW126" s="109"/>
      <c r="AX126" s="109"/>
      <c r="AY126" s="110"/>
      <c r="BA126" s="109"/>
      <c r="BD126" s="109"/>
      <c r="BF126" s="109"/>
      <c r="BG126" s="109"/>
      <c r="BH126" s="110"/>
      <c r="BJ126" s="109"/>
      <c r="BM126" s="109"/>
      <c r="BO126" s="109"/>
      <c r="BP126" s="109"/>
      <c r="BQ126" s="110"/>
      <c r="BS126" s="109"/>
      <c r="BV126" s="109"/>
      <c r="BX126" s="109"/>
      <c r="BY126" s="109"/>
      <c r="BZ126" s="110"/>
      <c r="CB126" s="109"/>
      <c r="CE126" s="109"/>
      <c r="CG126" s="109"/>
      <c r="CH126" s="109"/>
      <c r="CI126" s="110"/>
      <c r="CK126" s="109"/>
    </row>
    <row r="127" spans="47:89" x14ac:dyDescent="0.15">
      <c r="AU127" s="109"/>
      <c r="AW127" s="109"/>
      <c r="AX127" s="109"/>
      <c r="AY127" s="110"/>
      <c r="BA127" s="109"/>
      <c r="BD127" s="109"/>
      <c r="BF127" s="109"/>
      <c r="BG127" s="109"/>
      <c r="BH127" s="110"/>
      <c r="BJ127" s="109"/>
      <c r="BM127" s="109"/>
      <c r="BO127" s="109"/>
      <c r="BP127" s="109"/>
      <c r="BQ127" s="110"/>
      <c r="BS127" s="109"/>
      <c r="BV127" s="109"/>
      <c r="BX127" s="109"/>
      <c r="BY127" s="109"/>
      <c r="BZ127" s="110"/>
      <c r="CB127" s="109"/>
      <c r="CE127" s="109"/>
      <c r="CG127" s="109"/>
      <c r="CH127" s="109"/>
      <c r="CI127" s="110"/>
      <c r="CK127" s="109"/>
    </row>
    <row r="128" spans="47:89" x14ac:dyDescent="0.15">
      <c r="AU128" s="109"/>
      <c r="AW128" s="109"/>
      <c r="AX128" s="109"/>
      <c r="AY128" s="110"/>
      <c r="BA128" s="109"/>
      <c r="BD128" s="109"/>
      <c r="BF128" s="109"/>
      <c r="BG128" s="109"/>
      <c r="BH128" s="110"/>
      <c r="BJ128" s="109"/>
      <c r="BM128" s="109"/>
      <c r="BO128" s="109"/>
      <c r="BP128" s="109"/>
      <c r="BQ128" s="110"/>
      <c r="BS128" s="109"/>
      <c r="BV128" s="109"/>
      <c r="BX128" s="109"/>
      <c r="BY128" s="109"/>
      <c r="BZ128" s="110"/>
      <c r="CB128" s="109"/>
      <c r="CE128" s="109"/>
      <c r="CG128" s="109"/>
      <c r="CH128" s="109"/>
      <c r="CI128" s="110"/>
      <c r="CK128" s="109"/>
    </row>
    <row r="129" spans="47:89" x14ac:dyDescent="0.15">
      <c r="AU129" s="109"/>
      <c r="AW129" s="109"/>
      <c r="AX129" s="109"/>
      <c r="AY129" s="110"/>
      <c r="BA129" s="109"/>
      <c r="BD129" s="109"/>
      <c r="BF129" s="109"/>
      <c r="BG129" s="109"/>
      <c r="BH129" s="110"/>
      <c r="BJ129" s="109"/>
      <c r="BM129" s="109"/>
      <c r="BO129" s="109"/>
      <c r="BP129" s="109"/>
      <c r="BQ129" s="110"/>
      <c r="BS129" s="109"/>
      <c r="BV129" s="109"/>
      <c r="BX129" s="109"/>
      <c r="BY129" s="109"/>
      <c r="BZ129" s="110"/>
      <c r="CB129" s="109"/>
      <c r="CE129" s="109"/>
      <c r="CG129" s="109"/>
      <c r="CH129" s="109"/>
      <c r="CI129" s="110"/>
      <c r="CK129" s="109"/>
    </row>
    <row r="130" spans="47:89" x14ac:dyDescent="0.15">
      <c r="AU130" s="109"/>
      <c r="AW130" s="109"/>
      <c r="AX130" s="109"/>
      <c r="AY130" s="110"/>
      <c r="BA130" s="109"/>
      <c r="BD130" s="109"/>
      <c r="BF130" s="109"/>
      <c r="BG130" s="109"/>
      <c r="BH130" s="110"/>
      <c r="BJ130" s="109"/>
      <c r="BM130" s="109"/>
      <c r="BO130" s="109"/>
      <c r="BP130" s="109"/>
      <c r="BQ130" s="110"/>
      <c r="BS130" s="109"/>
      <c r="BV130" s="109"/>
      <c r="BX130" s="109"/>
      <c r="BY130" s="109"/>
      <c r="BZ130" s="110"/>
      <c r="CB130" s="109"/>
      <c r="CE130" s="109"/>
      <c r="CG130" s="109"/>
      <c r="CH130" s="109"/>
      <c r="CI130" s="110"/>
      <c r="CK130" s="109"/>
    </row>
    <row r="131" spans="47:89" x14ac:dyDescent="0.15">
      <c r="AU131" s="80"/>
      <c r="AW131" s="109"/>
      <c r="AX131" s="109"/>
      <c r="AY131" s="110"/>
      <c r="BA131" s="109"/>
      <c r="BD131" s="80"/>
      <c r="BF131" s="109"/>
      <c r="BG131" s="109"/>
      <c r="BH131" s="110"/>
      <c r="BJ131" s="109"/>
      <c r="BM131" s="80"/>
      <c r="BO131" s="109"/>
      <c r="BP131" s="109"/>
      <c r="BQ131" s="110"/>
      <c r="BS131" s="109"/>
      <c r="BV131" s="80"/>
      <c r="BX131" s="109"/>
      <c r="BY131" s="109"/>
      <c r="BZ131" s="110"/>
      <c r="CB131" s="109"/>
      <c r="CE131" s="80"/>
      <c r="CG131" s="109"/>
      <c r="CH131" s="109"/>
      <c r="CI131" s="110"/>
      <c r="CK131" s="109"/>
    </row>
    <row r="132" spans="47:89" x14ac:dyDescent="0.15">
      <c r="AU132" s="109"/>
      <c r="AW132" s="109"/>
      <c r="AX132" s="109"/>
      <c r="AY132" s="110"/>
      <c r="BA132" s="109"/>
      <c r="BD132" s="109"/>
      <c r="BF132" s="109"/>
      <c r="BG132" s="109"/>
      <c r="BH132" s="110"/>
      <c r="BJ132" s="109"/>
      <c r="BM132" s="109"/>
      <c r="BO132" s="109"/>
      <c r="BP132" s="109"/>
      <c r="BQ132" s="110"/>
      <c r="BS132" s="109"/>
      <c r="BV132" s="109"/>
      <c r="BX132" s="109"/>
      <c r="BY132" s="109"/>
      <c r="BZ132" s="110"/>
      <c r="CB132" s="109"/>
      <c r="CE132" s="109"/>
      <c r="CG132" s="109"/>
      <c r="CH132" s="109"/>
      <c r="CI132" s="110"/>
      <c r="CK132" s="109"/>
    </row>
    <row r="133" spans="47:89" x14ac:dyDescent="0.15">
      <c r="AU133" s="109"/>
      <c r="AW133" s="109"/>
      <c r="AX133" s="109"/>
      <c r="AY133" s="110"/>
      <c r="BA133" s="109"/>
      <c r="BD133" s="109"/>
      <c r="BF133" s="109"/>
      <c r="BG133" s="109"/>
      <c r="BH133" s="110"/>
      <c r="BJ133" s="109"/>
      <c r="BM133" s="109"/>
      <c r="BO133" s="109"/>
      <c r="BP133" s="109"/>
      <c r="BQ133" s="110"/>
      <c r="BS133" s="109"/>
      <c r="BV133" s="109"/>
      <c r="BX133" s="109"/>
      <c r="BY133" s="109"/>
      <c r="BZ133" s="110"/>
      <c r="CB133" s="109"/>
      <c r="CE133" s="109"/>
      <c r="CG133" s="109"/>
      <c r="CH133" s="109"/>
      <c r="CI133" s="110"/>
      <c r="CK133" s="109"/>
    </row>
    <row r="134" spans="47:89" x14ac:dyDescent="0.15">
      <c r="AU134" s="109"/>
      <c r="AW134" s="109"/>
      <c r="AX134" s="109"/>
      <c r="AY134" s="110"/>
      <c r="BA134" s="109"/>
      <c r="BD134" s="109"/>
      <c r="BF134" s="109"/>
      <c r="BG134" s="109"/>
      <c r="BH134" s="110"/>
      <c r="BJ134" s="109"/>
      <c r="BM134" s="109"/>
      <c r="BO134" s="109"/>
      <c r="BP134" s="109"/>
      <c r="BQ134" s="110"/>
      <c r="BS134" s="109"/>
      <c r="BV134" s="109"/>
      <c r="BX134" s="109"/>
      <c r="BY134" s="109"/>
      <c r="BZ134" s="110"/>
      <c r="CB134" s="109"/>
      <c r="CE134" s="109"/>
      <c r="CG134" s="109"/>
      <c r="CH134" s="109"/>
      <c r="CI134" s="110"/>
      <c r="CK134" s="109"/>
    </row>
    <row r="135" spans="47:89" x14ac:dyDescent="0.15">
      <c r="AU135" s="109"/>
      <c r="AW135" s="109"/>
      <c r="AX135" s="109"/>
      <c r="AY135" s="110"/>
      <c r="BA135" s="109"/>
      <c r="BD135" s="109"/>
      <c r="BF135" s="109"/>
      <c r="BG135" s="109"/>
      <c r="BH135" s="110"/>
      <c r="BJ135" s="109"/>
      <c r="BM135" s="109"/>
      <c r="BO135" s="109"/>
      <c r="BP135" s="109"/>
      <c r="BQ135" s="110"/>
      <c r="BS135" s="109"/>
      <c r="BV135" s="109"/>
      <c r="BX135" s="109"/>
      <c r="BY135" s="109"/>
      <c r="BZ135" s="110"/>
      <c r="CB135" s="109"/>
      <c r="CE135" s="109"/>
      <c r="CG135" s="109"/>
      <c r="CH135" s="109"/>
      <c r="CI135" s="110"/>
      <c r="CK135" s="109"/>
    </row>
    <row r="136" spans="47:89" x14ac:dyDescent="0.15">
      <c r="AU136" s="109"/>
      <c r="AW136" s="109"/>
      <c r="AX136" s="109"/>
      <c r="AY136" s="110"/>
      <c r="BA136" s="109"/>
      <c r="BD136" s="109"/>
      <c r="BF136" s="109"/>
      <c r="BG136" s="109"/>
      <c r="BH136" s="110"/>
      <c r="BJ136" s="109"/>
      <c r="BM136" s="109"/>
      <c r="BO136" s="109"/>
      <c r="BP136" s="109"/>
      <c r="BQ136" s="110"/>
      <c r="BS136" s="109"/>
      <c r="BV136" s="109"/>
      <c r="BX136" s="109"/>
      <c r="BY136" s="109"/>
      <c r="BZ136" s="110"/>
      <c r="CB136" s="109"/>
      <c r="CE136" s="109"/>
      <c r="CG136" s="109"/>
      <c r="CH136" s="109"/>
      <c r="CI136" s="110"/>
      <c r="CK136" s="109"/>
    </row>
    <row r="137" spans="47:89" x14ac:dyDescent="0.15">
      <c r="AU137" s="109"/>
      <c r="AW137" s="109"/>
      <c r="AX137" s="109"/>
      <c r="AY137" s="110"/>
      <c r="BA137" s="109"/>
      <c r="BD137" s="109"/>
      <c r="BF137" s="109"/>
      <c r="BG137" s="109"/>
      <c r="BH137" s="110"/>
      <c r="BJ137" s="109"/>
      <c r="BM137" s="109"/>
      <c r="BO137" s="109"/>
      <c r="BP137" s="109"/>
      <c r="BQ137" s="110"/>
      <c r="BS137" s="109"/>
      <c r="BV137" s="109"/>
      <c r="BX137" s="109"/>
      <c r="BY137" s="109"/>
      <c r="BZ137" s="110"/>
      <c r="CB137" s="109"/>
      <c r="CE137" s="109"/>
      <c r="CG137" s="109"/>
      <c r="CH137" s="109"/>
      <c r="CI137" s="110"/>
      <c r="CK137" s="109"/>
    </row>
    <row r="138" spans="47:89" x14ac:dyDescent="0.15">
      <c r="AU138" s="109"/>
      <c r="AW138" s="109"/>
      <c r="AX138" s="109"/>
      <c r="AY138" s="110"/>
      <c r="BA138" s="109"/>
      <c r="BD138" s="109"/>
      <c r="BF138" s="109"/>
      <c r="BG138" s="109"/>
      <c r="BH138" s="110"/>
      <c r="BJ138" s="109"/>
      <c r="BM138" s="109"/>
      <c r="BO138" s="109"/>
      <c r="BP138" s="109"/>
      <c r="BQ138" s="110"/>
      <c r="BS138" s="109"/>
      <c r="BV138" s="109"/>
      <c r="BX138" s="109"/>
      <c r="BY138" s="109"/>
      <c r="BZ138" s="110"/>
      <c r="CB138" s="109"/>
      <c r="CE138" s="109"/>
      <c r="CG138" s="109"/>
      <c r="CH138" s="109"/>
      <c r="CI138" s="110"/>
      <c r="CK138" s="109"/>
    </row>
    <row r="139" spans="47:89" x14ac:dyDescent="0.15">
      <c r="AU139" s="109"/>
      <c r="AW139" s="109"/>
      <c r="AX139" s="109"/>
      <c r="AY139" s="110"/>
      <c r="BA139" s="109"/>
      <c r="BD139" s="109"/>
      <c r="BF139" s="109"/>
      <c r="BG139" s="109"/>
      <c r="BH139" s="110"/>
      <c r="BJ139" s="109"/>
      <c r="BM139" s="109"/>
      <c r="BO139" s="109"/>
      <c r="BP139" s="109"/>
      <c r="BQ139" s="110"/>
      <c r="BS139" s="109"/>
      <c r="BV139" s="109"/>
      <c r="BX139" s="109"/>
      <c r="BY139" s="109"/>
      <c r="BZ139" s="110"/>
      <c r="CB139" s="109"/>
      <c r="CE139" s="109"/>
      <c r="CG139" s="109"/>
      <c r="CH139" s="109"/>
      <c r="CI139" s="110"/>
      <c r="CK139" s="109"/>
    </row>
    <row r="140" spans="47:89" x14ac:dyDescent="0.15">
      <c r="AU140" s="109"/>
      <c r="AW140" s="109"/>
      <c r="AX140" s="109"/>
      <c r="AY140" s="110"/>
      <c r="BA140" s="109"/>
      <c r="BD140" s="109"/>
      <c r="BF140" s="109"/>
      <c r="BG140" s="109"/>
      <c r="BH140" s="110"/>
      <c r="BJ140" s="109"/>
      <c r="BM140" s="109"/>
      <c r="BO140" s="109"/>
      <c r="BP140" s="109"/>
      <c r="BQ140" s="110"/>
      <c r="BS140" s="109"/>
      <c r="BV140" s="109"/>
      <c r="BX140" s="109"/>
      <c r="BY140" s="109"/>
      <c r="BZ140" s="110"/>
      <c r="CB140" s="109"/>
      <c r="CE140" s="109"/>
      <c r="CG140" s="109"/>
      <c r="CH140" s="109"/>
      <c r="CI140" s="110"/>
      <c r="CK140" s="109"/>
    </row>
    <row r="141" spans="47:89" x14ac:dyDescent="0.15">
      <c r="AU141" s="109"/>
      <c r="AW141" s="109"/>
      <c r="AX141" s="109"/>
      <c r="AY141" s="110"/>
      <c r="BA141" s="109"/>
      <c r="BD141" s="109"/>
      <c r="BF141" s="109"/>
      <c r="BG141" s="109"/>
      <c r="BH141" s="110"/>
      <c r="BJ141" s="109"/>
      <c r="BM141" s="109"/>
      <c r="BO141" s="109"/>
      <c r="BP141" s="109"/>
      <c r="BQ141" s="110"/>
      <c r="BS141" s="109"/>
      <c r="BV141" s="109"/>
      <c r="BX141" s="109"/>
      <c r="BY141" s="109"/>
      <c r="BZ141" s="110"/>
      <c r="CB141" s="109"/>
      <c r="CE141" s="109"/>
      <c r="CG141" s="109"/>
      <c r="CH141" s="109"/>
      <c r="CI141" s="110"/>
      <c r="CK141" s="109"/>
    </row>
    <row r="142" spans="47:89" x14ac:dyDescent="0.15">
      <c r="AU142" s="109"/>
      <c r="AW142" s="109"/>
      <c r="AX142" s="109"/>
      <c r="AY142" s="110"/>
      <c r="BA142" s="109"/>
      <c r="BD142" s="109"/>
      <c r="BF142" s="109"/>
      <c r="BG142" s="109"/>
      <c r="BH142" s="110"/>
      <c r="BJ142" s="109"/>
      <c r="BM142" s="109"/>
      <c r="BO142" s="109"/>
      <c r="BP142" s="109"/>
      <c r="BQ142" s="110"/>
      <c r="BS142" s="109"/>
      <c r="BV142" s="109"/>
      <c r="BX142" s="109"/>
      <c r="BY142" s="109"/>
      <c r="BZ142" s="110"/>
      <c r="CB142" s="109"/>
      <c r="CE142" s="109"/>
      <c r="CG142" s="109"/>
      <c r="CH142" s="109"/>
      <c r="CI142" s="110"/>
      <c r="CK142" s="109"/>
    </row>
    <row r="143" spans="47:89" x14ac:dyDescent="0.15">
      <c r="AU143" s="109"/>
      <c r="AW143" s="109"/>
      <c r="AX143" s="109"/>
      <c r="AY143" s="110"/>
      <c r="BA143" s="109"/>
      <c r="BD143" s="109"/>
      <c r="BF143" s="109"/>
      <c r="BG143" s="109"/>
      <c r="BH143" s="110"/>
      <c r="BJ143" s="109"/>
      <c r="BM143" s="109"/>
      <c r="BO143" s="109"/>
      <c r="BP143" s="109"/>
      <c r="BQ143" s="110"/>
      <c r="BS143" s="109"/>
      <c r="BV143" s="109"/>
      <c r="BX143" s="109"/>
      <c r="BY143" s="109"/>
      <c r="BZ143" s="110"/>
      <c r="CB143" s="109"/>
      <c r="CE143" s="109"/>
      <c r="CG143" s="109"/>
      <c r="CH143" s="109"/>
      <c r="CI143" s="110"/>
      <c r="CK143" s="109"/>
    </row>
    <row r="144" spans="47:89" x14ac:dyDescent="0.15">
      <c r="AU144" s="109"/>
      <c r="AW144" s="109"/>
      <c r="AX144" s="109"/>
      <c r="AY144" s="110"/>
      <c r="BA144" s="109"/>
      <c r="BD144" s="109"/>
      <c r="BF144" s="109"/>
      <c r="BG144" s="109"/>
      <c r="BH144" s="110"/>
      <c r="BJ144" s="109"/>
      <c r="BM144" s="109"/>
      <c r="BO144" s="109"/>
      <c r="BP144" s="109"/>
      <c r="BQ144" s="110"/>
      <c r="BS144" s="109"/>
      <c r="BV144" s="109"/>
      <c r="BX144" s="109"/>
      <c r="BY144" s="109"/>
      <c r="BZ144" s="110"/>
      <c r="CB144" s="109"/>
      <c r="CE144" s="109"/>
      <c r="CG144" s="109"/>
      <c r="CH144" s="109"/>
      <c r="CI144" s="110"/>
      <c r="CK144" s="109"/>
    </row>
    <row r="145" spans="47:89" x14ac:dyDescent="0.15">
      <c r="AU145" s="109"/>
      <c r="AW145" s="109"/>
      <c r="AX145" s="109"/>
      <c r="AY145" s="110"/>
      <c r="BA145" s="109"/>
      <c r="BD145" s="109"/>
      <c r="BF145" s="109"/>
      <c r="BG145" s="109"/>
      <c r="BH145" s="110"/>
      <c r="BJ145" s="109"/>
      <c r="BM145" s="109"/>
      <c r="BO145" s="109"/>
      <c r="BP145" s="109"/>
      <c r="BQ145" s="110"/>
      <c r="BS145" s="109"/>
      <c r="BV145" s="109"/>
      <c r="BX145" s="109"/>
      <c r="BY145" s="109"/>
      <c r="BZ145" s="110"/>
      <c r="CB145" s="109"/>
      <c r="CE145" s="109"/>
      <c r="CG145" s="109"/>
      <c r="CH145" s="109"/>
      <c r="CI145" s="110"/>
      <c r="CK145" s="109"/>
    </row>
    <row r="146" spans="47:89" x14ac:dyDescent="0.15">
      <c r="AU146" s="109"/>
      <c r="AW146" s="109"/>
      <c r="AX146" s="109"/>
      <c r="AY146" s="110"/>
      <c r="BA146" s="109"/>
      <c r="BD146" s="109"/>
      <c r="BF146" s="109"/>
      <c r="BG146" s="109"/>
      <c r="BH146" s="110"/>
      <c r="BJ146" s="109"/>
      <c r="BM146" s="109"/>
      <c r="BO146" s="109"/>
      <c r="BP146" s="109"/>
      <c r="BQ146" s="110"/>
      <c r="BS146" s="109"/>
      <c r="BV146" s="109"/>
      <c r="BX146" s="109"/>
      <c r="BY146" s="109"/>
      <c r="BZ146" s="110"/>
      <c r="CB146" s="109"/>
      <c r="CE146" s="109"/>
      <c r="CG146" s="109"/>
      <c r="CH146" s="109"/>
      <c r="CI146" s="110"/>
      <c r="CK146" s="109"/>
    </row>
    <row r="147" spans="47:89" x14ac:dyDescent="0.15">
      <c r="AU147" s="109"/>
      <c r="AW147" s="109"/>
      <c r="AX147" s="109"/>
      <c r="AY147" s="110"/>
      <c r="BA147" s="109"/>
      <c r="BD147" s="109"/>
      <c r="BF147" s="109"/>
      <c r="BG147" s="109"/>
      <c r="BH147" s="110"/>
      <c r="BJ147" s="109"/>
      <c r="BM147" s="109"/>
      <c r="BO147" s="109"/>
      <c r="BP147" s="109"/>
      <c r="BQ147" s="110"/>
      <c r="BS147" s="109"/>
      <c r="BV147" s="109"/>
      <c r="BX147" s="109"/>
      <c r="BY147" s="109"/>
      <c r="BZ147" s="110"/>
      <c r="CB147" s="109"/>
      <c r="CE147" s="109"/>
      <c r="CG147" s="109"/>
      <c r="CH147" s="109"/>
      <c r="CI147" s="110"/>
      <c r="CK147" s="109"/>
    </row>
    <row r="148" spans="47:89" x14ac:dyDescent="0.15">
      <c r="AU148" s="109"/>
      <c r="AW148" s="109"/>
      <c r="AX148" s="109"/>
      <c r="AY148" s="110"/>
      <c r="BA148" s="109"/>
      <c r="BD148" s="109"/>
      <c r="BF148" s="109"/>
      <c r="BG148" s="109"/>
      <c r="BH148" s="110"/>
      <c r="BJ148" s="109"/>
      <c r="BM148" s="109"/>
      <c r="BO148" s="109"/>
      <c r="BP148" s="109"/>
      <c r="BQ148" s="110"/>
      <c r="BS148" s="109"/>
      <c r="BV148" s="109"/>
      <c r="BX148" s="109"/>
      <c r="BY148" s="109"/>
      <c r="BZ148" s="110"/>
      <c r="CB148" s="109"/>
      <c r="CE148" s="109"/>
      <c r="CG148" s="109"/>
      <c r="CH148" s="109"/>
      <c r="CI148" s="110"/>
      <c r="CK148" s="109"/>
    </row>
    <row r="149" spans="47:89" x14ac:dyDescent="0.15">
      <c r="AU149" s="109"/>
      <c r="AW149" s="109"/>
      <c r="AX149" s="109"/>
      <c r="AY149" s="110"/>
      <c r="BA149" s="109"/>
      <c r="BD149" s="109"/>
      <c r="BF149" s="109"/>
      <c r="BG149" s="109"/>
      <c r="BH149" s="110"/>
      <c r="BJ149" s="109"/>
      <c r="BM149" s="109"/>
      <c r="BO149" s="109"/>
      <c r="BP149" s="109"/>
      <c r="BQ149" s="110"/>
      <c r="BS149" s="109"/>
      <c r="BV149" s="109"/>
      <c r="BX149" s="109"/>
      <c r="BY149" s="109"/>
      <c r="BZ149" s="110"/>
      <c r="CB149" s="109"/>
      <c r="CE149" s="109"/>
      <c r="CG149" s="109"/>
      <c r="CH149" s="109"/>
      <c r="CI149" s="110"/>
      <c r="CK149" s="109"/>
    </row>
    <row r="150" spans="47:89" x14ac:dyDescent="0.15">
      <c r="AU150" s="109"/>
      <c r="AW150" s="109"/>
      <c r="AX150" s="109"/>
      <c r="AY150" s="110"/>
      <c r="BA150" s="109"/>
      <c r="BD150" s="109"/>
      <c r="BF150" s="109"/>
      <c r="BG150" s="109"/>
      <c r="BH150" s="110"/>
      <c r="BJ150" s="109"/>
      <c r="BM150" s="109"/>
      <c r="BO150" s="109"/>
      <c r="BP150" s="109"/>
      <c r="BQ150" s="110"/>
      <c r="BS150" s="109"/>
      <c r="BV150" s="109"/>
      <c r="BX150" s="109"/>
      <c r="BY150" s="109"/>
      <c r="BZ150" s="110"/>
      <c r="CB150" s="109"/>
      <c r="CE150" s="109"/>
      <c r="CG150" s="109"/>
      <c r="CH150" s="109"/>
      <c r="CI150" s="110"/>
      <c r="CK150" s="109"/>
    </row>
    <row r="151" spans="47:89" x14ac:dyDescent="0.15">
      <c r="AU151" s="109"/>
      <c r="AW151" s="109"/>
      <c r="AX151" s="109"/>
      <c r="AY151" s="110"/>
      <c r="BA151" s="109"/>
      <c r="BD151" s="109"/>
      <c r="BF151" s="109"/>
      <c r="BG151" s="109"/>
      <c r="BH151" s="110"/>
      <c r="BJ151" s="109"/>
      <c r="BM151" s="109"/>
      <c r="BO151" s="109"/>
      <c r="BP151" s="109"/>
      <c r="BQ151" s="110"/>
      <c r="BS151" s="109"/>
      <c r="BV151" s="109"/>
      <c r="BX151" s="109"/>
      <c r="BY151" s="109"/>
      <c r="BZ151" s="110"/>
      <c r="CB151" s="109"/>
      <c r="CE151" s="109"/>
      <c r="CG151" s="109"/>
      <c r="CH151" s="109"/>
      <c r="CI151" s="110"/>
      <c r="CK151" s="109"/>
    </row>
    <row r="152" spans="47:89" x14ac:dyDescent="0.15">
      <c r="AU152" s="109"/>
      <c r="AW152" s="109"/>
      <c r="AX152" s="109"/>
      <c r="AY152" s="110"/>
      <c r="BA152" s="109"/>
      <c r="BD152" s="109"/>
      <c r="BF152" s="109"/>
      <c r="BG152" s="109"/>
      <c r="BH152" s="110"/>
      <c r="BJ152" s="109"/>
      <c r="BM152" s="109"/>
      <c r="BO152" s="109"/>
      <c r="BP152" s="109"/>
      <c r="BQ152" s="110"/>
      <c r="BS152" s="109"/>
      <c r="BV152" s="109"/>
      <c r="BX152" s="109"/>
      <c r="BY152" s="109"/>
      <c r="BZ152" s="110"/>
      <c r="CB152" s="109"/>
      <c r="CE152" s="109"/>
      <c r="CG152" s="109"/>
      <c r="CH152" s="109"/>
      <c r="CI152" s="110"/>
      <c r="CK152" s="109"/>
    </row>
    <row r="153" spans="47:89" x14ac:dyDescent="0.15">
      <c r="AU153" s="109"/>
      <c r="AW153" s="109"/>
      <c r="AX153" s="109"/>
      <c r="AY153" s="110"/>
      <c r="BA153" s="109"/>
      <c r="BD153" s="109"/>
      <c r="BF153" s="109"/>
      <c r="BG153" s="109"/>
      <c r="BH153" s="110"/>
      <c r="BJ153" s="109"/>
      <c r="BM153" s="109"/>
      <c r="BO153" s="109"/>
      <c r="BP153" s="109"/>
      <c r="BQ153" s="110"/>
      <c r="BS153" s="109"/>
      <c r="BV153" s="109"/>
      <c r="BX153" s="109"/>
      <c r="BY153" s="109"/>
      <c r="BZ153" s="110"/>
      <c r="CB153" s="109"/>
      <c r="CE153" s="109"/>
      <c r="CG153" s="109"/>
      <c r="CH153" s="109"/>
      <c r="CI153" s="110"/>
      <c r="CK153" s="109"/>
    </row>
    <row r="154" spans="47:89" x14ac:dyDescent="0.15">
      <c r="AU154" s="109"/>
      <c r="AW154" s="109"/>
      <c r="AX154" s="109"/>
      <c r="AY154" s="110"/>
      <c r="BA154" s="109"/>
      <c r="BD154" s="109"/>
      <c r="BF154" s="109"/>
      <c r="BG154" s="109"/>
      <c r="BH154" s="110"/>
      <c r="BJ154" s="109"/>
      <c r="BM154" s="109"/>
      <c r="BO154" s="109"/>
      <c r="BP154" s="109"/>
      <c r="BQ154" s="110"/>
      <c r="BS154" s="109"/>
      <c r="BV154" s="109"/>
      <c r="BX154" s="109"/>
      <c r="BY154" s="109"/>
      <c r="BZ154" s="110"/>
      <c r="CB154" s="109"/>
      <c r="CE154" s="109"/>
      <c r="CG154" s="109"/>
      <c r="CH154" s="109"/>
      <c r="CI154" s="110"/>
      <c r="CK154" s="109"/>
    </row>
    <row r="155" spans="47:89" x14ac:dyDescent="0.15">
      <c r="AU155" s="109"/>
      <c r="AW155" s="109"/>
      <c r="AX155" s="109"/>
      <c r="AY155" s="110"/>
      <c r="BA155" s="109"/>
      <c r="BD155" s="109"/>
      <c r="BF155" s="109"/>
      <c r="BG155" s="109"/>
      <c r="BH155" s="110"/>
      <c r="BJ155" s="109"/>
      <c r="BM155" s="109"/>
      <c r="BO155" s="109"/>
      <c r="BP155" s="109"/>
      <c r="BQ155" s="110"/>
      <c r="BS155" s="109"/>
      <c r="BV155" s="109"/>
      <c r="BX155" s="109"/>
      <c r="BY155" s="109"/>
      <c r="BZ155" s="110"/>
      <c r="CB155" s="109"/>
      <c r="CE155" s="109"/>
      <c r="CG155" s="109"/>
      <c r="CH155" s="109"/>
      <c r="CI155" s="110"/>
      <c r="CK155" s="109"/>
    </row>
    <row r="156" spans="47:89" x14ac:dyDescent="0.15">
      <c r="AU156" s="109"/>
      <c r="AW156" s="109"/>
      <c r="AX156" s="109"/>
      <c r="AY156" s="110"/>
      <c r="BA156" s="109"/>
      <c r="BD156" s="109"/>
      <c r="BF156" s="109"/>
      <c r="BG156" s="109"/>
      <c r="BH156" s="110"/>
      <c r="BJ156" s="109"/>
      <c r="BM156" s="109"/>
      <c r="BO156" s="109"/>
      <c r="BP156" s="109"/>
      <c r="BQ156" s="110"/>
      <c r="BS156" s="109"/>
      <c r="BV156" s="109"/>
      <c r="BX156" s="109"/>
      <c r="BY156" s="109"/>
      <c r="BZ156" s="110"/>
      <c r="CB156" s="109"/>
      <c r="CE156" s="109"/>
      <c r="CG156" s="109"/>
      <c r="CH156" s="109"/>
      <c r="CI156" s="110"/>
      <c r="CK156" s="109"/>
    </row>
    <row r="157" spans="47:89" x14ac:dyDescent="0.15">
      <c r="AU157" s="109"/>
      <c r="AW157" s="109"/>
      <c r="AX157" s="109"/>
      <c r="AY157" s="110"/>
      <c r="BA157" s="109"/>
      <c r="BD157" s="109"/>
      <c r="BF157" s="109"/>
      <c r="BG157" s="109"/>
      <c r="BH157" s="110"/>
      <c r="BJ157" s="109"/>
      <c r="BM157" s="109"/>
      <c r="BO157" s="109"/>
      <c r="BP157" s="109"/>
      <c r="BQ157" s="110"/>
      <c r="BS157" s="109"/>
      <c r="BV157" s="109"/>
      <c r="BX157" s="109"/>
      <c r="BY157" s="109"/>
      <c r="BZ157" s="110"/>
      <c r="CB157" s="109"/>
      <c r="CE157" s="109"/>
      <c r="CG157" s="109"/>
      <c r="CH157" s="109"/>
      <c r="CI157" s="110"/>
      <c r="CK157" s="109"/>
    </row>
    <row r="158" spans="47:89" x14ac:dyDescent="0.15">
      <c r="AU158" s="109"/>
      <c r="AW158" s="109"/>
      <c r="AX158" s="109"/>
      <c r="AY158" s="110"/>
      <c r="BA158" s="109"/>
      <c r="BD158" s="109"/>
      <c r="BF158" s="109"/>
      <c r="BG158" s="109"/>
      <c r="BH158" s="110"/>
      <c r="BJ158" s="109"/>
      <c r="BM158" s="109"/>
      <c r="BO158" s="109"/>
      <c r="BP158" s="109"/>
      <c r="BQ158" s="110"/>
      <c r="BS158" s="109"/>
      <c r="BV158" s="109"/>
      <c r="BX158" s="109"/>
      <c r="BY158" s="109"/>
      <c r="BZ158" s="110"/>
      <c r="CB158" s="109"/>
      <c r="CE158" s="109"/>
      <c r="CG158" s="109"/>
      <c r="CH158" s="109"/>
      <c r="CI158" s="110"/>
      <c r="CK158" s="109"/>
    </row>
    <row r="159" spans="47:89" x14ac:dyDescent="0.15">
      <c r="AU159" s="109"/>
      <c r="AW159" s="109"/>
      <c r="AX159" s="109"/>
      <c r="AY159" s="110"/>
      <c r="BA159" s="109"/>
      <c r="BD159" s="109"/>
      <c r="BF159" s="109"/>
      <c r="BG159" s="109"/>
      <c r="BH159" s="110"/>
      <c r="BJ159" s="109"/>
      <c r="BM159" s="109"/>
      <c r="BO159" s="109"/>
      <c r="BP159" s="109"/>
      <c r="BQ159" s="110"/>
      <c r="BS159" s="109"/>
      <c r="BV159" s="109"/>
      <c r="BX159" s="109"/>
      <c r="BY159" s="109"/>
      <c r="BZ159" s="110"/>
      <c r="CB159" s="109"/>
      <c r="CE159" s="109"/>
      <c r="CG159" s="109"/>
      <c r="CH159" s="109"/>
      <c r="CI159" s="110"/>
      <c r="CK159" s="109"/>
    </row>
    <row r="160" spans="47:89" x14ac:dyDescent="0.15">
      <c r="AU160" s="109"/>
      <c r="AW160" s="109"/>
      <c r="AX160" s="109"/>
      <c r="AY160" s="110"/>
      <c r="BA160" s="109"/>
      <c r="BD160" s="109"/>
      <c r="BF160" s="109"/>
      <c r="BG160" s="109"/>
      <c r="BH160" s="110"/>
      <c r="BJ160" s="109"/>
      <c r="BM160" s="109"/>
      <c r="BO160" s="109"/>
      <c r="BP160" s="109"/>
      <c r="BQ160" s="110"/>
      <c r="BS160" s="109"/>
      <c r="BV160" s="109"/>
      <c r="BX160" s="109"/>
      <c r="BY160" s="109"/>
      <c r="BZ160" s="110"/>
      <c r="CB160" s="109"/>
      <c r="CE160" s="109"/>
      <c r="CG160" s="109"/>
      <c r="CH160" s="109"/>
      <c r="CI160" s="110"/>
      <c r="CK160" s="109"/>
    </row>
    <row r="161" spans="47:89" x14ac:dyDescent="0.15">
      <c r="AU161" s="109"/>
      <c r="AW161" s="109"/>
      <c r="AX161" s="109"/>
      <c r="AY161" s="110"/>
      <c r="BA161" s="109"/>
      <c r="BD161" s="109"/>
      <c r="BF161" s="109"/>
      <c r="BG161" s="109"/>
      <c r="BH161" s="110"/>
      <c r="BJ161" s="109"/>
      <c r="BM161" s="109"/>
      <c r="BO161" s="109"/>
      <c r="BP161" s="109"/>
      <c r="BQ161" s="110"/>
      <c r="BS161" s="109"/>
      <c r="BV161" s="109"/>
      <c r="BX161" s="109"/>
      <c r="BY161" s="109"/>
      <c r="BZ161" s="110"/>
      <c r="CB161" s="109"/>
      <c r="CE161" s="109"/>
      <c r="CG161" s="109"/>
      <c r="CH161" s="109"/>
      <c r="CI161" s="110"/>
      <c r="CK161" s="109"/>
    </row>
    <row r="162" spans="47:89" x14ac:dyDescent="0.15">
      <c r="AU162" s="109"/>
      <c r="AW162" s="109"/>
      <c r="AX162" s="109"/>
      <c r="AY162" s="110"/>
      <c r="BA162" s="109"/>
      <c r="BD162" s="109"/>
      <c r="BF162" s="109"/>
      <c r="BG162" s="109"/>
      <c r="BH162" s="110"/>
      <c r="BJ162" s="109"/>
      <c r="BM162" s="109"/>
      <c r="BO162" s="109"/>
      <c r="BP162" s="109"/>
      <c r="BQ162" s="110"/>
      <c r="BS162" s="109"/>
      <c r="BV162" s="109"/>
      <c r="BX162" s="109"/>
      <c r="BY162" s="109"/>
      <c r="BZ162" s="110"/>
      <c r="CB162" s="109"/>
      <c r="CE162" s="109"/>
      <c r="CG162" s="109"/>
      <c r="CH162" s="109"/>
      <c r="CI162" s="110"/>
      <c r="CK162" s="109"/>
    </row>
    <row r="163" spans="47:89" x14ac:dyDescent="0.15">
      <c r="AU163" s="109"/>
      <c r="AW163" s="109"/>
      <c r="AX163" s="109"/>
      <c r="AY163" s="110"/>
      <c r="BA163" s="109"/>
      <c r="BD163" s="109"/>
      <c r="BF163" s="109"/>
      <c r="BG163" s="109"/>
      <c r="BH163" s="110"/>
      <c r="BJ163" s="109"/>
      <c r="BM163" s="109"/>
      <c r="BO163" s="109"/>
      <c r="BP163" s="109"/>
      <c r="BQ163" s="110"/>
      <c r="BS163" s="109"/>
      <c r="BV163" s="109"/>
      <c r="BX163" s="109"/>
      <c r="BY163" s="109"/>
      <c r="BZ163" s="110"/>
      <c r="CB163" s="109"/>
      <c r="CE163" s="109"/>
      <c r="CG163" s="109"/>
      <c r="CH163" s="109"/>
      <c r="CI163" s="110"/>
      <c r="CK163" s="109"/>
    </row>
    <row r="164" spans="47:89" x14ac:dyDescent="0.15">
      <c r="AU164" s="109"/>
      <c r="AW164" s="109"/>
      <c r="AX164" s="109"/>
      <c r="AY164" s="110"/>
      <c r="BA164" s="109"/>
      <c r="BD164" s="109"/>
      <c r="BF164" s="109"/>
      <c r="BG164" s="109"/>
      <c r="BH164" s="110"/>
      <c r="BJ164" s="109"/>
      <c r="BM164" s="109"/>
      <c r="BO164" s="109"/>
      <c r="BP164" s="109"/>
      <c r="BQ164" s="110"/>
      <c r="BS164" s="109"/>
      <c r="BV164" s="109"/>
      <c r="BX164" s="109"/>
      <c r="BY164" s="109"/>
      <c r="BZ164" s="110"/>
      <c r="CB164" s="109"/>
      <c r="CE164" s="109"/>
      <c r="CG164" s="109"/>
      <c r="CH164" s="109"/>
      <c r="CI164" s="110"/>
      <c r="CK164" s="109"/>
    </row>
    <row r="165" spans="47:89" x14ac:dyDescent="0.15">
      <c r="AU165" s="109"/>
      <c r="AW165" s="109"/>
      <c r="AX165" s="109"/>
      <c r="AY165" s="110"/>
      <c r="BA165" s="109"/>
      <c r="BD165" s="109"/>
      <c r="BF165" s="109"/>
      <c r="BG165" s="109"/>
      <c r="BH165" s="110"/>
      <c r="BJ165" s="109"/>
      <c r="BM165" s="109"/>
      <c r="BO165" s="109"/>
      <c r="BP165" s="109"/>
      <c r="BQ165" s="110"/>
      <c r="BS165" s="109"/>
      <c r="BV165" s="109"/>
      <c r="BX165" s="109"/>
      <c r="BY165" s="109"/>
      <c r="BZ165" s="110"/>
      <c r="CB165" s="109"/>
      <c r="CE165" s="109"/>
      <c r="CG165" s="109"/>
      <c r="CH165" s="109"/>
      <c r="CI165" s="110"/>
      <c r="CK165" s="109"/>
    </row>
    <row r="166" spans="47:89" x14ac:dyDescent="0.15">
      <c r="AU166" s="109"/>
      <c r="AW166" s="109"/>
      <c r="AX166" s="109"/>
      <c r="AY166" s="110"/>
      <c r="BA166" s="109"/>
      <c r="BD166" s="109"/>
      <c r="BF166" s="109"/>
      <c r="BG166" s="109"/>
      <c r="BH166" s="110"/>
      <c r="BJ166" s="109"/>
      <c r="BM166" s="109"/>
      <c r="BO166" s="109"/>
      <c r="BP166" s="109"/>
      <c r="BQ166" s="110"/>
      <c r="BS166" s="109"/>
      <c r="BV166" s="109"/>
      <c r="BX166" s="109"/>
      <c r="BY166" s="109"/>
      <c r="BZ166" s="110"/>
      <c r="CB166" s="109"/>
      <c r="CE166" s="109"/>
      <c r="CG166" s="109"/>
      <c r="CH166" s="109"/>
      <c r="CI166" s="110"/>
      <c r="CK166" s="109"/>
    </row>
    <row r="167" spans="47:89" x14ac:dyDescent="0.15">
      <c r="AU167" s="109"/>
      <c r="AW167" s="109"/>
      <c r="AX167" s="109"/>
      <c r="AY167" s="110"/>
      <c r="BA167" s="109"/>
      <c r="BD167" s="109"/>
      <c r="BF167" s="109"/>
      <c r="BG167" s="109"/>
      <c r="BH167" s="110"/>
      <c r="BJ167" s="109"/>
      <c r="BM167" s="109"/>
      <c r="BO167" s="109"/>
      <c r="BP167" s="109"/>
      <c r="BQ167" s="110"/>
      <c r="BS167" s="109"/>
      <c r="BV167" s="109"/>
      <c r="BX167" s="109"/>
      <c r="BY167" s="109"/>
      <c r="BZ167" s="110"/>
      <c r="CB167" s="109"/>
      <c r="CE167" s="109"/>
      <c r="CG167" s="109"/>
      <c r="CH167" s="109"/>
      <c r="CI167" s="110"/>
      <c r="CK167" s="109"/>
    </row>
    <row r="168" spans="47:89" x14ac:dyDescent="0.15">
      <c r="AU168" s="109"/>
      <c r="AW168" s="109"/>
      <c r="AX168" s="109"/>
      <c r="AY168" s="110"/>
      <c r="BA168" s="109"/>
      <c r="BD168" s="109"/>
      <c r="BF168" s="109"/>
      <c r="BG168" s="109"/>
      <c r="BH168" s="110"/>
      <c r="BJ168" s="109"/>
      <c r="BM168" s="109"/>
      <c r="BO168" s="109"/>
      <c r="BP168" s="109"/>
      <c r="BQ168" s="110"/>
      <c r="BS168" s="109"/>
      <c r="BV168" s="109"/>
      <c r="BX168" s="109"/>
      <c r="BY168" s="109"/>
      <c r="BZ168" s="110"/>
      <c r="CB168" s="109"/>
      <c r="CE168" s="109"/>
      <c r="CG168" s="109"/>
      <c r="CH168" s="109"/>
      <c r="CI168" s="110"/>
      <c r="CK168" s="109"/>
    </row>
    <row r="169" spans="47:89" x14ac:dyDescent="0.15">
      <c r="AU169" s="109"/>
      <c r="AW169" s="109"/>
      <c r="AX169" s="109"/>
      <c r="AY169" s="110"/>
      <c r="BA169" s="109"/>
      <c r="BD169" s="109"/>
      <c r="BF169" s="109"/>
      <c r="BG169" s="109"/>
      <c r="BH169" s="110"/>
      <c r="BJ169" s="109"/>
      <c r="BM169" s="109"/>
      <c r="BO169" s="109"/>
      <c r="BP169" s="109"/>
      <c r="BQ169" s="110"/>
      <c r="BS169" s="109"/>
      <c r="BV169" s="109"/>
      <c r="BX169" s="109"/>
      <c r="BY169" s="109"/>
      <c r="BZ169" s="110"/>
      <c r="CB169" s="109"/>
      <c r="CE169" s="109"/>
      <c r="CG169" s="109"/>
      <c r="CH169" s="109"/>
      <c r="CI169" s="110"/>
      <c r="CK169" s="109"/>
    </row>
    <row r="170" spans="47:89" x14ac:dyDescent="0.15">
      <c r="AU170" s="109"/>
      <c r="AW170" s="109"/>
      <c r="AX170" s="109"/>
      <c r="AY170" s="110"/>
      <c r="BA170" s="109"/>
      <c r="BD170" s="109"/>
      <c r="BF170" s="109"/>
      <c r="BG170" s="109"/>
      <c r="BH170" s="110"/>
      <c r="BJ170" s="109"/>
      <c r="BM170" s="109"/>
      <c r="BO170" s="109"/>
      <c r="BP170" s="109"/>
      <c r="BQ170" s="110"/>
      <c r="BS170" s="109"/>
      <c r="BV170" s="109"/>
      <c r="BX170" s="109"/>
      <c r="BY170" s="109"/>
      <c r="BZ170" s="110"/>
      <c r="CB170" s="109"/>
      <c r="CE170" s="109"/>
      <c r="CG170" s="109"/>
      <c r="CH170" s="109"/>
      <c r="CI170" s="110"/>
      <c r="CK170" s="109"/>
    </row>
    <row r="171" spans="47:89" x14ac:dyDescent="0.15">
      <c r="AU171" s="109"/>
      <c r="AW171" s="109"/>
      <c r="AX171" s="109"/>
      <c r="AY171" s="110"/>
      <c r="BA171" s="109"/>
      <c r="BD171" s="109"/>
      <c r="BF171" s="109"/>
      <c r="BG171" s="109"/>
      <c r="BH171" s="110"/>
      <c r="BJ171" s="109"/>
      <c r="BM171" s="109"/>
      <c r="BO171" s="109"/>
      <c r="BP171" s="109"/>
      <c r="BQ171" s="110"/>
      <c r="BS171" s="109"/>
      <c r="BV171" s="109"/>
      <c r="BX171" s="109"/>
      <c r="BY171" s="109"/>
      <c r="BZ171" s="110"/>
      <c r="CB171" s="109"/>
      <c r="CE171" s="109"/>
      <c r="CG171" s="109"/>
      <c r="CH171" s="109"/>
      <c r="CI171" s="110"/>
      <c r="CK171" s="109"/>
    </row>
    <row r="172" spans="47:89" x14ac:dyDescent="0.15">
      <c r="AU172" s="109"/>
      <c r="AW172" s="109"/>
      <c r="AX172" s="109"/>
      <c r="AY172" s="110"/>
      <c r="BA172" s="109"/>
      <c r="BD172" s="109"/>
      <c r="BF172" s="109"/>
      <c r="BG172" s="109"/>
      <c r="BH172" s="110"/>
      <c r="BJ172" s="109"/>
      <c r="BM172" s="109"/>
      <c r="BO172" s="109"/>
      <c r="BP172" s="109"/>
      <c r="BQ172" s="110"/>
      <c r="BS172" s="109"/>
      <c r="BV172" s="109"/>
      <c r="BX172" s="109"/>
      <c r="BY172" s="109"/>
      <c r="BZ172" s="110"/>
      <c r="CB172" s="109"/>
      <c r="CE172" s="109"/>
      <c r="CG172" s="109"/>
      <c r="CH172" s="109"/>
      <c r="CI172" s="110"/>
      <c r="CK172" s="109"/>
    </row>
    <row r="173" spans="47:89" x14ac:dyDescent="0.15">
      <c r="AU173" s="109"/>
      <c r="AW173" s="109"/>
      <c r="AX173" s="109"/>
      <c r="AY173" s="110"/>
      <c r="BA173" s="109"/>
      <c r="BD173" s="109"/>
      <c r="BF173" s="109"/>
      <c r="BG173" s="109"/>
      <c r="BH173" s="110"/>
      <c r="BJ173" s="109"/>
      <c r="BM173" s="109"/>
      <c r="BO173" s="109"/>
      <c r="BP173" s="109"/>
      <c r="BQ173" s="110"/>
      <c r="BS173" s="109"/>
      <c r="BV173" s="109"/>
      <c r="BX173" s="109"/>
      <c r="BY173" s="109"/>
      <c r="BZ173" s="110"/>
      <c r="CB173" s="109"/>
      <c r="CE173" s="109"/>
      <c r="CG173" s="109"/>
      <c r="CH173" s="109"/>
      <c r="CI173" s="110"/>
      <c r="CK173" s="109"/>
    </row>
    <row r="174" spans="47:89" x14ac:dyDescent="0.15">
      <c r="AU174" s="109"/>
      <c r="AW174" s="109"/>
      <c r="AX174" s="109"/>
      <c r="AY174" s="110"/>
      <c r="BA174" s="109"/>
      <c r="BD174" s="109"/>
      <c r="BF174" s="109"/>
      <c r="BG174" s="109"/>
      <c r="BH174" s="110"/>
      <c r="BJ174" s="109"/>
      <c r="BM174" s="109"/>
      <c r="BO174" s="109"/>
      <c r="BP174" s="109"/>
      <c r="BQ174" s="110"/>
      <c r="BS174" s="109"/>
      <c r="BV174" s="109"/>
      <c r="BX174" s="109"/>
      <c r="BY174" s="109"/>
      <c r="BZ174" s="110"/>
      <c r="CB174" s="109"/>
      <c r="CE174" s="109"/>
      <c r="CG174" s="109"/>
      <c r="CH174" s="109"/>
      <c r="CI174" s="110"/>
      <c r="CK174" s="109"/>
    </row>
    <row r="175" spans="47:89" x14ac:dyDescent="0.15">
      <c r="AU175" s="109"/>
      <c r="AW175" s="109"/>
      <c r="AX175" s="109"/>
      <c r="AY175" s="110"/>
      <c r="BA175" s="109"/>
      <c r="BD175" s="109"/>
      <c r="BF175" s="109"/>
      <c r="BG175" s="109"/>
      <c r="BH175" s="110"/>
      <c r="BJ175" s="109"/>
      <c r="BM175" s="109"/>
      <c r="BO175" s="109"/>
      <c r="BP175" s="109"/>
      <c r="BQ175" s="110"/>
      <c r="BS175" s="109"/>
      <c r="BV175" s="109"/>
      <c r="BX175" s="109"/>
      <c r="BY175" s="109"/>
      <c r="BZ175" s="110"/>
      <c r="CB175" s="109"/>
      <c r="CE175" s="109"/>
      <c r="CG175" s="109"/>
      <c r="CH175" s="109"/>
      <c r="CI175" s="110"/>
      <c r="CK175" s="109"/>
    </row>
    <row r="176" spans="47:89" x14ac:dyDescent="0.15">
      <c r="AU176" s="109"/>
      <c r="AW176" s="109"/>
      <c r="AX176" s="109"/>
      <c r="AY176" s="110"/>
      <c r="BA176" s="109"/>
      <c r="BD176" s="109"/>
      <c r="BF176" s="109"/>
      <c r="BG176" s="109"/>
      <c r="BH176" s="110"/>
      <c r="BJ176" s="109"/>
      <c r="BM176" s="109"/>
      <c r="BO176" s="109"/>
      <c r="BP176" s="109"/>
      <c r="BQ176" s="110"/>
      <c r="BS176" s="109"/>
      <c r="BV176" s="109"/>
      <c r="BX176" s="109"/>
      <c r="BY176" s="109"/>
      <c r="BZ176" s="110"/>
      <c r="CB176" s="109"/>
      <c r="CE176" s="109"/>
      <c r="CG176" s="109"/>
      <c r="CH176" s="109"/>
      <c r="CI176" s="110"/>
      <c r="CK176" s="109"/>
    </row>
    <row r="177" spans="47:89" x14ac:dyDescent="0.15">
      <c r="AU177" s="109"/>
      <c r="AW177" s="109"/>
      <c r="AX177" s="109"/>
      <c r="AY177" s="110"/>
      <c r="BA177" s="109"/>
      <c r="BD177" s="109"/>
      <c r="BF177" s="109"/>
      <c r="BG177" s="109"/>
      <c r="BH177" s="110"/>
      <c r="BJ177" s="109"/>
      <c r="BM177" s="109"/>
      <c r="BO177" s="109"/>
      <c r="BP177" s="109"/>
      <c r="BQ177" s="110"/>
      <c r="BS177" s="109"/>
      <c r="BV177" s="109"/>
      <c r="BX177" s="109"/>
      <c r="BY177" s="109"/>
      <c r="BZ177" s="110"/>
      <c r="CB177" s="109"/>
      <c r="CE177" s="109"/>
      <c r="CG177" s="109"/>
      <c r="CH177" s="109"/>
      <c r="CI177" s="110"/>
      <c r="CK177" s="109"/>
    </row>
    <row r="178" spans="47:89" x14ac:dyDescent="0.15">
      <c r="AU178" s="109"/>
      <c r="AW178" s="109"/>
      <c r="AX178" s="109"/>
      <c r="AY178" s="110"/>
      <c r="BA178" s="109"/>
      <c r="BD178" s="109"/>
      <c r="BF178" s="109"/>
      <c r="BG178" s="109"/>
      <c r="BH178" s="110"/>
      <c r="BJ178" s="109"/>
      <c r="BM178" s="109"/>
      <c r="BO178" s="109"/>
      <c r="BP178" s="109"/>
      <c r="BQ178" s="110"/>
      <c r="BS178" s="109"/>
      <c r="BV178" s="109"/>
      <c r="BX178" s="109"/>
      <c r="BY178" s="109"/>
      <c r="BZ178" s="110"/>
      <c r="CB178" s="109"/>
      <c r="CE178" s="109"/>
      <c r="CG178" s="109"/>
      <c r="CH178" s="109"/>
      <c r="CI178" s="110"/>
      <c r="CK178" s="109"/>
    </row>
  </sheetData>
  <mergeCells count="10">
    <mergeCell ref="D16:E18"/>
    <mergeCell ref="D2:E2"/>
    <mergeCell ref="D4:E6"/>
    <mergeCell ref="D8:E10"/>
    <mergeCell ref="D12:E14"/>
    <mergeCell ref="D28:E30"/>
    <mergeCell ref="D32:E34"/>
    <mergeCell ref="D36:E38"/>
    <mergeCell ref="D20:E22"/>
    <mergeCell ref="D24:E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61" r:id="rId4" name="Drop1">
          <controlPr defaultSize="0" autoLine="0" r:id="rId5">
            <anchor moveWithCells="1">
              <from>
                <xdr:col>3</xdr:col>
                <xdr:colOff>133350</xdr:colOff>
                <xdr:row>3</xdr:row>
                <xdr:rowOff>66675</xdr:rowOff>
              </from>
              <to>
                <xdr:col>4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19461" r:id="rId4" name="Drop1"/>
      </mc:Fallback>
    </mc:AlternateContent>
    <mc:AlternateContent xmlns:mc="http://schemas.openxmlformats.org/markup-compatibility/2006">
      <mc:Choice Requires="x14">
        <control shapeId="19462" r:id="rId6" name="drop2">
          <controlPr defaultSize="0" autoLine="0" r:id="rId7">
            <anchor moveWithCells="1">
              <from>
                <xdr:col>3</xdr:col>
                <xdr:colOff>133350</xdr:colOff>
                <xdr:row>7</xdr:row>
                <xdr:rowOff>76200</xdr:rowOff>
              </from>
              <to>
                <xdr:col>4</xdr:col>
                <xdr:colOff>561975</xdr:colOff>
                <xdr:row>9</xdr:row>
                <xdr:rowOff>95250</xdr:rowOff>
              </to>
            </anchor>
          </controlPr>
        </control>
      </mc:Choice>
      <mc:Fallback>
        <control shapeId="19462" r:id="rId6" name="drop2"/>
      </mc:Fallback>
    </mc:AlternateContent>
    <mc:AlternateContent xmlns:mc="http://schemas.openxmlformats.org/markup-compatibility/2006">
      <mc:Choice Requires="x14">
        <control shapeId="19463" r:id="rId8" name="drop3">
          <controlPr defaultSize="0" autoLine="0" r:id="rId9">
            <anchor moveWithCells="1">
              <from>
                <xdr:col>3</xdr:col>
                <xdr:colOff>133350</xdr:colOff>
                <xdr:row>11</xdr:row>
                <xdr:rowOff>76200</xdr:rowOff>
              </from>
              <to>
                <xdr:col>4</xdr:col>
                <xdr:colOff>561975</xdr:colOff>
                <xdr:row>13</xdr:row>
                <xdr:rowOff>95250</xdr:rowOff>
              </to>
            </anchor>
          </controlPr>
        </control>
      </mc:Choice>
      <mc:Fallback>
        <control shapeId="19463" r:id="rId8" name="drop3"/>
      </mc:Fallback>
    </mc:AlternateContent>
    <mc:AlternateContent xmlns:mc="http://schemas.openxmlformats.org/markup-compatibility/2006">
      <mc:Choice Requires="x14">
        <control shapeId="19464" r:id="rId10" name="drop5">
          <controlPr defaultSize="0" autoLine="0" r:id="rId11">
            <anchor moveWithCells="1">
              <from>
                <xdr:col>3</xdr:col>
                <xdr:colOff>133350</xdr:colOff>
                <xdr:row>19</xdr:row>
                <xdr:rowOff>66675</xdr:rowOff>
              </from>
              <to>
                <xdr:col>4</xdr:col>
                <xdr:colOff>561975</xdr:colOff>
                <xdr:row>21</xdr:row>
                <xdr:rowOff>85725</xdr:rowOff>
              </to>
            </anchor>
          </controlPr>
        </control>
      </mc:Choice>
      <mc:Fallback>
        <control shapeId="19464" r:id="rId10" name="drop5"/>
      </mc:Fallback>
    </mc:AlternateContent>
    <mc:AlternateContent xmlns:mc="http://schemas.openxmlformats.org/markup-compatibility/2006">
      <mc:Choice Requires="x14">
        <control shapeId="19465" r:id="rId12" name="drop4">
          <controlPr defaultSize="0" autoLine="0" r:id="rId13">
            <anchor moveWithCells="1">
              <from>
                <xdr:col>3</xdr:col>
                <xdr:colOff>133350</xdr:colOff>
                <xdr:row>15</xdr:row>
                <xdr:rowOff>76200</xdr:rowOff>
              </from>
              <to>
                <xdr:col>4</xdr:col>
                <xdr:colOff>561975</xdr:colOff>
                <xdr:row>17</xdr:row>
                <xdr:rowOff>95250</xdr:rowOff>
              </to>
            </anchor>
          </controlPr>
        </control>
      </mc:Choice>
      <mc:Fallback>
        <control shapeId="19465" r:id="rId12" name="drop4"/>
      </mc:Fallback>
    </mc:AlternateContent>
    <mc:AlternateContent xmlns:mc="http://schemas.openxmlformats.org/markup-compatibility/2006">
      <mc:Choice Requires="x14">
        <control shapeId="19472" r:id="rId14" name="Drop6">
          <controlPr defaultSize="0" autoLine="0" r:id="rId15">
            <anchor moveWithCells="1">
              <from>
                <xdr:col>3</xdr:col>
                <xdr:colOff>133350</xdr:colOff>
                <xdr:row>23</xdr:row>
                <xdr:rowOff>66675</xdr:rowOff>
              </from>
              <to>
                <xdr:col>4</xdr:col>
                <xdr:colOff>561975</xdr:colOff>
                <xdr:row>25</xdr:row>
                <xdr:rowOff>85725</xdr:rowOff>
              </to>
            </anchor>
          </controlPr>
        </control>
      </mc:Choice>
      <mc:Fallback>
        <control shapeId="19472" r:id="rId14" name="Drop6"/>
      </mc:Fallback>
    </mc:AlternateContent>
    <mc:AlternateContent xmlns:mc="http://schemas.openxmlformats.org/markup-compatibility/2006">
      <mc:Choice Requires="x14">
        <control shapeId="19473" r:id="rId16" name="Drop7">
          <controlPr defaultSize="0" autoLine="0" r:id="rId17">
            <anchor moveWithCells="1">
              <from>
                <xdr:col>3</xdr:col>
                <xdr:colOff>133350</xdr:colOff>
                <xdr:row>27</xdr:row>
                <xdr:rowOff>66675</xdr:rowOff>
              </from>
              <to>
                <xdr:col>4</xdr:col>
                <xdr:colOff>561975</xdr:colOff>
                <xdr:row>29</xdr:row>
                <xdr:rowOff>85725</xdr:rowOff>
              </to>
            </anchor>
          </controlPr>
        </control>
      </mc:Choice>
      <mc:Fallback>
        <control shapeId="19473" r:id="rId16" name="Drop7"/>
      </mc:Fallback>
    </mc:AlternateContent>
    <mc:AlternateContent xmlns:mc="http://schemas.openxmlformats.org/markup-compatibility/2006">
      <mc:Choice Requires="x14">
        <control shapeId="19474" r:id="rId18" name="Drop8">
          <controlPr defaultSize="0" autoLine="0" r:id="rId19">
            <anchor moveWithCells="1">
              <from>
                <xdr:col>3</xdr:col>
                <xdr:colOff>133350</xdr:colOff>
                <xdr:row>31</xdr:row>
                <xdr:rowOff>66675</xdr:rowOff>
              </from>
              <to>
                <xdr:col>4</xdr:col>
                <xdr:colOff>561975</xdr:colOff>
                <xdr:row>33</xdr:row>
                <xdr:rowOff>85725</xdr:rowOff>
              </to>
            </anchor>
          </controlPr>
        </control>
      </mc:Choice>
      <mc:Fallback>
        <control shapeId="19474" r:id="rId18" name="Drop8"/>
      </mc:Fallback>
    </mc:AlternateContent>
    <mc:AlternateContent xmlns:mc="http://schemas.openxmlformats.org/markup-compatibility/2006">
      <mc:Choice Requires="x14">
        <control shapeId="19475" r:id="rId20" name="Drop9">
          <controlPr defaultSize="0" autoLine="0" r:id="rId21">
            <anchor moveWithCells="1">
              <from>
                <xdr:col>3</xdr:col>
                <xdr:colOff>133350</xdr:colOff>
                <xdr:row>35</xdr:row>
                <xdr:rowOff>66675</xdr:rowOff>
              </from>
              <to>
                <xdr:col>4</xdr:col>
                <xdr:colOff>561975</xdr:colOff>
                <xdr:row>37</xdr:row>
                <xdr:rowOff>85725</xdr:rowOff>
              </to>
            </anchor>
          </controlPr>
        </control>
      </mc:Choice>
      <mc:Fallback>
        <control shapeId="19475" r:id="rId20" name="Drop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总览</vt:lpstr>
      <vt:lpstr>战斗模拟</vt:lpstr>
      <vt:lpstr>属性价值</vt:lpstr>
      <vt:lpstr>角色属性</vt:lpstr>
      <vt:lpstr>附加属性</vt:lpstr>
      <vt:lpstr>怪物属性</vt:lpstr>
      <vt:lpstr>技能属性</vt:lpstr>
      <vt:lpstr>装备属性</vt:lpstr>
      <vt:lpstr>装备价格</vt:lpstr>
      <vt:lpstr>装备强化</vt:lpstr>
      <vt:lpstr>材料数据</vt:lpstr>
      <vt:lpstr>装备升级</vt:lpstr>
      <vt:lpstr>装备改造</vt:lpstr>
      <vt:lpstr>金钱消耗</vt:lpstr>
      <vt:lpstr>药品数据</vt:lpstr>
      <vt:lpstr>陷阱数据</vt:lpstr>
      <vt:lpstr>掉落配置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youle</dc:creator>
  <cp:lastModifiedBy>Administrator</cp:lastModifiedBy>
  <dcterms:created xsi:type="dcterms:W3CDTF">2006-09-16T00:00:00Z</dcterms:created>
  <dcterms:modified xsi:type="dcterms:W3CDTF">2017-02-15T02:32:23Z</dcterms:modified>
</cp:coreProperties>
</file>