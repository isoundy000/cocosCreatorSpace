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ide\Space_project\design\配置表\"/>
    </mc:Choice>
  </mc:AlternateContent>
  <bookViews>
    <workbookView xWindow="0" yWindow="0" windowWidth="28800" windowHeight="11910" activeTab="1"/>
  </bookViews>
  <sheets>
    <sheet name="设计" sheetId="1" r:id="rId1"/>
    <sheet name="ID" sheetId="3" r:id="rId2"/>
    <sheet name="导表" sheetId="5" r:id="rId3"/>
    <sheet name="装备包" sheetId="2" r:id="rId4"/>
    <sheet name="杂物包" sheetId="4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1" i="5" l="1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30" i="5"/>
  <c r="L231" i="5"/>
  <c r="M231" i="5"/>
  <c r="N231" i="5"/>
  <c r="O231" i="5"/>
  <c r="L232" i="5"/>
  <c r="M232" i="5"/>
  <c r="N232" i="5"/>
  <c r="O232" i="5"/>
  <c r="L233" i="5"/>
  <c r="M233" i="5"/>
  <c r="N233" i="5"/>
  <c r="O233" i="5"/>
  <c r="L234" i="5"/>
  <c r="M234" i="5"/>
  <c r="N234" i="5"/>
  <c r="O234" i="5"/>
  <c r="L235" i="5"/>
  <c r="M235" i="5"/>
  <c r="N235" i="5"/>
  <c r="O235" i="5"/>
  <c r="L236" i="5"/>
  <c r="M236" i="5"/>
  <c r="N236" i="5"/>
  <c r="O236" i="5"/>
  <c r="L237" i="5"/>
  <c r="M237" i="5"/>
  <c r="N237" i="5"/>
  <c r="O237" i="5"/>
  <c r="L238" i="5"/>
  <c r="M238" i="5"/>
  <c r="N238" i="5"/>
  <c r="O238" i="5"/>
  <c r="L239" i="5"/>
  <c r="M239" i="5"/>
  <c r="N239" i="5"/>
  <c r="O239" i="5"/>
  <c r="L240" i="5"/>
  <c r="M240" i="5"/>
  <c r="N240" i="5"/>
  <c r="O240" i="5"/>
  <c r="L241" i="5"/>
  <c r="M241" i="5"/>
  <c r="N241" i="5"/>
  <c r="O241" i="5"/>
  <c r="L242" i="5"/>
  <c r="M242" i="5"/>
  <c r="N242" i="5"/>
  <c r="O242" i="5"/>
  <c r="L243" i="5"/>
  <c r="M243" i="5"/>
  <c r="N243" i="5"/>
  <c r="O243" i="5"/>
  <c r="L244" i="5"/>
  <c r="M244" i="5"/>
  <c r="N244" i="5"/>
  <c r="O244" i="5"/>
  <c r="L245" i="5"/>
  <c r="M245" i="5"/>
  <c r="N245" i="5"/>
  <c r="O245" i="5"/>
  <c r="L246" i="5"/>
  <c r="M246" i="5"/>
  <c r="N246" i="5"/>
  <c r="O246" i="5"/>
  <c r="L247" i="5"/>
  <c r="M247" i="5"/>
  <c r="N247" i="5"/>
  <c r="O247" i="5"/>
  <c r="L248" i="5"/>
  <c r="M248" i="5"/>
  <c r="N248" i="5"/>
  <c r="O248" i="5"/>
  <c r="L249" i="5"/>
  <c r="M249" i="5"/>
  <c r="N249" i="5"/>
  <c r="O249" i="5"/>
  <c r="L250" i="5"/>
  <c r="M250" i="5"/>
  <c r="N250" i="5"/>
  <c r="O250" i="5"/>
  <c r="L251" i="5"/>
  <c r="M251" i="5"/>
  <c r="N251" i="5"/>
  <c r="O251" i="5"/>
  <c r="L252" i="5"/>
  <c r="M252" i="5"/>
  <c r="N252" i="5"/>
  <c r="O252" i="5"/>
  <c r="L253" i="5"/>
  <c r="M253" i="5"/>
  <c r="N253" i="5"/>
  <c r="O253" i="5"/>
  <c r="L254" i="5"/>
  <c r="M254" i="5"/>
  <c r="N254" i="5"/>
  <c r="O254" i="5"/>
  <c r="O230" i="5"/>
  <c r="N230" i="5"/>
  <c r="M230" i="5"/>
  <c r="L230" i="5"/>
  <c r="K33" i="5" l="1"/>
  <c r="L33" i="5"/>
  <c r="M33" i="5"/>
  <c r="N33" i="5"/>
  <c r="O33" i="5"/>
  <c r="K34" i="5"/>
  <c r="L34" i="5"/>
  <c r="M34" i="5"/>
  <c r="N34" i="5"/>
  <c r="O34" i="5"/>
  <c r="I34" i="5" s="1"/>
  <c r="K35" i="5"/>
  <c r="L35" i="5"/>
  <c r="M35" i="5"/>
  <c r="N35" i="5"/>
  <c r="O35" i="5"/>
  <c r="K36" i="5"/>
  <c r="L36" i="5"/>
  <c r="I36" i="5" s="1"/>
  <c r="M36" i="5"/>
  <c r="N36" i="5"/>
  <c r="O36" i="5"/>
  <c r="O32" i="5"/>
  <c r="N32" i="5"/>
  <c r="M32" i="5"/>
  <c r="L32" i="5"/>
  <c r="K32" i="5"/>
  <c r="I33" i="5"/>
  <c r="I23" i="2"/>
  <c r="L23" i="2" s="1"/>
  <c r="O23" i="2" s="1"/>
  <c r="F19" i="2"/>
  <c r="I19" i="2" s="1"/>
  <c r="L19" i="2" s="1"/>
  <c r="O19" i="2" s="1"/>
  <c r="F20" i="2"/>
  <c r="I20" i="2" s="1"/>
  <c r="L20" i="2" s="1"/>
  <c r="O20" i="2" s="1"/>
  <c r="F21" i="2"/>
  <c r="I21" i="2" s="1"/>
  <c r="L21" i="2" s="1"/>
  <c r="O21" i="2" s="1"/>
  <c r="F22" i="2"/>
  <c r="I22" i="2" s="1"/>
  <c r="L22" i="2" s="1"/>
  <c r="O22" i="2" s="1"/>
  <c r="F23" i="2"/>
  <c r="F24" i="2"/>
  <c r="I24" i="2" s="1"/>
  <c r="L24" i="2" s="1"/>
  <c r="O24" i="2" s="1"/>
  <c r="F25" i="2"/>
  <c r="I25" i="2" s="1"/>
  <c r="L25" i="2" s="1"/>
  <c r="O25" i="2" s="1"/>
  <c r="F26" i="2"/>
  <c r="I26" i="2" s="1"/>
  <c r="L26" i="2" s="1"/>
  <c r="O26" i="2" s="1"/>
  <c r="F27" i="2"/>
  <c r="I27" i="2" s="1"/>
  <c r="L27" i="2" s="1"/>
  <c r="O27" i="2" s="1"/>
  <c r="F28" i="2"/>
  <c r="I28" i="2" s="1"/>
  <c r="L28" i="2" s="1"/>
  <c r="O28" i="2" s="1"/>
  <c r="F18" i="2"/>
  <c r="I18" i="2" s="1"/>
  <c r="L18" i="2" s="1"/>
  <c r="O18" i="2" s="1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02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74" i="5"/>
  <c r="K147" i="5"/>
  <c r="L147" i="5"/>
  <c r="K148" i="5"/>
  <c r="L148" i="5"/>
  <c r="K149" i="5"/>
  <c r="L149" i="5"/>
  <c r="K150" i="5"/>
  <c r="L150" i="5"/>
  <c r="K151" i="5"/>
  <c r="L151" i="5"/>
  <c r="K152" i="5"/>
  <c r="L152" i="5"/>
  <c r="K153" i="5"/>
  <c r="L153" i="5"/>
  <c r="K154" i="5"/>
  <c r="L154" i="5"/>
  <c r="K155" i="5"/>
  <c r="L155" i="5"/>
  <c r="K156" i="5"/>
  <c r="L156" i="5"/>
  <c r="K157" i="5"/>
  <c r="L157" i="5"/>
  <c r="K158" i="5"/>
  <c r="L158" i="5"/>
  <c r="K159" i="5"/>
  <c r="L159" i="5"/>
  <c r="K160" i="5"/>
  <c r="L160" i="5"/>
  <c r="K161" i="5"/>
  <c r="L161" i="5"/>
  <c r="K162" i="5"/>
  <c r="L162" i="5"/>
  <c r="K163" i="5"/>
  <c r="L163" i="5"/>
  <c r="K164" i="5"/>
  <c r="L164" i="5"/>
  <c r="K165" i="5"/>
  <c r="L165" i="5"/>
  <c r="K166" i="5"/>
  <c r="L166" i="5"/>
  <c r="K167" i="5"/>
  <c r="L167" i="5"/>
  <c r="K168" i="5"/>
  <c r="L168" i="5"/>
  <c r="K169" i="5"/>
  <c r="L169" i="5"/>
  <c r="K170" i="5"/>
  <c r="L170" i="5"/>
  <c r="L146" i="5"/>
  <c r="K146" i="5"/>
  <c r="K4" i="5"/>
  <c r="AC24" i="5"/>
  <c r="AG50" i="5" s="1"/>
  <c r="AA24" i="5"/>
  <c r="AF50" i="5" s="1"/>
  <c r="Y24" i="5"/>
  <c r="AE50" i="5" s="1"/>
  <c r="AC23" i="5"/>
  <c r="AG49" i="5" s="1"/>
  <c r="AA23" i="5"/>
  <c r="AF49" i="5" s="1"/>
  <c r="Y23" i="5"/>
  <c r="AE49" i="5" s="1"/>
  <c r="AC22" i="5"/>
  <c r="AG48" i="5" s="1"/>
  <c r="AA22" i="5"/>
  <c r="AF48" i="5" s="1"/>
  <c r="Y22" i="5"/>
  <c r="AE48" i="5" s="1"/>
  <c r="AC21" i="5"/>
  <c r="AG47" i="5" s="1"/>
  <c r="AA21" i="5"/>
  <c r="AF47" i="5" s="1"/>
  <c r="Y21" i="5"/>
  <c r="AE47" i="5" s="1"/>
  <c r="AC20" i="5"/>
  <c r="AG46" i="5" s="1"/>
  <c r="AA20" i="5"/>
  <c r="AF46" i="5" s="1"/>
  <c r="Y20" i="5"/>
  <c r="AE46" i="5" s="1"/>
  <c r="AC19" i="5"/>
  <c r="AG45" i="5" s="1"/>
  <c r="AA19" i="5"/>
  <c r="AF45" i="5" s="1"/>
  <c r="Y19" i="5"/>
  <c r="AE45" i="5" s="1"/>
  <c r="AC18" i="5"/>
  <c r="AG44" i="5" s="1"/>
  <c r="AA18" i="5"/>
  <c r="AF44" i="5" s="1"/>
  <c r="Y18" i="5"/>
  <c r="AE44" i="5" s="1"/>
  <c r="AC17" i="5"/>
  <c r="AG43" i="5" s="1"/>
  <c r="AA17" i="5"/>
  <c r="AF43" i="5" s="1"/>
  <c r="Y17" i="5"/>
  <c r="AE43" i="5" s="1"/>
  <c r="AC16" i="5"/>
  <c r="AG42" i="5" s="1"/>
  <c r="AA16" i="5"/>
  <c r="AF42" i="5" s="1"/>
  <c r="Y16" i="5"/>
  <c r="AA15" i="5"/>
  <c r="AF41" i="5" s="1"/>
  <c r="Y15" i="5"/>
  <c r="AE41" i="5" s="1"/>
  <c r="AA3" i="5"/>
  <c r="AF3" i="5" s="1"/>
  <c r="Y3" i="5"/>
  <c r="AE3" i="5" s="1"/>
  <c r="I35" i="5" l="1"/>
  <c r="I32" i="5"/>
  <c r="AE42" i="5"/>
  <c r="V16" i="5" s="1"/>
  <c r="V19" i="5"/>
  <c r="V21" i="5"/>
  <c r="V24" i="5"/>
  <c r="V20" i="5"/>
  <c r="V18" i="5"/>
  <c r="V23" i="5"/>
  <c r="V15" i="5"/>
  <c r="V22" i="5"/>
  <c r="V17" i="5"/>
  <c r="W19" i="2"/>
  <c r="X19" i="2"/>
  <c r="Y19" i="2"/>
  <c r="Z19" i="2"/>
  <c r="AA19" i="2"/>
  <c r="W20" i="2"/>
  <c r="X20" i="2"/>
  <c r="Y20" i="2"/>
  <c r="Z20" i="2"/>
  <c r="AA20" i="2"/>
  <c r="W21" i="2"/>
  <c r="X21" i="2"/>
  <c r="Y21" i="2"/>
  <c r="Z21" i="2"/>
  <c r="AA21" i="2"/>
  <c r="W22" i="2"/>
  <c r="X22" i="2"/>
  <c r="Y22" i="2"/>
  <c r="Z22" i="2"/>
  <c r="AA22" i="2"/>
  <c r="W23" i="2"/>
  <c r="X23" i="2"/>
  <c r="Y23" i="2"/>
  <c r="Z23" i="2"/>
  <c r="AA23" i="2"/>
  <c r="W24" i="2"/>
  <c r="X24" i="2"/>
  <c r="Y24" i="2"/>
  <c r="Z24" i="2"/>
  <c r="AA24" i="2"/>
  <c r="W25" i="2"/>
  <c r="X25" i="2"/>
  <c r="Y25" i="2"/>
  <c r="Z25" i="2"/>
  <c r="AA25" i="2"/>
  <c r="W26" i="2"/>
  <c r="X26" i="2"/>
  <c r="Y26" i="2"/>
  <c r="Z26" i="2"/>
  <c r="AA26" i="2"/>
  <c r="W27" i="2"/>
  <c r="X27" i="2"/>
  <c r="Y27" i="2"/>
  <c r="Z27" i="2"/>
  <c r="AA27" i="2"/>
  <c r="W28" i="2"/>
  <c r="X28" i="2"/>
  <c r="Y28" i="2"/>
  <c r="Z28" i="2"/>
  <c r="AA28" i="2"/>
  <c r="AA18" i="2"/>
  <c r="Z18" i="2"/>
  <c r="Y18" i="2"/>
  <c r="X18" i="2"/>
  <c r="W18" i="2"/>
  <c r="C6" i="2"/>
  <c r="W6" i="2" s="1"/>
  <c r="D6" i="2"/>
  <c r="F6" i="2"/>
  <c r="G6" i="2"/>
  <c r="H6" i="2"/>
  <c r="I6" i="2"/>
  <c r="J6" i="2"/>
  <c r="K6" i="2"/>
  <c r="L6" i="2"/>
  <c r="Z6" i="2" s="1"/>
  <c r="M6" i="2"/>
  <c r="O6" i="2"/>
  <c r="AA6" i="2" s="1"/>
  <c r="P6" i="2"/>
  <c r="C7" i="2"/>
  <c r="W7" i="2" s="1"/>
  <c r="D7" i="2"/>
  <c r="F7" i="2"/>
  <c r="G7" i="2"/>
  <c r="H7" i="2"/>
  <c r="I7" i="2"/>
  <c r="J7" i="2"/>
  <c r="K7" i="2"/>
  <c r="L7" i="2"/>
  <c r="Z7" i="2" s="1"/>
  <c r="M7" i="2"/>
  <c r="O7" i="2"/>
  <c r="AA7" i="2" s="1"/>
  <c r="P7" i="2"/>
  <c r="C8" i="2"/>
  <c r="W8" i="2" s="1"/>
  <c r="D8" i="2"/>
  <c r="F8" i="2"/>
  <c r="G8" i="2"/>
  <c r="H8" i="2"/>
  <c r="I8" i="2"/>
  <c r="J8" i="2"/>
  <c r="K8" i="2"/>
  <c r="L8" i="2"/>
  <c r="Z8" i="2" s="1"/>
  <c r="M8" i="2"/>
  <c r="O8" i="2"/>
  <c r="AA8" i="2" s="1"/>
  <c r="P8" i="2"/>
  <c r="C9" i="2"/>
  <c r="W9" i="2" s="1"/>
  <c r="D9" i="2"/>
  <c r="F9" i="2"/>
  <c r="G9" i="2"/>
  <c r="H9" i="2"/>
  <c r="I9" i="2"/>
  <c r="J9" i="2"/>
  <c r="K9" i="2"/>
  <c r="L9" i="2"/>
  <c r="Z9" i="2" s="1"/>
  <c r="M9" i="2"/>
  <c r="O9" i="2"/>
  <c r="AA9" i="2" s="1"/>
  <c r="P9" i="2"/>
  <c r="C10" i="2"/>
  <c r="W10" i="2" s="1"/>
  <c r="D10" i="2"/>
  <c r="F10" i="2"/>
  <c r="G10" i="2"/>
  <c r="H10" i="2"/>
  <c r="I10" i="2"/>
  <c r="J10" i="2"/>
  <c r="K10" i="2"/>
  <c r="L10" i="2"/>
  <c r="Z10" i="2" s="1"/>
  <c r="M10" i="2"/>
  <c r="O10" i="2"/>
  <c r="AA10" i="2" s="1"/>
  <c r="P10" i="2"/>
  <c r="C11" i="2"/>
  <c r="W11" i="2" s="1"/>
  <c r="D11" i="2"/>
  <c r="F11" i="2"/>
  <c r="G11" i="2"/>
  <c r="H11" i="2"/>
  <c r="I11" i="2"/>
  <c r="J11" i="2"/>
  <c r="K11" i="2"/>
  <c r="L11" i="2"/>
  <c r="Z11" i="2" s="1"/>
  <c r="M11" i="2"/>
  <c r="O11" i="2"/>
  <c r="AA11" i="2" s="1"/>
  <c r="P11" i="2"/>
  <c r="C12" i="2"/>
  <c r="W12" i="2" s="1"/>
  <c r="D12" i="2"/>
  <c r="F12" i="2"/>
  <c r="G12" i="2"/>
  <c r="H12" i="2"/>
  <c r="I12" i="2"/>
  <c r="J12" i="2"/>
  <c r="K12" i="2"/>
  <c r="L12" i="2"/>
  <c r="Z12" i="2" s="1"/>
  <c r="M12" i="2"/>
  <c r="O12" i="2"/>
  <c r="AA12" i="2" s="1"/>
  <c r="P12" i="2"/>
  <c r="C13" i="2"/>
  <c r="W13" i="2" s="1"/>
  <c r="D13" i="2"/>
  <c r="F13" i="2"/>
  <c r="G13" i="2"/>
  <c r="H13" i="2"/>
  <c r="I13" i="2"/>
  <c r="J13" i="2"/>
  <c r="K13" i="2"/>
  <c r="L13" i="2"/>
  <c r="Z13" i="2" s="1"/>
  <c r="M13" i="2"/>
  <c r="O13" i="2"/>
  <c r="AA13" i="2" s="1"/>
  <c r="P13" i="2"/>
  <c r="C14" i="2"/>
  <c r="W14" i="2" s="1"/>
  <c r="D14" i="2"/>
  <c r="F14" i="2"/>
  <c r="G14" i="2"/>
  <c r="H14" i="2"/>
  <c r="I14" i="2"/>
  <c r="J14" i="2"/>
  <c r="K14" i="2"/>
  <c r="L14" i="2"/>
  <c r="Z14" i="2" s="1"/>
  <c r="M14" i="2"/>
  <c r="O14" i="2"/>
  <c r="AA14" i="2" s="1"/>
  <c r="P14" i="2"/>
  <c r="C15" i="2"/>
  <c r="W15" i="2" s="1"/>
  <c r="D15" i="2"/>
  <c r="F15" i="2"/>
  <c r="G15" i="2"/>
  <c r="H15" i="2"/>
  <c r="I15" i="2"/>
  <c r="J15" i="2"/>
  <c r="K15" i="2"/>
  <c r="L15" i="2"/>
  <c r="Z15" i="2" s="1"/>
  <c r="M15" i="2"/>
  <c r="O15" i="2"/>
  <c r="AA15" i="2" s="1"/>
  <c r="P15" i="2"/>
  <c r="D5" i="2"/>
  <c r="F5" i="2"/>
  <c r="G5" i="2"/>
  <c r="H5" i="2"/>
  <c r="I5" i="2"/>
  <c r="J5" i="2"/>
  <c r="K5" i="2"/>
  <c r="L5" i="2"/>
  <c r="Z5" i="2" s="1"/>
  <c r="M5" i="2"/>
  <c r="O5" i="2"/>
  <c r="AA5" i="2" s="1"/>
  <c r="P5" i="2"/>
  <c r="C5" i="2"/>
  <c r="W5" i="2" s="1"/>
  <c r="E73" i="4"/>
  <c r="E74" i="4"/>
  <c r="E75" i="4"/>
  <c r="E76" i="4"/>
  <c r="E77" i="4"/>
  <c r="E78" i="4"/>
  <c r="E79" i="4"/>
  <c r="E72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47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21" i="4"/>
  <c r="U12" i="4"/>
  <c r="U11" i="4"/>
  <c r="U10" i="4"/>
  <c r="U9" i="4"/>
  <c r="U8" i="4"/>
  <c r="U7" i="4"/>
  <c r="U6" i="4"/>
  <c r="U5" i="4"/>
  <c r="U4" i="4"/>
  <c r="U3" i="4"/>
  <c r="Q12" i="4"/>
  <c r="Q11" i="4"/>
  <c r="Q10" i="4"/>
  <c r="Q9" i="4"/>
  <c r="Q8" i="4"/>
  <c r="Q7" i="4"/>
  <c r="Q6" i="4"/>
  <c r="Q5" i="4"/>
  <c r="Q4" i="4"/>
  <c r="Q3" i="4"/>
  <c r="M12" i="4"/>
  <c r="M11" i="4"/>
  <c r="M10" i="4"/>
  <c r="M9" i="4"/>
  <c r="M8" i="4"/>
  <c r="M7" i="4"/>
  <c r="M6" i="4"/>
  <c r="M5" i="4"/>
  <c r="M4" i="4"/>
  <c r="M3" i="4"/>
  <c r="I12" i="4"/>
  <c r="I11" i="4"/>
  <c r="I10" i="4"/>
  <c r="I9" i="4"/>
  <c r="I8" i="4"/>
  <c r="I7" i="4"/>
  <c r="I6" i="4"/>
  <c r="I5" i="4"/>
  <c r="I4" i="4"/>
  <c r="I3" i="4"/>
  <c r="E12" i="4"/>
  <c r="E4" i="4"/>
  <c r="E5" i="4"/>
  <c r="E6" i="4"/>
  <c r="E7" i="4"/>
  <c r="E8" i="4"/>
  <c r="E9" i="4"/>
  <c r="E10" i="4"/>
  <c r="E11" i="4"/>
  <c r="E3" i="4"/>
  <c r="K94" i="5"/>
  <c r="L94" i="5"/>
  <c r="M94" i="5"/>
  <c r="N94" i="5"/>
  <c r="K95" i="5"/>
  <c r="L95" i="5"/>
  <c r="M95" i="5"/>
  <c r="N95" i="5"/>
  <c r="K96" i="5"/>
  <c r="L96" i="5"/>
  <c r="M96" i="5"/>
  <c r="N96" i="5"/>
  <c r="K97" i="5"/>
  <c r="L97" i="5"/>
  <c r="M97" i="5"/>
  <c r="N97" i="5"/>
  <c r="K98" i="5"/>
  <c r="L98" i="5"/>
  <c r="M98" i="5"/>
  <c r="N98" i="5"/>
  <c r="K99" i="5"/>
  <c r="L99" i="5"/>
  <c r="M99" i="5"/>
  <c r="N99" i="5"/>
  <c r="K100" i="5"/>
  <c r="L100" i="5"/>
  <c r="M100" i="5"/>
  <c r="N100" i="5"/>
  <c r="K101" i="5"/>
  <c r="L101" i="5"/>
  <c r="M101" i="5"/>
  <c r="N101" i="5"/>
  <c r="K102" i="5"/>
  <c r="L102" i="5"/>
  <c r="M102" i="5"/>
  <c r="N102" i="5"/>
  <c r="K103" i="5"/>
  <c r="L103" i="5"/>
  <c r="M103" i="5"/>
  <c r="N103" i="5"/>
  <c r="K104" i="5"/>
  <c r="L104" i="5"/>
  <c r="M104" i="5"/>
  <c r="N104" i="5"/>
  <c r="K105" i="5"/>
  <c r="L105" i="5"/>
  <c r="M105" i="5"/>
  <c r="N105" i="5"/>
  <c r="K106" i="5"/>
  <c r="L106" i="5"/>
  <c r="M106" i="5"/>
  <c r="N106" i="5"/>
  <c r="K107" i="5"/>
  <c r="L107" i="5"/>
  <c r="M107" i="5"/>
  <c r="N107" i="5"/>
  <c r="K108" i="5"/>
  <c r="L108" i="5"/>
  <c r="M108" i="5"/>
  <c r="N108" i="5"/>
  <c r="K109" i="5"/>
  <c r="L109" i="5"/>
  <c r="M109" i="5"/>
  <c r="N109" i="5"/>
  <c r="K110" i="5"/>
  <c r="L110" i="5"/>
  <c r="M110" i="5"/>
  <c r="N110" i="5"/>
  <c r="K111" i="5"/>
  <c r="L111" i="5"/>
  <c r="M111" i="5"/>
  <c r="N111" i="5"/>
  <c r="K112" i="5"/>
  <c r="L112" i="5"/>
  <c r="M112" i="5"/>
  <c r="N112" i="5"/>
  <c r="K113" i="5"/>
  <c r="L113" i="5"/>
  <c r="M113" i="5"/>
  <c r="N113" i="5"/>
  <c r="K114" i="5"/>
  <c r="L114" i="5"/>
  <c r="M114" i="5"/>
  <c r="N114" i="5"/>
  <c r="K115" i="5"/>
  <c r="L115" i="5"/>
  <c r="M115" i="5"/>
  <c r="N115" i="5"/>
  <c r="K116" i="5"/>
  <c r="L116" i="5"/>
  <c r="M116" i="5"/>
  <c r="N116" i="5"/>
  <c r="K117" i="5"/>
  <c r="L117" i="5"/>
  <c r="M117" i="5"/>
  <c r="N117" i="5"/>
  <c r="K118" i="5"/>
  <c r="L118" i="5"/>
  <c r="M118" i="5"/>
  <c r="N118" i="5"/>
  <c r="K119" i="5"/>
  <c r="L119" i="5"/>
  <c r="M119" i="5"/>
  <c r="N119" i="5"/>
  <c r="K120" i="5"/>
  <c r="L120" i="5"/>
  <c r="M120" i="5"/>
  <c r="N120" i="5"/>
  <c r="K121" i="5"/>
  <c r="L121" i="5"/>
  <c r="M121" i="5"/>
  <c r="N121" i="5"/>
  <c r="K122" i="5"/>
  <c r="L122" i="5"/>
  <c r="M122" i="5"/>
  <c r="N122" i="5"/>
  <c r="K123" i="5"/>
  <c r="L123" i="5"/>
  <c r="M123" i="5"/>
  <c r="N123" i="5"/>
  <c r="K124" i="5"/>
  <c r="L124" i="5"/>
  <c r="M124" i="5"/>
  <c r="N124" i="5"/>
  <c r="K125" i="5"/>
  <c r="L125" i="5"/>
  <c r="M125" i="5"/>
  <c r="N125" i="5"/>
  <c r="K126" i="5"/>
  <c r="L126" i="5"/>
  <c r="M126" i="5"/>
  <c r="N126" i="5"/>
  <c r="K127" i="5"/>
  <c r="L127" i="5"/>
  <c r="M127" i="5"/>
  <c r="N127" i="5"/>
  <c r="K128" i="5"/>
  <c r="L128" i="5"/>
  <c r="M128" i="5"/>
  <c r="N128" i="5"/>
  <c r="K129" i="5"/>
  <c r="L129" i="5"/>
  <c r="M129" i="5"/>
  <c r="N129" i="5"/>
  <c r="K130" i="5"/>
  <c r="L130" i="5"/>
  <c r="M130" i="5"/>
  <c r="N130" i="5"/>
  <c r="K131" i="5"/>
  <c r="L131" i="5"/>
  <c r="M131" i="5"/>
  <c r="N131" i="5"/>
  <c r="K132" i="5"/>
  <c r="L132" i="5"/>
  <c r="M132" i="5"/>
  <c r="N132" i="5"/>
  <c r="K133" i="5"/>
  <c r="L133" i="5"/>
  <c r="M133" i="5"/>
  <c r="N133" i="5"/>
  <c r="K134" i="5"/>
  <c r="L134" i="5"/>
  <c r="M134" i="5"/>
  <c r="N134" i="5"/>
  <c r="K135" i="5"/>
  <c r="L135" i="5"/>
  <c r="M135" i="5"/>
  <c r="N135" i="5"/>
  <c r="K136" i="5"/>
  <c r="L136" i="5"/>
  <c r="M136" i="5"/>
  <c r="N136" i="5"/>
  <c r="K137" i="5"/>
  <c r="L137" i="5"/>
  <c r="M137" i="5"/>
  <c r="N137" i="5"/>
  <c r="K138" i="5"/>
  <c r="L138" i="5"/>
  <c r="M138" i="5"/>
  <c r="N138" i="5"/>
  <c r="K139" i="5"/>
  <c r="L139" i="5"/>
  <c r="M139" i="5"/>
  <c r="N139" i="5"/>
  <c r="K140" i="5"/>
  <c r="L140" i="5"/>
  <c r="M140" i="5"/>
  <c r="N140" i="5"/>
  <c r="K141" i="5"/>
  <c r="L141" i="5"/>
  <c r="M141" i="5"/>
  <c r="N141" i="5"/>
  <c r="K142" i="5"/>
  <c r="L142" i="5"/>
  <c r="M142" i="5"/>
  <c r="N142" i="5"/>
  <c r="N93" i="5"/>
  <c r="M93" i="5"/>
  <c r="L93" i="5"/>
  <c r="K93" i="5"/>
  <c r="K5" i="5"/>
  <c r="L5" i="5"/>
  <c r="M5" i="5"/>
  <c r="N5" i="5"/>
  <c r="O5" i="5"/>
  <c r="K6" i="5"/>
  <c r="L6" i="5"/>
  <c r="M6" i="5"/>
  <c r="N6" i="5"/>
  <c r="O6" i="5"/>
  <c r="K7" i="5"/>
  <c r="L7" i="5"/>
  <c r="M7" i="5"/>
  <c r="N7" i="5"/>
  <c r="O7" i="5"/>
  <c r="K8" i="5"/>
  <c r="L8" i="5"/>
  <c r="M8" i="5"/>
  <c r="N8" i="5"/>
  <c r="O8" i="5"/>
  <c r="K9" i="5"/>
  <c r="L9" i="5"/>
  <c r="M9" i="5"/>
  <c r="N9" i="5"/>
  <c r="O9" i="5"/>
  <c r="K10" i="5"/>
  <c r="L10" i="5"/>
  <c r="M10" i="5"/>
  <c r="N10" i="5"/>
  <c r="O10" i="5"/>
  <c r="K11" i="5"/>
  <c r="L11" i="5"/>
  <c r="M11" i="5"/>
  <c r="N11" i="5"/>
  <c r="O11" i="5"/>
  <c r="K12" i="5"/>
  <c r="L12" i="5"/>
  <c r="M12" i="5"/>
  <c r="N12" i="5"/>
  <c r="O12" i="5"/>
  <c r="K13" i="5"/>
  <c r="L13" i="5"/>
  <c r="M13" i="5"/>
  <c r="N13" i="5"/>
  <c r="O13" i="5"/>
  <c r="K14" i="5"/>
  <c r="L14" i="5"/>
  <c r="M14" i="5"/>
  <c r="N14" i="5"/>
  <c r="O14" i="5"/>
  <c r="K15" i="5"/>
  <c r="L15" i="5"/>
  <c r="M15" i="5"/>
  <c r="N15" i="5"/>
  <c r="O15" i="5"/>
  <c r="K16" i="5"/>
  <c r="L16" i="5"/>
  <c r="M16" i="5"/>
  <c r="N16" i="5"/>
  <c r="O16" i="5"/>
  <c r="K17" i="5"/>
  <c r="L17" i="5"/>
  <c r="M17" i="5"/>
  <c r="N17" i="5"/>
  <c r="O17" i="5"/>
  <c r="K18" i="5"/>
  <c r="L18" i="5"/>
  <c r="M18" i="5"/>
  <c r="N18" i="5"/>
  <c r="O18" i="5"/>
  <c r="K19" i="5"/>
  <c r="L19" i="5"/>
  <c r="M19" i="5"/>
  <c r="N19" i="5"/>
  <c r="O19" i="5"/>
  <c r="K20" i="5"/>
  <c r="L20" i="5"/>
  <c r="M20" i="5"/>
  <c r="N20" i="5"/>
  <c r="O20" i="5"/>
  <c r="K21" i="5"/>
  <c r="L21" i="5"/>
  <c r="M21" i="5"/>
  <c r="N21" i="5"/>
  <c r="O21" i="5"/>
  <c r="K22" i="5"/>
  <c r="L22" i="5"/>
  <c r="M22" i="5"/>
  <c r="N22" i="5"/>
  <c r="O22" i="5"/>
  <c r="K23" i="5"/>
  <c r="L23" i="5"/>
  <c r="M23" i="5"/>
  <c r="N23" i="5"/>
  <c r="O23" i="5"/>
  <c r="K24" i="5"/>
  <c r="L24" i="5"/>
  <c r="M24" i="5"/>
  <c r="N24" i="5"/>
  <c r="O24" i="5"/>
  <c r="K25" i="5"/>
  <c r="L25" i="5"/>
  <c r="M25" i="5"/>
  <c r="N25" i="5"/>
  <c r="O25" i="5"/>
  <c r="K26" i="5"/>
  <c r="L26" i="5"/>
  <c r="M26" i="5"/>
  <c r="N26" i="5"/>
  <c r="O26" i="5"/>
  <c r="K27" i="5"/>
  <c r="L27" i="5"/>
  <c r="M27" i="5"/>
  <c r="N27" i="5"/>
  <c r="O27" i="5"/>
  <c r="K28" i="5"/>
  <c r="L28" i="5"/>
  <c r="M28" i="5"/>
  <c r="N28" i="5"/>
  <c r="O28" i="5"/>
  <c r="O4" i="5"/>
  <c r="N4" i="5"/>
  <c r="M4" i="5"/>
  <c r="L4" i="5"/>
  <c r="X15" i="2" l="1"/>
  <c r="X14" i="2"/>
  <c r="X13" i="2"/>
  <c r="X12" i="2"/>
  <c r="X11" i="2"/>
  <c r="X10" i="2"/>
  <c r="X9" i="2"/>
  <c r="X8" i="2"/>
  <c r="X7" i="2"/>
  <c r="X6" i="2"/>
  <c r="Y5" i="2"/>
  <c r="X5" i="2"/>
  <c r="Y15" i="2"/>
  <c r="Y14" i="2"/>
  <c r="Y13" i="2"/>
  <c r="Y12" i="2"/>
  <c r="Y11" i="2"/>
  <c r="Y10" i="2"/>
  <c r="Y9" i="2"/>
  <c r="Y8" i="2"/>
  <c r="Y7" i="2"/>
  <c r="Y6" i="2"/>
  <c r="K49" i="5"/>
  <c r="K47" i="5"/>
  <c r="K48" i="5"/>
  <c r="K44" i="5"/>
  <c r="K46" i="5"/>
  <c r="K45" i="5"/>
  <c r="K50" i="5"/>
  <c r="K51" i="5"/>
  <c r="K53" i="5"/>
  <c r="K52" i="5"/>
  <c r="K54" i="5"/>
  <c r="K79" i="5"/>
  <c r="K78" i="5"/>
  <c r="K75" i="5"/>
  <c r="K77" i="5"/>
  <c r="K76" i="5"/>
  <c r="K73" i="5"/>
  <c r="K71" i="5"/>
  <c r="K74" i="5"/>
  <c r="K72" i="5"/>
  <c r="K70" i="5"/>
  <c r="K43" i="5"/>
  <c r="K41" i="5"/>
  <c r="K42" i="5"/>
  <c r="K40" i="5"/>
  <c r="K61" i="5"/>
  <c r="K62" i="5"/>
  <c r="K63" i="5"/>
  <c r="K60" i="5"/>
  <c r="K64" i="5"/>
  <c r="K80" i="5"/>
  <c r="K81" i="5"/>
  <c r="K84" i="5"/>
  <c r="K82" i="5"/>
  <c r="K83" i="5"/>
  <c r="K55" i="5"/>
  <c r="K59" i="5"/>
  <c r="K56" i="5"/>
  <c r="K57" i="5"/>
  <c r="K58" i="5"/>
  <c r="K85" i="5"/>
  <c r="K86" i="5"/>
  <c r="K89" i="5"/>
  <c r="K87" i="5"/>
  <c r="K88" i="5"/>
  <c r="K67" i="5"/>
  <c r="K68" i="5"/>
  <c r="K69" i="5"/>
  <c r="K65" i="5"/>
  <c r="K66" i="5"/>
  <c r="U8" i="2"/>
  <c r="U9" i="2" l="1"/>
  <c r="U15" i="2"/>
  <c r="U10" i="2"/>
  <c r="U5" i="2"/>
  <c r="U11" i="2"/>
  <c r="U14" i="2"/>
  <c r="U7" i="2"/>
  <c r="U13" i="2"/>
  <c r="U6" i="2"/>
  <c r="U12" i="2"/>
  <c r="I203" i="5"/>
  <c r="I204" i="5"/>
  <c r="I208" i="5"/>
  <c r="I209" i="5"/>
  <c r="I210" i="5"/>
  <c r="I213" i="5"/>
  <c r="I214" i="5"/>
  <c r="I215" i="5"/>
  <c r="I216" i="5"/>
  <c r="I219" i="5"/>
  <c r="I220" i="5"/>
  <c r="I221" i="5"/>
  <c r="I222" i="5"/>
  <c r="I225" i="5"/>
  <c r="I226" i="5"/>
  <c r="I202" i="5"/>
  <c r="I224" i="5"/>
  <c r="I223" i="5"/>
  <c r="I218" i="5"/>
  <c r="I217" i="5"/>
  <c r="I212" i="5"/>
  <c r="I211" i="5"/>
  <c r="I207" i="5"/>
  <c r="I206" i="5"/>
  <c r="I205" i="5"/>
  <c r="I175" i="5" l="1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74" i="5"/>
  <c r="I147" i="5" l="1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46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93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4" i="5"/>
  <c r="AC46" i="5" l="1"/>
  <c r="AG34" i="5" s="1"/>
  <c r="AA48" i="5"/>
  <c r="AF36" i="5" s="1"/>
  <c r="AA47" i="5"/>
  <c r="AF35" i="5" s="1"/>
  <c r="AA46" i="5"/>
  <c r="AF34" i="5" s="1"/>
  <c r="AA45" i="5"/>
  <c r="AF33" i="5" s="1"/>
  <c r="AA44" i="5"/>
  <c r="AF32" i="5" s="1"/>
  <c r="AC38" i="5"/>
  <c r="AG26" i="5" s="1"/>
  <c r="AA40" i="5"/>
  <c r="AF28" i="5" s="1"/>
  <c r="AA39" i="5"/>
  <c r="AF27" i="5" s="1"/>
  <c r="AA38" i="5"/>
  <c r="AF26" i="5" s="1"/>
  <c r="AA37" i="5"/>
  <c r="AF25" i="5" s="1"/>
  <c r="AA36" i="5"/>
  <c r="AF24" i="5" s="1"/>
  <c r="Y48" i="5"/>
  <c r="AE36" i="5" s="1"/>
  <c r="V48" i="5" s="1"/>
  <c r="Y47" i="5"/>
  <c r="AE35" i="5" s="1"/>
  <c r="Y46" i="5"/>
  <c r="AE34" i="5" s="1"/>
  <c r="Y45" i="5"/>
  <c r="AE33" i="5" s="1"/>
  <c r="Y44" i="5"/>
  <c r="AE32" i="5" s="1"/>
  <c r="Y43" i="5"/>
  <c r="AE31" i="5" s="1"/>
  <c r="V43" i="5" s="1"/>
  <c r="Y40" i="5"/>
  <c r="AE28" i="5" s="1"/>
  <c r="Y39" i="5"/>
  <c r="AE27" i="5" s="1"/>
  <c r="Y38" i="5"/>
  <c r="AE26" i="5" s="1"/>
  <c r="Y37" i="5"/>
  <c r="AE25" i="5" s="1"/>
  <c r="Y36" i="5"/>
  <c r="AE24" i="5" s="1"/>
  <c r="Y35" i="5"/>
  <c r="AE23" i="5" s="1"/>
  <c r="AC30" i="5"/>
  <c r="AG18" i="5" s="1"/>
  <c r="AA32" i="5"/>
  <c r="AF20" i="5" s="1"/>
  <c r="AA31" i="5"/>
  <c r="AF19" i="5" s="1"/>
  <c r="AA30" i="5"/>
  <c r="AF18" i="5" s="1"/>
  <c r="AA29" i="5"/>
  <c r="AF17" i="5" s="1"/>
  <c r="AA28" i="5"/>
  <c r="AF16" i="5" s="1"/>
  <c r="Y28" i="5"/>
  <c r="AE16" i="5" s="1"/>
  <c r="Y29" i="5"/>
  <c r="AE17" i="5" s="1"/>
  <c r="Y30" i="5"/>
  <c r="AE18" i="5" s="1"/>
  <c r="Y31" i="5"/>
  <c r="AE19" i="5" s="1"/>
  <c r="Y32" i="5"/>
  <c r="AE20" i="5" s="1"/>
  <c r="Y27" i="5"/>
  <c r="AE15" i="5" s="1"/>
  <c r="AC12" i="5"/>
  <c r="AG12" i="5" s="1"/>
  <c r="AC11" i="5"/>
  <c r="AG11" i="5" s="1"/>
  <c r="AC10" i="5"/>
  <c r="AG10" i="5" s="1"/>
  <c r="AC9" i="5"/>
  <c r="AG9" i="5" s="1"/>
  <c r="AC8" i="5"/>
  <c r="AG8" i="5" s="1"/>
  <c r="AC7" i="5"/>
  <c r="AG7" i="5" s="1"/>
  <c r="AC6" i="5"/>
  <c r="AG6" i="5" s="1"/>
  <c r="AC5" i="5"/>
  <c r="AG5" i="5" s="1"/>
  <c r="AC4" i="5"/>
  <c r="AG4" i="5" s="1"/>
  <c r="AA12" i="5"/>
  <c r="AF12" i="5" s="1"/>
  <c r="AA11" i="5"/>
  <c r="AF11" i="5" s="1"/>
  <c r="AA10" i="5"/>
  <c r="AF10" i="5" s="1"/>
  <c r="AA9" i="5"/>
  <c r="AF9" i="5" s="1"/>
  <c r="AA8" i="5"/>
  <c r="AF8" i="5" s="1"/>
  <c r="AA7" i="5"/>
  <c r="AF7" i="5" s="1"/>
  <c r="AA6" i="5"/>
  <c r="AF6" i="5" s="1"/>
  <c r="AA5" i="5"/>
  <c r="AF5" i="5" s="1"/>
  <c r="AA4" i="5"/>
  <c r="AF4" i="5" s="1"/>
  <c r="Y4" i="5"/>
  <c r="AE4" i="5" s="1"/>
  <c r="Y5" i="5"/>
  <c r="AE5" i="5" s="1"/>
  <c r="Y6" i="5"/>
  <c r="AE6" i="5" s="1"/>
  <c r="Y7" i="5"/>
  <c r="AE7" i="5" s="1"/>
  <c r="Y8" i="5"/>
  <c r="AE8" i="5" s="1"/>
  <c r="Y9" i="5"/>
  <c r="AE9" i="5" s="1"/>
  <c r="Y10" i="5"/>
  <c r="AE10" i="5" s="1"/>
  <c r="Y11" i="5"/>
  <c r="AE11" i="5" s="1"/>
  <c r="Y12" i="5"/>
  <c r="AE12" i="5" s="1"/>
  <c r="V46" i="5" l="1"/>
  <c r="V44" i="5"/>
  <c r="V47" i="5"/>
  <c r="V45" i="5"/>
  <c r="V27" i="5"/>
  <c r="V35" i="5"/>
  <c r="V32" i="5"/>
  <c r="V12" i="5"/>
  <c r="V6" i="5"/>
  <c r="V3" i="5"/>
  <c r="V36" i="5"/>
  <c r="V31" i="5"/>
  <c r="V7" i="5"/>
  <c r="V37" i="5"/>
  <c r="V5" i="5"/>
  <c r="V10" i="5"/>
  <c r="V29" i="5"/>
  <c r="V39" i="5"/>
  <c r="V4" i="5"/>
  <c r="V9" i="5"/>
  <c r="V11" i="5"/>
  <c r="V8" i="5"/>
  <c r="V30" i="5"/>
  <c r="V38" i="5"/>
  <c r="V40" i="5"/>
  <c r="V28" i="5"/>
  <c r="D16" i="4"/>
  <c r="D15" i="4"/>
  <c r="D18" i="4"/>
  <c r="D14" i="4"/>
  <c r="D17" i="4"/>
  <c r="I41" i="5" l="1"/>
  <c r="I40" i="5"/>
  <c r="I42" i="5"/>
  <c r="I43" i="5"/>
  <c r="I51" i="5"/>
  <c r="I52" i="5"/>
  <c r="I50" i="5"/>
  <c r="I53" i="5"/>
  <c r="I54" i="5"/>
  <c r="I75" i="5"/>
  <c r="I76" i="5"/>
  <c r="I79" i="5"/>
  <c r="I77" i="5"/>
  <c r="I78" i="5"/>
  <c r="I57" i="5"/>
  <c r="I58" i="5"/>
  <c r="I59" i="5"/>
  <c r="I56" i="5"/>
  <c r="I55" i="5"/>
  <c r="I70" i="5"/>
  <c r="I71" i="5"/>
  <c r="I74" i="5"/>
  <c r="I72" i="5"/>
  <c r="I73" i="5"/>
  <c r="I87" i="5"/>
  <c r="I88" i="5"/>
  <c r="I89" i="5"/>
  <c r="I85" i="5"/>
  <c r="I86" i="5"/>
  <c r="I69" i="5"/>
  <c r="I68" i="5"/>
  <c r="I65" i="5"/>
  <c r="I67" i="5"/>
  <c r="I66" i="5"/>
  <c r="I81" i="5"/>
  <c r="I82" i="5"/>
  <c r="I80" i="5"/>
  <c r="I83" i="5"/>
  <c r="I84" i="5"/>
  <c r="I63" i="5"/>
  <c r="I64" i="5"/>
  <c r="I61" i="5"/>
  <c r="I60" i="5"/>
  <c r="I62" i="5"/>
  <c r="I49" i="5"/>
  <c r="I46" i="5"/>
  <c r="I44" i="5"/>
  <c r="I45" i="5"/>
  <c r="I47" i="5"/>
  <c r="I48" i="5"/>
  <c r="D81" i="4"/>
  <c r="D42" i="4" l="1"/>
  <c r="D66" i="4"/>
  <c r="D44" i="4"/>
  <c r="D68" i="4"/>
  <c r="D43" i="4"/>
  <c r="D67" i="4"/>
  <c r="D69" i="4"/>
  <c r="D40" i="4"/>
  <c r="D41" i="4"/>
  <c r="D65" i="4"/>
  <c r="L4" i="3" l="1"/>
  <c r="N4" i="3" s="1"/>
  <c r="P4" i="3" s="1"/>
  <c r="R4" i="3" s="1"/>
  <c r="L5" i="3"/>
  <c r="N5" i="3" s="1"/>
  <c r="P5" i="3" s="1"/>
  <c r="R5" i="3" s="1"/>
  <c r="L6" i="3"/>
  <c r="N6" i="3" s="1"/>
  <c r="P6" i="3" s="1"/>
  <c r="R6" i="3" s="1"/>
  <c r="L7" i="3"/>
  <c r="N7" i="3" s="1"/>
  <c r="P7" i="3" s="1"/>
  <c r="R7" i="3" s="1"/>
  <c r="L8" i="3"/>
  <c r="N8" i="3" s="1"/>
  <c r="P8" i="3" s="1"/>
  <c r="R8" i="3" s="1"/>
  <c r="L9" i="3"/>
  <c r="N9" i="3" s="1"/>
  <c r="P9" i="3" s="1"/>
  <c r="R9" i="3" s="1"/>
  <c r="L10" i="3"/>
  <c r="N10" i="3" s="1"/>
  <c r="P10" i="3" s="1"/>
  <c r="R10" i="3" s="1"/>
  <c r="L11" i="3"/>
  <c r="N11" i="3" s="1"/>
  <c r="P11" i="3" s="1"/>
  <c r="R11" i="3" s="1"/>
  <c r="L12" i="3"/>
  <c r="N12" i="3" s="1"/>
  <c r="P12" i="3" s="1"/>
  <c r="R12" i="3" s="1"/>
  <c r="L13" i="3"/>
  <c r="N13" i="3" s="1"/>
  <c r="P13" i="3" s="1"/>
  <c r="R13" i="3" s="1"/>
  <c r="L3" i="3"/>
  <c r="N3" i="3" s="1"/>
  <c r="P3" i="3" s="1"/>
  <c r="R3" i="3" s="1"/>
  <c r="U19" i="2"/>
  <c r="U20" i="2"/>
  <c r="U25" i="2"/>
  <c r="U18" i="2"/>
  <c r="U26" i="2" l="1"/>
  <c r="U27" i="2"/>
  <c r="U21" i="2"/>
  <c r="U28" i="2"/>
  <c r="U22" i="2"/>
  <c r="U23" i="2"/>
  <c r="U24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3" i="1"/>
  <c r="B4" i="1"/>
  <c r="B5" i="1"/>
  <c r="B2" i="1"/>
</calcChain>
</file>

<file path=xl/sharedStrings.xml><?xml version="1.0" encoding="utf-8"?>
<sst xmlns="http://schemas.openxmlformats.org/spreadsheetml/2006/main" count="2706" uniqueCount="598">
  <si>
    <t>怪物等级</t>
    <phoneticPr fontId="1" type="noConversion"/>
  </si>
  <si>
    <t>玩家等级</t>
    <phoneticPr fontId="1" type="noConversion"/>
  </si>
  <si>
    <t>装备等级</t>
    <phoneticPr fontId="1" type="noConversion"/>
  </si>
  <si>
    <t>药品等级</t>
    <phoneticPr fontId="1" type="noConversion"/>
  </si>
  <si>
    <t>药品材料</t>
    <phoneticPr fontId="1" type="noConversion"/>
  </si>
  <si>
    <t>强化材料</t>
    <phoneticPr fontId="1" type="noConversion"/>
  </si>
  <si>
    <t>白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</si>
  <si>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</si>
  <si>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</si>
  <si>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</si>
  <si>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</si>
  <si>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1，10</t>
    <phoneticPr fontId="1" type="noConversion"/>
  </si>
  <si>
    <t>11，20</t>
    <phoneticPr fontId="1" type="noConversion"/>
  </si>
  <si>
    <t>21，30</t>
    <phoneticPr fontId="1" type="noConversion"/>
  </si>
  <si>
    <t>31，40</t>
    <phoneticPr fontId="1" type="noConversion"/>
  </si>
  <si>
    <t>41，50</t>
    <phoneticPr fontId="1" type="noConversion"/>
  </si>
  <si>
    <t>装备掉落</t>
    <phoneticPr fontId="1" type="noConversion"/>
  </si>
  <si>
    <t>1,5</t>
    <phoneticPr fontId="1" type="noConversion"/>
  </si>
  <si>
    <t>1,5,10</t>
    <phoneticPr fontId="1" type="noConversion"/>
  </si>
  <si>
    <t>5,10,15</t>
    <phoneticPr fontId="1" type="noConversion"/>
  </si>
  <si>
    <t>10,15,20</t>
    <phoneticPr fontId="1" type="noConversion"/>
  </si>
  <si>
    <t>15,20,25</t>
    <phoneticPr fontId="1" type="noConversion"/>
  </si>
  <si>
    <t>20,25,30</t>
    <phoneticPr fontId="1" type="noConversion"/>
  </si>
  <si>
    <t>25,30,35</t>
    <phoneticPr fontId="1" type="noConversion"/>
  </si>
  <si>
    <t>30,35,40</t>
    <phoneticPr fontId="1" type="noConversion"/>
  </si>
  <si>
    <t>35,40,45</t>
    <phoneticPr fontId="1" type="noConversion"/>
  </si>
  <si>
    <t>40,45,50</t>
    <phoneticPr fontId="1" type="noConversion"/>
  </si>
  <si>
    <t>装备出售</t>
    <phoneticPr fontId="1" type="noConversion"/>
  </si>
  <si>
    <t>白,绿</t>
    <phoneticPr fontId="1" type="noConversion"/>
  </si>
  <si>
    <t>绿,蓝</t>
    <phoneticPr fontId="1" type="noConversion"/>
  </si>
  <si>
    <t>绿,蓝,紫</t>
    <phoneticPr fontId="1" type="noConversion"/>
  </si>
  <si>
    <t>蓝,紫</t>
    <phoneticPr fontId="1" type="noConversion"/>
  </si>
  <si>
    <t>紫,橙</t>
    <phoneticPr fontId="1" type="noConversion"/>
  </si>
  <si>
    <t>强化材料出售</t>
    <phoneticPr fontId="1" type="noConversion"/>
  </si>
  <si>
    <t>强化材料掉落</t>
    <phoneticPr fontId="1" type="noConversion"/>
  </si>
  <si>
    <t>药品掉落</t>
    <phoneticPr fontId="1" type="noConversion"/>
  </si>
  <si>
    <t>药品材料掉落</t>
    <phoneticPr fontId="1" type="noConversion"/>
  </si>
  <si>
    <t>装备ID</t>
    <phoneticPr fontId="3" type="noConversion"/>
  </si>
  <si>
    <t>装备名称</t>
    <phoneticPr fontId="3" type="noConversion"/>
  </si>
  <si>
    <t>穿戴等级</t>
    <phoneticPr fontId="3" type="noConversion"/>
  </si>
  <si>
    <t>工业扳手</t>
    <phoneticPr fontId="3" type="noConversion"/>
  </si>
  <si>
    <t>工业扳手</t>
  </si>
  <si>
    <t>铁撬棍</t>
  </si>
  <si>
    <t>军用铲</t>
  </si>
  <si>
    <t>电击棍</t>
  </si>
  <si>
    <t>狼牙棒</t>
  </si>
  <si>
    <t>鹤嘴斧</t>
    <phoneticPr fontId="3" type="noConversion"/>
  </si>
  <si>
    <t>大砍刀</t>
  </si>
  <si>
    <t>消防斧</t>
  </si>
  <si>
    <t>太刀</t>
  </si>
  <si>
    <t>双刃斧</t>
  </si>
  <si>
    <t>电锯</t>
  </si>
  <si>
    <t>防风帽</t>
  </si>
  <si>
    <t>单车帽</t>
  </si>
  <si>
    <t>机车帽</t>
  </si>
  <si>
    <t>防暴头盔</t>
  </si>
  <si>
    <t>突击头盔</t>
  </si>
  <si>
    <t>侦查头盔</t>
  </si>
  <si>
    <t>热能头盔</t>
  </si>
  <si>
    <t>红外线头盔</t>
  </si>
  <si>
    <t>HUD头盔</t>
  </si>
  <si>
    <t>战术头盔</t>
  </si>
  <si>
    <t>合金头盔</t>
  </si>
  <si>
    <t>防暴背心</t>
  </si>
  <si>
    <t>防弹衣</t>
  </si>
  <si>
    <t>特工外套</t>
  </si>
  <si>
    <t>反侦查外套</t>
  </si>
  <si>
    <t>耐热战衣</t>
  </si>
  <si>
    <t>超导战甲</t>
  </si>
  <si>
    <t>钛金战甲</t>
  </si>
  <si>
    <t>超纤钢战甲</t>
  </si>
  <si>
    <t>静压防护装甲</t>
  </si>
  <si>
    <t>脉冲装甲</t>
  </si>
  <si>
    <t>粒子电磁装甲</t>
  </si>
  <si>
    <t>忍者手套</t>
  </si>
  <si>
    <t>天行手</t>
  </si>
  <si>
    <t>金属合制</t>
  </si>
  <si>
    <t>野战护手</t>
  </si>
  <si>
    <t>银月护手</t>
  </si>
  <si>
    <t>机车护手</t>
  </si>
  <si>
    <t>士兵突击</t>
  </si>
  <si>
    <t>厄运护手</t>
  </si>
  <si>
    <t>狼魂护手</t>
  </si>
  <si>
    <t>凛冬护手</t>
  </si>
  <si>
    <t>脉冲暴烈护手</t>
  </si>
  <si>
    <t>破牛仔短裤</t>
  </si>
  <si>
    <t>超人短裤</t>
  </si>
  <si>
    <t>湛蓝休闲裤</t>
  </si>
  <si>
    <t>牛仔裤</t>
  </si>
  <si>
    <t>太空棉长裤</t>
  </si>
  <si>
    <t>武之信长裤</t>
  </si>
  <si>
    <t>联合军护腿</t>
  </si>
  <si>
    <t>学院派</t>
  </si>
  <si>
    <t>钢铁合制护腿</t>
  </si>
  <si>
    <t>沙漠型护腿</t>
  </si>
  <si>
    <t>超电导护腿</t>
  </si>
  <si>
    <t>常用皮鞋</t>
  </si>
  <si>
    <t>特勤作战靴</t>
  </si>
  <si>
    <t>突击部队靴</t>
  </si>
  <si>
    <t>士官长靴</t>
  </si>
  <si>
    <t>军官鞋</t>
  </si>
  <si>
    <t>铁甲骑士</t>
  </si>
  <si>
    <t>机械长靴</t>
  </si>
  <si>
    <t>钢制长靴</t>
  </si>
  <si>
    <t>暗黑之意</t>
  </si>
  <si>
    <t>烈日</t>
  </si>
  <si>
    <t>征服者</t>
  </si>
  <si>
    <t>微型能源</t>
  </si>
  <si>
    <t>通用静电能源</t>
  </si>
  <si>
    <t>阵风能源</t>
  </si>
  <si>
    <t>单循环能源</t>
  </si>
  <si>
    <t>离子能源</t>
  </si>
  <si>
    <t>脉冲中子能源</t>
  </si>
  <si>
    <t>中核能源</t>
  </si>
  <si>
    <t>聚核能源</t>
  </si>
  <si>
    <t>弧光粒子能源</t>
  </si>
  <si>
    <t>亚空间能源</t>
  </si>
  <si>
    <t>超聚变能源</t>
  </si>
  <si>
    <t>高保真耳机</t>
  </si>
  <si>
    <t>荣耀项链</t>
  </si>
  <si>
    <t>亚瑟胸章</t>
  </si>
  <si>
    <t>多功能眼镜</t>
    <phoneticPr fontId="3" type="noConversion"/>
  </si>
  <si>
    <t>英雄面罩</t>
  </si>
  <si>
    <t>磁暴干扰仪</t>
  </si>
  <si>
    <t>曲速探测仪</t>
  </si>
  <si>
    <t>万能数据线</t>
  </si>
  <si>
    <t>微型机械臂</t>
  </si>
  <si>
    <t>VR侦查仪</t>
  </si>
  <si>
    <t>脑电波控制器</t>
  </si>
  <si>
    <t>白色装备</t>
    <phoneticPr fontId="1" type="noConversion"/>
  </si>
  <si>
    <t>绿色装备</t>
    <phoneticPr fontId="1" type="noConversion"/>
  </si>
  <si>
    <t>蓝色装备</t>
    <phoneticPr fontId="1" type="noConversion"/>
  </si>
  <si>
    <t>紫色装备</t>
    <phoneticPr fontId="1" type="noConversion"/>
  </si>
  <si>
    <t>橙色装备</t>
    <phoneticPr fontId="1" type="noConversion"/>
  </si>
  <si>
    <t>1级白色装备包</t>
    <phoneticPr fontId="1" type="noConversion"/>
  </si>
  <si>
    <t>5级白色装备包</t>
    <phoneticPr fontId="1" type="noConversion"/>
  </si>
  <si>
    <t>10级白色装备包</t>
    <phoneticPr fontId="1" type="noConversion"/>
  </si>
  <si>
    <t>15级白色装备包</t>
  </si>
  <si>
    <t>20级白色装备包</t>
  </si>
  <si>
    <t>25级白色装备包</t>
  </si>
  <si>
    <t>30级白色装备包</t>
  </si>
  <si>
    <t>35级白色装备包</t>
  </si>
  <si>
    <t>40级白色装备包</t>
  </si>
  <si>
    <t>45级白色装备包</t>
  </si>
  <si>
    <t>50级白色装备包</t>
  </si>
  <si>
    <t>1级绿色装备包</t>
  </si>
  <si>
    <t>5级绿色装备包</t>
  </si>
  <si>
    <t>10级绿色装备包</t>
  </si>
  <si>
    <t>15级绿色装备包</t>
  </si>
  <si>
    <t>20级绿色装备包</t>
  </si>
  <si>
    <t>25级绿色装备包</t>
  </si>
  <si>
    <t>30级绿色装备包</t>
  </si>
  <si>
    <t>35级绿色装备包</t>
  </si>
  <si>
    <t>40级绿色装备包</t>
  </si>
  <si>
    <t>45级绿色装备包</t>
  </si>
  <si>
    <t>50级绿色装备包</t>
  </si>
  <si>
    <t>1级蓝色装备包</t>
  </si>
  <si>
    <t>5级蓝色装备包</t>
  </si>
  <si>
    <t>10级蓝色装备包</t>
  </si>
  <si>
    <t>15级蓝色装备包</t>
  </si>
  <si>
    <t>20级蓝色装备包</t>
  </si>
  <si>
    <t>25级蓝色装备包</t>
  </si>
  <si>
    <t>30级蓝色装备包</t>
  </si>
  <si>
    <t>35级蓝色装备包</t>
  </si>
  <si>
    <t>40级蓝色装备包</t>
  </si>
  <si>
    <t>45级蓝色装备包</t>
  </si>
  <si>
    <t>50级蓝色装备包</t>
  </si>
  <si>
    <t>1级紫色装备包</t>
  </si>
  <si>
    <t>5级紫色装备包</t>
  </si>
  <si>
    <t>10级紫色装备包</t>
  </si>
  <si>
    <t>15级紫色装备包</t>
  </si>
  <si>
    <t>20级紫色装备包</t>
  </si>
  <si>
    <t>25级紫色装备包</t>
  </si>
  <si>
    <t>30级紫色装备包</t>
  </si>
  <si>
    <t>35级紫色装备包</t>
  </si>
  <si>
    <t>40级紫色装备包</t>
  </si>
  <si>
    <t>45级紫色装备包</t>
  </si>
  <si>
    <t>50级紫色装备包</t>
  </si>
  <si>
    <t>1级橙色装备包</t>
  </si>
  <si>
    <t>5级橙色装备包</t>
  </si>
  <si>
    <t>10级橙色装备包</t>
  </si>
  <si>
    <t>15级橙色装备包</t>
  </si>
  <si>
    <t>20级橙色装备包</t>
  </si>
  <si>
    <t>25级橙色装备包</t>
  </si>
  <si>
    <t>30级橙色装备包</t>
  </si>
  <si>
    <t>35级橙色装备包</t>
  </si>
  <si>
    <t>40级橙色装备包</t>
  </si>
  <si>
    <t>45级橙色装备包</t>
  </si>
  <si>
    <t>50级橙色装备包</t>
  </si>
  <si>
    <t>子包</t>
    <phoneticPr fontId="1" type="noConversion"/>
  </si>
  <si>
    <t>白色药品材料包</t>
    <phoneticPr fontId="1" type="noConversion"/>
  </si>
  <si>
    <t>绿色药品材料包</t>
    <phoneticPr fontId="1" type="noConversion"/>
  </si>
  <si>
    <t>蓝色药品材料包</t>
    <phoneticPr fontId="1" type="noConversion"/>
  </si>
  <si>
    <t>紫色药品材料包</t>
    <phoneticPr fontId="1" type="noConversion"/>
  </si>
  <si>
    <t>橙色药品材料包</t>
    <phoneticPr fontId="1" type="noConversion"/>
  </si>
  <si>
    <t>白色强化材料包</t>
  </si>
  <si>
    <t>绿色强化材料包</t>
  </si>
  <si>
    <t>蓝色强化材料包</t>
  </si>
  <si>
    <t>紫色强化材料包</t>
  </si>
  <si>
    <t>橙色强化材料包</t>
  </si>
  <si>
    <t>白色药品成品包</t>
  </si>
  <si>
    <t>绿色药品成品包</t>
  </si>
  <si>
    <t>蓝色药品成品包</t>
  </si>
  <si>
    <t>紫色药品成品包</t>
  </si>
  <si>
    <t>橙色药品成品包</t>
  </si>
  <si>
    <t>白色装备包</t>
    <phoneticPr fontId="3" type="noConversion"/>
  </si>
  <si>
    <t>绿色装备包</t>
    <phoneticPr fontId="3" type="noConversion"/>
  </si>
  <si>
    <t>蓝色装备包</t>
    <phoneticPr fontId="3" type="noConversion"/>
  </si>
  <si>
    <t>紫色装备包</t>
    <phoneticPr fontId="3" type="noConversion"/>
  </si>
  <si>
    <t>橙色装备包</t>
    <phoneticPr fontId="3" type="noConversion"/>
  </si>
  <si>
    <t>等级</t>
    <phoneticPr fontId="1" type="noConversion"/>
  </si>
  <si>
    <t>odds</t>
  </si>
  <si>
    <t>odds</t>
    <phoneticPr fontId="1" type="noConversion"/>
  </si>
  <si>
    <t>id</t>
    <phoneticPr fontId="1" type="noConversion"/>
  </si>
  <si>
    <t>生命药水Ⅰ</t>
  </si>
  <si>
    <t>生命药水Ⅱ</t>
  </si>
  <si>
    <t>生命药水Ⅲ</t>
  </si>
  <si>
    <t>生命药水Ⅳ</t>
  </si>
  <si>
    <t>生命药水Ⅴ</t>
  </si>
  <si>
    <t>经验药水Ⅰ</t>
  </si>
  <si>
    <t>经验药水Ⅱ</t>
  </si>
  <si>
    <t>经验药水Ⅲ</t>
  </si>
  <si>
    <t>经验药水Ⅳ</t>
  </si>
  <si>
    <t>经验药水Ⅴ</t>
  </si>
  <si>
    <t>体力药水Ⅰ</t>
  </si>
  <si>
    <t>体力药水Ⅱ</t>
  </si>
  <si>
    <t>体力药水Ⅲ</t>
  </si>
  <si>
    <t>体力药水Ⅳ</t>
  </si>
  <si>
    <t>体力药水Ⅴ</t>
  </si>
  <si>
    <t>攻击药水Ⅰ</t>
  </si>
  <si>
    <t>攻击药水Ⅱ</t>
  </si>
  <si>
    <t>攻击药水Ⅲ</t>
  </si>
  <si>
    <t>攻击药水Ⅳ</t>
  </si>
  <si>
    <t>攻击药水Ⅴ</t>
  </si>
  <si>
    <t>防御药水Ⅰ</t>
  </si>
  <si>
    <t>防御药水Ⅱ</t>
  </si>
  <si>
    <t>防御药水Ⅲ</t>
  </si>
  <si>
    <t>防御药水Ⅳ</t>
  </si>
  <si>
    <t>防御药水Ⅴ</t>
  </si>
  <si>
    <t>暴击药水Ⅰ</t>
  </si>
  <si>
    <t>暴击药水Ⅱ</t>
  </si>
  <si>
    <t>暴击药水Ⅲ</t>
  </si>
  <si>
    <t>暴击药水Ⅳ</t>
  </si>
  <si>
    <t>暴击药水Ⅴ</t>
  </si>
  <si>
    <t>命中药水Ⅰ</t>
  </si>
  <si>
    <t>命中药水Ⅱ</t>
  </si>
  <si>
    <t>命中药水Ⅲ</t>
  </si>
  <si>
    <t>命中药水Ⅳ</t>
  </si>
  <si>
    <t>命中药水Ⅴ</t>
  </si>
  <si>
    <t>抗暴药水Ⅰ</t>
  </si>
  <si>
    <t>抗暴药水Ⅱ</t>
  </si>
  <si>
    <t>抗暴药水Ⅲ</t>
  </si>
  <si>
    <t>抗暴药水Ⅳ</t>
  </si>
  <si>
    <t>抗暴药水Ⅴ</t>
  </si>
  <si>
    <t>闪避药水Ⅰ</t>
  </si>
  <si>
    <t>闪避药水Ⅱ</t>
  </si>
  <si>
    <t>闪避药水Ⅲ</t>
  </si>
  <si>
    <t>闪避药水Ⅳ</t>
  </si>
  <si>
    <t>闪避药水Ⅴ</t>
  </si>
  <si>
    <t>全能药水Ⅰ</t>
  </si>
  <si>
    <t>全能药水Ⅱ</t>
  </si>
  <si>
    <t>全能药水Ⅲ</t>
  </si>
  <si>
    <t>全能药水Ⅳ</t>
  </si>
  <si>
    <t>全能药水Ⅴ</t>
  </si>
  <si>
    <t>id</t>
    <phoneticPr fontId="3" type="noConversion"/>
  </si>
  <si>
    <t>氨基酸Ⅰ</t>
  </si>
  <si>
    <t>氨基酸Ⅱ</t>
  </si>
  <si>
    <t>氨基酸Ⅲ</t>
  </si>
  <si>
    <t>氨基酸Ⅳ</t>
  </si>
  <si>
    <t>氨基酸Ⅴ</t>
  </si>
  <si>
    <t>苯甲酸Ⅰ</t>
  </si>
  <si>
    <t>苯甲酸Ⅱ</t>
  </si>
  <si>
    <t>苯甲酸Ⅲ</t>
  </si>
  <si>
    <t>苯甲酸Ⅳ</t>
  </si>
  <si>
    <t>苯甲酸Ⅴ</t>
  </si>
  <si>
    <t>苯氧基Ⅰ</t>
  </si>
  <si>
    <t>苯氧基Ⅱ</t>
  </si>
  <si>
    <t>苯氧基Ⅲ</t>
  </si>
  <si>
    <t>苯氧基Ⅳ</t>
  </si>
  <si>
    <t>苯氧基Ⅴ</t>
  </si>
  <si>
    <t>二钠氨基Ⅰ</t>
  </si>
  <si>
    <t>二钠氨基Ⅱ</t>
  </si>
  <si>
    <t>二钠氨基Ⅲ</t>
  </si>
  <si>
    <t>二钠氨基Ⅳ</t>
  </si>
  <si>
    <t>二钠氨基Ⅴ</t>
  </si>
  <si>
    <t>弗拉盐Ⅰ</t>
  </si>
  <si>
    <t>弗拉盐Ⅱ</t>
  </si>
  <si>
    <t>弗拉盐Ⅲ</t>
  </si>
  <si>
    <t>弗拉盐Ⅳ</t>
  </si>
  <si>
    <t>弗拉盐Ⅴ</t>
  </si>
  <si>
    <t>格列齐特Ⅰ</t>
  </si>
  <si>
    <t>格列齐特Ⅱ</t>
  </si>
  <si>
    <t>格列齐特Ⅲ</t>
  </si>
  <si>
    <t>格列齐特Ⅳ</t>
  </si>
  <si>
    <t>格列齐特Ⅴ</t>
  </si>
  <si>
    <t>胶原蛋白Ⅰ</t>
  </si>
  <si>
    <t>胶原蛋白Ⅱ</t>
  </si>
  <si>
    <t>胶原蛋白Ⅲ</t>
  </si>
  <si>
    <t>胶原蛋白Ⅳ</t>
  </si>
  <si>
    <t>胶原蛋白Ⅴ</t>
  </si>
  <si>
    <t>卡替洛尔Ⅰ</t>
  </si>
  <si>
    <t>卡替洛尔Ⅱ</t>
  </si>
  <si>
    <t>卡替洛尔Ⅲ</t>
  </si>
  <si>
    <t>卡替洛尔Ⅳ</t>
  </si>
  <si>
    <t>卡替洛尔Ⅴ</t>
  </si>
  <si>
    <t>卡因盐Ⅰ</t>
  </si>
  <si>
    <t>卡因盐Ⅱ</t>
  </si>
  <si>
    <t>卡因盐Ⅲ</t>
  </si>
  <si>
    <t>卡因盐Ⅳ</t>
  </si>
  <si>
    <t>卡因盐Ⅴ</t>
  </si>
  <si>
    <t>洛尔粉Ⅰ</t>
  </si>
  <si>
    <t>洛尔粉Ⅱ</t>
  </si>
  <si>
    <t>洛尔粉Ⅲ</t>
  </si>
  <si>
    <t>洛尔粉Ⅳ</t>
  </si>
  <si>
    <t>洛尔粉Ⅴ</t>
  </si>
  <si>
    <t>洛拉霉素Ⅰ</t>
  </si>
  <si>
    <t>洛拉霉素Ⅱ</t>
  </si>
  <si>
    <t>洛拉霉素Ⅲ</t>
  </si>
  <si>
    <t>洛拉霉素Ⅳ</t>
  </si>
  <si>
    <t>洛拉霉素Ⅴ</t>
  </si>
  <si>
    <t>受体兴奋剂Ⅰ</t>
  </si>
  <si>
    <t>受体兴奋剂Ⅱ</t>
  </si>
  <si>
    <t>受体兴奋剂Ⅲ</t>
  </si>
  <si>
    <t>受体兴奋剂Ⅳ</t>
  </si>
  <si>
    <t>受体兴奋剂Ⅴ</t>
  </si>
  <si>
    <t>托瑞米芬Ⅰ</t>
  </si>
  <si>
    <t>托瑞米芬Ⅱ</t>
  </si>
  <si>
    <t>托瑞米芬Ⅲ</t>
  </si>
  <si>
    <t>托瑞米芬Ⅳ</t>
  </si>
  <si>
    <t>托瑞米芬Ⅴ</t>
  </si>
  <si>
    <t>纤维素Ⅰ</t>
  </si>
  <si>
    <t>纤维素Ⅱ</t>
  </si>
  <si>
    <t>纤维素Ⅲ</t>
  </si>
  <si>
    <t>纤维素Ⅳ</t>
  </si>
  <si>
    <t>纤维素Ⅴ</t>
  </si>
  <si>
    <t>伊达吡星Ⅰ</t>
  </si>
  <si>
    <t>伊达吡星Ⅱ</t>
  </si>
  <si>
    <t>伊达吡星Ⅲ</t>
  </si>
  <si>
    <t>伊达吡星Ⅳ</t>
  </si>
  <si>
    <t>伊达吡星Ⅴ</t>
  </si>
  <si>
    <t>依达霉素Ⅰ</t>
  </si>
  <si>
    <t>依达霉素Ⅱ</t>
  </si>
  <si>
    <t>依达霉素Ⅲ</t>
  </si>
  <si>
    <t>依达霉素Ⅳ</t>
  </si>
  <si>
    <t>依达霉素Ⅴ</t>
  </si>
  <si>
    <t>酯钠盐Ⅰ</t>
  </si>
  <si>
    <t>酯钠盐Ⅱ</t>
  </si>
  <si>
    <t>酯钠盐Ⅲ</t>
  </si>
  <si>
    <t>酯钠盐Ⅳ</t>
  </si>
  <si>
    <t>酯钠盐Ⅴ</t>
  </si>
  <si>
    <t>亚丙基Ⅰ</t>
  </si>
  <si>
    <t>亚丙基Ⅱ</t>
  </si>
  <si>
    <t>亚丙基Ⅲ</t>
  </si>
  <si>
    <t>亚丙基Ⅳ</t>
  </si>
  <si>
    <t>亚丙基Ⅴ</t>
  </si>
  <si>
    <t>宇宙合金Ⅰ</t>
  </si>
  <si>
    <t>宇宙合金Ⅱ</t>
  </si>
  <si>
    <t>宇宙合金Ⅲ</t>
  </si>
  <si>
    <t>反核金属Ⅰ</t>
  </si>
  <si>
    <t>反核金属Ⅱ</t>
  </si>
  <si>
    <t>反核金属Ⅲ</t>
  </si>
  <si>
    <t>核子重组器Ⅰ</t>
  </si>
  <si>
    <t>核子重组器Ⅱ</t>
  </si>
  <si>
    <t>核子重组器Ⅲ</t>
  </si>
  <si>
    <t>电磁核金属Ⅰ</t>
  </si>
  <si>
    <t>电磁核金属Ⅱ</t>
  </si>
  <si>
    <t>电磁核金属Ⅲ</t>
  </si>
  <si>
    <t>太阳能模组Ⅰ</t>
  </si>
  <si>
    <t>太阳能模组Ⅱ</t>
  </si>
  <si>
    <t>太阳能模组Ⅲ</t>
  </si>
  <si>
    <t>重核金属Ⅰ</t>
  </si>
  <si>
    <t>重核金属Ⅱ</t>
  </si>
  <si>
    <t>重核金属Ⅲ</t>
  </si>
  <si>
    <t>生命检测仪Ⅰ</t>
  </si>
  <si>
    <t>生命检测仪Ⅱ</t>
  </si>
  <si>
    <t>生命检测仪Ⅲ</t>
  </si>
  <si>
    <t>脉冲核金属Ⅰ</t>
  </si>
  <si>
    <t>脉冲核金属Ⅱ</t>
  </si>
  <si>
    <t>脉冲核金属Ⅲ</t>
  </si>
  <si>
    <t>分子转化器Ⅰ</t>
  </si>
  <si>
    <t>分子转化器Ⅱ</t>
  </si>
  <si>
    <t>分子转化器Ⅲ</t>
  </si>
  <si>
    <t>光核金属Ⅰ</t>
  </si>
  <si>
    <t>光核金属Ⅱ</t>
  </si>
  <si>
    <t>光核金属Ⅲ</t>
  </si>
  <si>
    <t>伽马发射器Ⅰ</t>
  </si>
  <si>
    <t>伽马发射器Ⅱ</t>
  </si>
  <si>
    <t>伽马发射器Ⅲ</t>
  </si>
  <si>
    <t>轻水核金属Ⅰ</t>
  </si>
  <si>
    <t>轻水核金属Ⅱ</t>
  </si>
  <si>
    <t>轻水核金属Ⅲ</t>
  </si>
  <si>
    <t>引力控制仪Ⅰ</t>
  </si>
  <si>
    <t>引力控制仪Ⅱ</t>
  </si>
  <si>
    <t>引力控制仪Ⅲ</t>
  </si>
  <si>
    <t>泰坦之核Ⅰ</t>
  </si>
  <si>
    <t>泰坦之核Ⅱ</t>
  </si>
  <si>
    <t>泰坦之核Ⅲ</t>
  </si>
  <si>
    <t>能源稳定仪Ⅰ</t>
  </si>
  <si>
    <t>能源稳定仪Ⅱ</t>
  </si>
  <si>
    <t>能源稳定仪Ⅲ</t>
  </si>
  <si>
    <t>超核心元件Ⅰ</t>
  </si>
  <si>
    <t>超核心元件Ⅱ</t>
  </si>
  <si>
    <t>超核心元件Ⅲ</t>
  </si>
  <si>
    <t>量子核心板Ⅰ</t>
  </si>
  <si>
    <t>量子核心板Ⅱ</t>
  </si>
  <si>
    <t>量子核心板Ⅲ</t>
  </si>
  <si>
    <t>白色药品材料包</t>
  </si>
  <si>
    <t>绿色药品材料包</t>
  </si>
  <si>
    <t>蓝色药品材料包</t>
  </si>
  <si>
    <t>紫色药品材料包</t>
  </si>
  <si>
    <t>橙色药品材料包</t>
  </si>
  <si>
    <t>空间传送仪</t>
  </si>
  <si>
    <t>心跳起搏器</t>
  </si>
  <si>
    <t>资料记录器</t>
  </si>
  <si>
    <t>微型复印机</t>
  </si>
  <si>
    <t>推进器</t>
  </si>
  <si>
    <t>机械蜘蛛</t>
  </si>
  <si>
    <t>无人机</t>
  </si>
  <si>
    <t>隐形衣</t>
  </si>
  <si>
    <t>功能道具包</t>
  </si>
  <si>
    <t>功能道具包</t>
    <phoneticPr fontId="1" type="noConversion"/>
  </si>
  <si>
    <t>1,5</t>
  </si>
  <si>
    <t>1,5,10</t>
  </si>
  <si>
    <t>5,10,15</t>
  </si>
  <si>
    <t>10,15,20</t>
  </si>
  <si>
    <t>15,20,25</t>
  </si>
  <si>
    <t>20,25,30</t>
  </si>
  <si>
    <t>25,30,35</t>
  </si>
  <si>
    <t>30,35,40</t>
  </si>
  <si>
    <t>35,40,45</t>
  </si>
  <si>
    <t>40,45,50</t>
  </si>
  <si>
    <t>白</t>
  </si>
  <si>
    <t>白,绿</t>
  </si>
  <si>
    <t>绿,蓝</t>
  </si>
  <si>
    <t>绿,蓝,紫</t>
  </si>
  <si>
    <t>蓝,紫</t>
  </si>
  <si>
    <t>紫,橙</t>
  </si>
  <si>
    <t>【白】强化材料包</t>
  </si>
  <si>
    <t>【白,绿】强化材料包</t>
  </si>
  <si>
    <t>【绿,蓝】强化材料包</t>
  </si>
  <si>
    <t>【绿,蓝,紫】强化材料包</t>
  </si>
  <si>
    <t>【蓝,紫】强化材料包</t>
  </si>
  <si>
    <t>【紫,橙】强化材料包</t>
  </si>
  <si>
    <t>【白】药品材料包</t>
  </si>
  <si>
    <t>【白,绿】药品材料包</t>
  </si>
  <si>
    <t>【绿,蓝】药品材料包</t>
  </si>
  <si>
    <t>【绿,蓝,紫】药品材料包</t>
  </si>
  <si>
    <t>【蓝,紫】药品材料包</t>
  </si>
  <si>
    <t>【紫,橙】药品材料包</t>
  </si>
  <si>
    <t>【白】药品成品包</t>
  </si>
  <si>
    <t>【白,绿】药品成品包</t>
  </si>
  <si>
    <t>【绿,蓝】药品成品包</t>
  </si>
  <si>
    <t>【绿,蓝,紫】药品成品包</t>
  </si>
  <si>
    <t>【蓝,紫】药品成品包</t>
  </si>
  <si>
    <t>【紫,橙】药品成品包</t>
  </si>
  <si>
    <t>1-25怪物掉落包</t>
    <phoneticPr fontId="1" type="noConversion"/>
  </si>
  <si>
    <t>功能道具包</t>
    <phoneticPr fontId="3" type="noConversion"/>
  </si>
  <si>
    <t>#</t>
    <phoneticPr fontId="1" type="noConversion"/>
  </si>
  <si>
    <t>#</t>
    <phoneticPr fontId="1" type="noConversion"/>
  </si>
  <si>
    <t>强化材料包↓</t>
    <phoneticPr fontId="1" type="noConversion"/>
  </si>
  <si>
    <t>药品材料包↓</t>
    <phoneticPr fontId="1" type="noConversion"/>
  </si>
  <si>
    <t>药品成品包↓</t>
    <phoneticPr fontId="1" type="noConversion"/>
  </si>
  <si>
    <t>怪物等级</t>
  </si>
  <si>
    <t>装备掉落</t>
  </si>
  <si>
    <t>强化材料掉落</t>
  </si>
  <si>
    <t>药品掉落</t>
  </si>
  <si>
    <t>药品材料掉落</t>
  </si>
  <si>
    <t>道具掉落</t>
    <phoneticPr fontId="1" type="noConversion"/>
  </si>
  <si>
    <t>玩家等级</t>
  </si>
  <si>
    <t>装备出售</t>
  </si>
  <si>
    <t>强化材料出售</t>
  </si>
  <si>
    <t>药品出售</t>
    <phoneticPr fontId="1" type="noConversion"/>
  </si>
  <si>
    <t>药品材料出售</t>
    <phoneticPr fontId="1" type="noConversion"/>
  </si>
  <si>
    <t>道具出售</t>
    <phoneticPr fontId="1" type="noConversion"/>
  </si>
  <si>
    <t>装备商店</t>
    <phoneticPr fontId="1" type="noConversion"/>
  </si>
  <si>
    <t>百货商店</t>
    <phoneticPr fontId="1" type="noConversion"/>
  </si>
  <si>
    <t>材料宝箱</t>
    <phoneticPr fontId="1" type="noConversion"/>
  </si>
  <si>
    <t>1-50装备商店包</t>
    <phoneticPr fontId="1" type="noConversion"/>
  </si>
  <si>
    <t>1-50百货商店包</t>
    <phoneticPr fontId="1" type="noConversion"/>
  </si>
  <si>
    <t>ID</t>
    <phoneticPr fontId="1" type="noConversion"/>
  </si>
  <si>
    <t>内容</t>
    <phoneticPr fontId="1" type="noConversion"/>
  </si>
  <si>
    <t>#</t>
    <phoneticPr fontId="1" type="noConversion"/>
  </si>
  <si>
    <t>宝箱等级</t>
    <phoneticPr fontId="1" type="noConversion"/>
  </si>
  <si>
    <t>odds</t>
    <phoneticPr fontId="3" type="noConversion"/>
  </si>
  <si>
    <t>#</t>
    <phoneticPr fontId="3" type="noConversion"/>
  </si>
  <si>
    <t>装备宝箱</t>
    <phoneticPr fontId="1" type="noConversion"/>
  </si>
  <si>
    <t>药品宝箱</t>
    <phoneticPr fontId="1" type="noConversion"/>
  </si>
  <si>
    <t>1,5商店装备包</t>
  </si>
  <si>
    <t>1,5,10商店装备包</t>
  </si>
  <si>
    <t>5,10,15商店装备包</t>
  </si>
  <si>
    <t>10,15,20商店装备包</t>
  </si>
  <si>
    <t>15,20,25商店装备包</t>
  </si>
  <si>
    <t>20,25,30商店装备包</t>
  </si>
  <si>
    <t>25,30,35商店装备包</t>
  </si>
  <si>
    <t>30,35,40商店装备包</t>
  </si>
  <si>
    <t>35,40,45商店装备包</t>
  </si>
  <si>
    <t>40,45,50商店装备包</t>
  </si>
  <si>
    <t>1,5怪物装备包</t>
  </si>
  <si>
    <t>1,5,10怪物装备包</t>
  </si>
  <si>
    <t>5,10,15怪物装备包</t>
  </si>
  <si>
    <t>10,15,20怪物装备包</t>
  </si>
  <si>
    <t>15,20,25怪物装备包</t>
  </si>
  <si>
    <t>20,25,30怪物装备包</t>
  </si>
  <si>
    <t>25,30,35怪物装备包</t>
  </si>
  <si>
    <t>30,35,40怪物装备包</t>
  </si>
  <si>
    <t>35,40,45怪物装备包</t>
  </si>
  <si>
    <t>40,45,50怪物装备包</t>
  </si>
  <si>
    <t>商店包</t>
    <phoneticPr fontId="1" type="noConversion"/>
  </si>
  <si>
    <t>怪物包</t>
    <phoneticPr fontId="1" type="noConversion"/>
  </si>
  <si>
    <t>1级装备商店包</t>
  </si>
  <si>
    <t>5级装备商店包</t>
  </si>
  <si>
    <t>10级装备商店包</t>
  </si>
  <si>
    <t>15级装备商店包</t>
  </si>
  <si>
    <t>20级装备商店包</t>
  </si>
  <si>
    <t>25级装备商店包</t>
  </si>
  <si>
    <t>30级装备商店包</t>
  </si>
  <si>
    <t>35级装备商店包</t>
  </si>
  <si>
    <t>40级装备商店包</t>
  </si>
  <si>
    <t>45级装备商店包</t>
  </si>
  <si>
    <t>50级装备商店包</t>
  </si>
  <si>
    <t>1级装备怪物包</t>
  </si>
  <si>
    <t>5级装备怪物包</t>
  </si>
  <si>
    <t>10级装备怪物包</t>
  </si>
  <si>
    <t>15级装备怪物包</t>
  </si>
  <si>
    <t>20级装备怪物包</t>
  </si>
  <si>
    <t>25级装备怪物包</t>
  </si>
  <si>
    <t>30级装备怪物包</t>
  </si>
  <si>
    <t>35级装备怪物包</t>
  </si>
  <si>
    <t>40级装备怪物包</t>
  </si>
  <si>
    <t>45级装备怪物包</t>
  </si>
  <si>
    <t>50级装备怪物包</t>
  </si>
  <si>
    <t>{id:20000100,min:1,min:1},{id:20100100,min:1,min:1},{id:20200100,min:1,min:1},{id:20300100,min:1,min:1},{id:20400100,min:1,min:1},{id:20500100,min:1,min:1},{id:20600100,min:1,min:1},{id:20700100,min:1,min:1}</t>
    <phoneticPr fontId="1" type="noConversion"/>
  </si>
  <si>
    <t>{id:20000500,min:1,min:1},{id:20100500,min:1,min:1},{id:20200500,min:1,min:1},{id:20300500,min:1,min:1},{id:20400500,min:1,min:1},{id:20500500,min:1,min:1},{id:20600500,min:1,min:1},{id:20700500,min:1,min:1}</t>
    <phoneticPr fontId="1" type="noConversion"/>
  </si>
  <si>
    <t>{id:20001000,min:1,min:1},{id:20101000,min:1,min:1},{id:20201000,min:1,min:1},{id:20301000,min:1,min:1},{id:20401000,min:1,min:1},{id:20501000,min:1,min:1},{id:20601000,min:1,min:1},{id:20701000,min:1,min:1}</t>
    <phoneticPr fontId="1" type="noConversion"/>
  </si>
  <si>
    <t>{id:20001500,min:1,min:1},{id:20101500,min:1,min:1},{id:20201500,min:1,min:1},{id:20301500,min:1,min:1},{id:20401500,min:1,min:1},{id:20501500,min:1,min:1},{id:20601500,min:1,min:1},{id:20701500,min:1,min:1}</t>
    <phoneticPr fontId="1" type="noConversion"/>
  </si>
  <si>
    <t>{id:20002000,min:1,min:1},{id:20102000,min:1,min:1},{id:20202000,min:1,min:1},{id:20302000,min:1,min:1},{id:20402000,min:1,min:1},{id:20502000,min:1,min:1},{id:20602000,min:1,min:1},{id:20702000,min:1,min:1}</t>
    <phoneticPr fontId="1" type="noConversion"/>
  </si>
  <si>
    <t>{id:20002500,min:1,min:1},{id:20102500,min:1,min:1},{id:20202500,min:1,min:1},{id:20302500,min:1,min:1},{id:20402500,min:1,min:1},{id:20502500,min:1,min:1},{id:20602500,min:1,min:1},{id:20702500,min:1,min:1}</t>
    <phoneticPr fontId="1" type="noConversion"/>
  </si>
  <si>
    <t>{id:20003000,min:1,min:1},{id:20103000,min:1,min:1},{id:20203000,min:1,min:1},{id:20303000,min:1,min:1},{id:20403000,min:1,min:1},{id:20503000,min:1,min:1},{id:20603000,min:1,min:1},{id:20703000,min:1,min:1}</t>
    <phoneticPr fontId="1" type="noConversion"/>
  </si>
  <si>
    <t>{id:20003500,min:1,min:1},{id:20103500,min:1,min:1},{id:20203500,min:1,min:1},{id:20303500,min:1,min:1},{id:20403500,min:1,min:1},{id:20503500,min:1,min:1},{id:20603500,min:1,min:1},{id:20703500,min:1,min:1}</t>
    <phoneticPr fontId="1" type="noConversion"/>
  </si>
  <si>
    <t>{id:20004000,min:1,min:1},{id:20104000,min:1,min:1},{id:20204000,min:1,min:1},{id:20304000,min:1,min:1},{id:20404000,min:1,min:1},{id:20504000,min:1,min:1},{id:20604000,min:1,min:1},{id:20704000,min:1,min:1}</t>
    <phoneticPr fontId="1" type="noConversion"/>
  </si>
  <si>
    <t>{id:20004500,min:1,min:1},{id:20104500,min:1,min:1},{id:20204500,min:1,min:1},{id:20304500,min:1,min:1},{id:20404500,min:1,min:1},{id:20504500,min:1,min:1},{id:20604500,min:1,min:1},{id:20704500,min:1,min:1}</t>
    <phoneticPr fontId="1" type="noConversion"/>
  </si>
  <si>
    <t>{id:20005000,min:1,min:1},{id:20105000,min:1,min:1},{id:20205000,min:1,min:1},{id:20305000,min:1,min:1},{id:20405000,min:1,min:1},{id:20505000,min:1,min:1},{id:20605000,min:1,min:1},{id:20705000,min:1,min:1}</t>
    <phoneticPr fontId="1" type="noConversion"/>
  </si>
  <si>
    <t>{id:20000101,min:1,min:1},{id:20100101,min:1,min:1},{id:20200101,min:1,min:1},{id:20300101,min:1,min:1},{id:20400101,min:1,min:1},{id:20500101,min:1,min:1},{id:20600101,min:1,min:1},{id:20700101,min:1,min:1}</t>
    <phoneticPr fontId="1" type="noConversion"/>
  </si>
  <si>
    <t>{id:20000501,min:1,min:1},{id:20100501,min:1,min:1},{id:20200501,min:1,min:1},{id:20300501,min:1,min:1},{id:20400501,min:1,min:1},{id:20500501,min:1,min:1},{id:20600501,min:1,min:1},{id:20700501,min:1,min:1}</t>
    <phoneticPr fontId="1" type="noConversion"/>
  </si>
  <si>
    <t>{id:20001001,min:1,min:1},{id:20101001,min:1,min:1},{id:20201001,min:1,min:1},{id:20301001,min:1,min:1},{id:20401001,min:1,min:1},{id:20501001,min:1,min:1},{id:20601001,min:1,min:1},{id:20701001,min:1,min:1}</t>
    <phoneticPr fontId="1" type="noConversion"/>
  </si>
  <si>
    <t>{id:20001501,min:1,min:1},{id:20101501,min:1,min:1},{id:20201501,min:1,min:1},{id:20301501,min:1,min:1},{id:20401501,min:1,min:1},{id:20501501,min:1,min:1},{id:20601501,min:1,min:1},{id:20701501,min:1,min:1}</t>
    <phoneticPr fontId="1" type="noConversion"/>
  </si>
  <si>
    <t>{id:20002001,min:1,min:1},{id:20102001,min:1,min:1},{id:20202001,min:1,min:1},{id:20302001,min:1,min:1},{id:20402001,min:1,min:1},{id:20502001,min:1,min:1},{id:20602001,min:1,min:1},{id:20702001,min:1,min:1}</t>
    <phoneticPr fontId="1" type="noConversion"/>
  </si>
  <si>
    <t>{id:20002501,min:1,min:1},{id:20102501,min:1,min:1},{id:20202501,min:1,min:1},{id:20302501,min:1,min:1},{id:20402501,min:1,min:1},{id:20502501,min:1,min:1},{id:20602501,min:1,min:1},{id:20702501,min:1,min:1}</t>
    <phoneticPr fontId="1" type="noConversion"/>
  </si>
  <si>
    <t>{id:20003001,min:1,min:1},{id:20103001,min:1,min:1},{id:20203001,min:1,min:1},{id:20303001,min:1,min:1},{id:20403001,min:1,min:1},{id:20503001,min:1,min:1},{id:20603001,min:1,min:1},{id:20703001,min:1,min:1}</t>
    <phoneticPr fontId="1" type="noConversion"/>
  </si>
  <si>
    <t>{id:20003501,min:1,min:1},{id:20103501,min:1,min:1},{id:20203501,min:1,min:1},{id:20303501,min:1,min:1},{id:20403501,min:1,min:1},{id:20503501,min:1,min:1},{id:20603501,min:1,min:1},{id:20703501,min:1,min:1}</t>
    <phoneticPr fontId="1" type="noConversion"/>
  </si>
  <si>
    <t>{id:20004001,min:1,min:1},{id:20104001,min:1,min:1},{id:20204001,min:1,min:1},{id:20304001,min:1,min:1},{id:20404001,min:1,min:1},{id:20504001,min:1,min:1},{id:20604001,min:1,min:1},{id:20704001,min:1,min:1}</t>
    <phoneticPr fontId="1" type="noConversion"/>
  </si>
  <si>
    <t>{id:20004501,min:1,min:1},{id:20104501,min:1,min:1},{id:20204501,min:1,min:1},{id:20304501,min:1,min:1},{id:20404501,min:1,min:1},{id:20504501,min:1,min:1},{id:20604501,min:1,min:1},{id:20704501,min:1,min:1}</t>
    <phoneticPr fontId="1" type="noConversion"/>
  </si>
  <si>
    <t>{id:20005001,min:1,min:1},{id:20105001,min:1,min:1},{id:20205001,min:1,min:1},{id:20305001,min:1,min:1},{id:20405001,min:1,min:1},{id:20505001,min:1,min:1},{id:20605001,min:1,min:1},{id:20705001,min:1,min:1}</t>
    <phoneticPr fontId="1" type="noConversion"/>
  </si>
  <si>
    <t>{id:20000102,min:1,min:1},{id:20100102,min:1,min:1},{id:20200102,min:1,min:1},{id:20300102,min:1,min:1},{id:20400102,min:1,min:1},{id:20500102,min:1,min:1},{id:20600102,min:1,min:1},{id:20700102,min:1,min:1}</t>
    <phoneticPr fontId="1" type="noConversion"/>
  </si>
  <si>
    <t>{id:20000502,min:1,min:1},{id:20100502,min:1,min:1},{id:20200502,min:1,min:1},{id:20300502,min:1,min:1},{id:20400502,min:1,min:1},{id:20500502,min:1,min:1},{id:20600502,min:1,min:1},{id:20700502,min:1,min:1}</t>
    <phoneticPr fontId="1" type="noConversion"/>
  </si>
  <si>
    <t>{id:20001002,min:1,min:1},{id:20101002,min:1,min:1},{id:20201002,min:1,min:1},{id:20301002,min:1,min:1},{id:20401002,min:1,min:1},{id:20501002,min:1,min:1},{id:20601002,min:1,min:1},{id:20701002,min:1,min:1}</t>
    <phoneticPr fontId="1" type="noConversion"/>
  </si>
  <si>
    <t>{id:20001502,min:1,min:1},{id:20101502,min:1,min:1},{id:20201502,min:1,min:1},{id:20301502,min:1,min:1},{id:20401502,min:1,min:1},{id:20501502,min:1,min:1},{id:20601502,min:1,min:1},{id:20701502,min:1,min:1}</t>
    <phoneticPr fontId="1" type="noConversion"/>
  </si>
  <si>
    <t>{id:20002002,min:1,min:1},{id:20102002,min:1,min:1},{id:20202002,min:1,min:1},{id:20302002,min:1,min:1},{id:20402002,min:1,min:1},{id:20502002,min:1,min:1},{id:20602002,min:1,min:1},{id:20702002,min:1,min:1}</t>
    <phoneticPr fontId="1" type="noConversion"/>
  </si>
  <si>
    <t>{id:20002502,min:1,min:1},{id:20102502,min:1,min:1},{id:20202502,min:1,min:1},{id:20302502,min:1,min:1},{id:20402502,min:1,min:1},{id:20502502,min:1,min:1},{id:20602502,min:1,min:1},{id:20702502,min:1,min:1}</t>
    <phoneticPr fontId="1" type="noConversion"/>
  </si>
  <si>
    <t>{id:20003002,min:1,min:1},{id:20103002,min:1,min:1},{id:20203002,min:1,min:1},{id:20303002,min:1,min:1},{id:20403002,min:1,min:1},{id:20503002,min:1,min:1},{id:20603002,min:1,min:1},{id:20703002,min:1,min:1}</t>
    <phoneticPr fontId="1" type="noConversion"/>
  </si>
  <si>
    <t>{id:20003502,min:1,min:1},{id:20103502,min:1,min:1},{id:20203502,min:1,min:1},{id:20303502,min:1,min:1},{id:20403502,min:1,min:1},{id:20503502,min:1,min:1},{id:20603502,min:1,min:1},{id:20703502,min:1,min:1}</t>
    <phoneticPr fontId="1" type="noConversion"/>
  </si>
  <si>
    <t>{id:20004002,min:1,min:1},{id:20104002,min:1,min:1},{id:20204002,min:1,min:1},{id:20304002,min:1,min:1},{id:20404002,min:1,min:1},{id:20504002,min:1,min:1},{id:20604002,min:1,min:1},{id:20704002,min:1,min:1}</t>
    <phoneticPr fontId="1" type="noConversion"/>
  </si>
  <si>
    <t>{id:20004502,min:1,min:1},{id:20104502,min:1,min:1},{id:20204502,min:1,min:1},{id:20304502,min:1,min:1},{id:20404502,min:1,min:1},{id:20504502,min:1,min:1},{id:20604502,min:1,min:1},{id:20704502,min:1,min:1}</t>
    <phoneticPr fontId="1" type="noConversion"/>
  </si>
  <si>
    <t>{id:20005002,min:1,min:1},{id:20105002,min:1,min:1},{id:20205002,min:1,min:1},{id:20305002,min:1,min:1},{id:20405002,min:1,min:1},{id:20505002,min:1,min:1},{id:20605002,min:1,min:1},{id:20705002,min:1,min:1}</t>
    <phoneticPr fontId="1" type="noConversion"/>
  </si>
  <si>
    <t>{id:20000103,min:1,min:1},{id:20100103,min:1,min:1},{id:20200103,min:1,min:1},{id:20300103,min:1,min:1},{id:20400103,min:1,min:1},{id:20500103,min:1,min:1},{id:20600103,min:1,min:1},{id:20700103,min:1,min:1}</t>
    <phoneticPr fontId="1" type="noConversion"/>
  </si>
  <si>
    <t>{id:20000503,min:1,min:1},{id:20100503,min:1,min:1},{id:20200503,min:1,min:1},{id:20300503,min:1,min:1},{id:20400503,min:1,min:1},{id:20500503,min:1,min:1},{id:20600503,min:1,min:1},{id:20700503,min:1,min:1}</t>
    <phoneticPr fontId="1" type="noConversion"/>
  </si>
  <si>
    <t>{id:20001003,min:1,min:1},{id:20101003,min:1,min:1},{id:20201003,min:1,min:1},{id:20301003,min:1,min:1},{id:20401003,min:1,min:1},{id:20501003,min:1,min:1},{id:20601003,min:1,min:1},{id:20701003,min:1,min:1}</t>
    <phoneticPr fontId="1" type="noConversion"/>
  </si>
  <si>
    <t>{id:20001503,min:1,min:1},{id:20101503,min:1,min:1},{id:20201503,min:1,min:1},{id:20301503,min:1,min:1},{id:20401503,min:1,min:1},{id:20501503,min:1,min:1},{id:20601503,min:1,min:1},{id:20701503,min:1,min:1}</t>
    <phoneticPr fontId="1" type="noConversion"/>
  </si>
  <si>
    <t>{id:20002003,min:1,min:1},{id:20102003,min:1,min:1},{id:20202003,min:1,min:1},{id:20302003,min:1,min:1},{id:20402003,min:1,min:1},{id:20502003,min:1,min:1},{id:20602003,min:1,min:1},{id:20702003,min:1,min:1}</t>
    <phoneticPr fontId="1" type="noConversion"/>
  </si>
  <si>
    <t>{id:20002503,min:1,min:1},{id:20102503,min:1,min:1},{id:20202503,min:1,min:1},{id:20302503,min:1,min:1},{id:20402503,min:1,min:1},{id:20502503,min:1,min:1},{id:20602503,min:1,min:1},{id:20702503,min:1,min:1}</t>
    <phoneticPr fontId="1" type="noConversion"/>
  </si>
  <si>
    <t>{id:20003003,min:1,min:1},{id:20103003,min:1,min:1},{id:20203003,min:1,min:1},{id:20303003,min:1,min:1},{id:20403003,min:1,min:1},{id:20503003,min:1,min:1},{id:20603003,min:1,min:1},{id:20703003,min:1,min:1}</t>
    <phoneticPr fontId="1" type="noConversion"/>
  </si>
  <si>
    <t>{id:20004003,min:1,min:1},{id:20104003,min:1,min:1},{id:20204003,min:1,min:1},{id:20304003,min:1,min:1},{id:20404003,min:1,min:1},{id:20504003,min:1,min:1},{id:20604003,min:1,min:1},{id:20704003,min:1,min:1}</t>
    <phoneticPr fontId="1" type="noConversion"/>
  </si>
  <si>
    <t>{id:20005003,min:1,min:1},{id:20105003,min:1,min:1},{id:20205003,min:1,min:1},{id:20305003,min:1,min:1},{id:20405003,min:1,min:1},{id:20505003,min:1,min:1},{id:20605003,min:1,min:1},{id:20705003,min:1,min:1}</t>
    <phoneticPr fontId="1" type="noConversion"/>
  </si>
  <si>
    <t>{id:20000504,min:1,min:1},{id:20100504,min:1,min:1},{id:20200504,min:1,min:1},{id:20300504,min:1,min:1},{id:20400504,min:1,min:1},{id:20500504,min:1,min:1},{id:20600504,min:1,min:1},{id:20700504,min:1,min:1}</t>
    <phoneticPr fontId="1" type="noConversion"/>
  </si>
  <si>
    <t>{id:20001004,min:1,min:1},{id:20101004,min:1,min:1},{id:20201004,min:1,min:1},{id:20301004,min:1,min:1},{id:20401004,min:1,min:1},{id:20501004,min:1,min:1},{id:20601004,min:1,min:1},{id:20701004,min:1,min:1}</t>
    <phoneticPr fontId="1" type="noConversion"/>
  </si>
  <si>
    <t>{id:20002004,min:1,min:1},{id:20102004,min:1,min:1},{id:20202004,min:1,min:1},{id:20302004,min:1,min:1},{id:20402004,min:1,min:1},{id:20502004,min:1,min:1},{id:20602004,min:1,min:1},{id:20702004,min:1,min:1}</t>
    <phoneticPr fontId="1" type="noConversion"/>
  </si>
  <si>
    <t>{id:20002504,min:1,min:1},{id:20102504,min:1,min:1},{id:20202504,min:1,min:1},{id:20302504,min:1,min:1},{id:20402504,min:1,min:1},{id:20502504,min:1,min:1},{id:20602504,min:1,min:1},{id:20702504,min:1,min:1}</t>
    <phoneticPr fontId="1" type="noConversion"/>
  </si>
  <si>
    <t>{id:20003004,min:1,min:1},{id:20103004,min:1,min:1},{id:20203004,min:1,min:1},{id:20303004,min:1,min:1},{id:20403004,min:1,min:1},{id:20503004,min:1,min:1},{id:20603004,min:1,min:1},{id:20703004,min:1,min:1}</t>
    <phoneticPr fontId="1" type="noConversion"/>
  </si>
  <si>
    <t>{id:20003504,min:1,min:1},{id:20103504,min:1,min:1},{id:20203504,min:1,min:1},{id:20303504,min:1,min:1},{id:20403504,min:1,min:1},{id:20503504,min:1,min:1},{id:20603504,min:1,min:1},{id:20703504,min:1,min:1}</t>
    <phoneticPr fontId="1" type="noConversion"/>
  </si>
  <si>
    <t>{id:20004004,min:1,min:1},{id:20104004,min:1,min:1},{id:20204004,min:1,min:1},{id:20304004,min:1,min:1},{id:20404004,min:1,min:1},{id:20504004,min:1,min:1},{id:20604004,min:1,min:1},{id:20704004,min:1,min:1}</t>
    <phoneticPr fontId="1" type="noConversion"/>
  </si>
  <si>
    <t>{id:20004504,min:1,min:1},{id:20104504,min:1,min:1},{id:20204504,min:1,min:1},{id:20304504,min:1,min:1},{id:20404504,min:1,min:1},{id:20504504,min:1,min:1},{id:20604504,min:1,min:1},{id:20704504,min:1,min:1}</t>
    <phoneticPr fontId="1" type="noConversion"/>
  </si>
  <si>
    <t>{id:20005004,min:1,min:1},{id:20105004,min:1,min:1},{id:20205004,min:1,min:1},{id:20305004,min:1,min:1},{id:20405004,min:1,min:1},{id:20505004,min:1,min:1},{id:20605004,min:1,min:1},{id:20705004,min:1,min:1}</t>
    <phoneticPr fontId="1" type="noConversion"/>
  </si>
  <si>
    <t>1-25材料宝箱</t>
    <phoneticPr fontId="1" type="noConversion"/>
  </si>
  <si>
    <t>1-25装备宝箱</t>
    <phoneticPr fontId="1" type="noConversion"/>
  </si>
  <si>
    <t>1-25药品宝箱</t>
    <phoneticPr fontId="1" type="noConversion"/>
  </si>
  <si>
    <t>药品掉落</t>
    <phoneticPr fontId="1" type="noConversion"/>
  </si>
  <si>
    <t>小怪掉落</t>
    <phoneticPr fontId="1" type="noConversion"/>
  </si>
  <si>
    <t>BOSS掉落</t>
    <phoneticPr fontId="1" type="noConversion"/>
  </si>
  <si>
    <t>{id:20003503,min:1,min:1},{id:20103503,min:1,min:1},{id:20203503,min:1,min:1},{id:20303503,min:1,min:1},{id:20403503,min:1,min:1},{id:20503503,min:1,min:1},{id:20603503,min:1,min:1},{id:20703503,min:1,min:1}</t>
    <phoneticPr fontId="1" type="noConversion"/>
  </si>
  <si>
    <t>{id:20004503,min:1,min:1},{id:20104503,min:1,min:1},{id:20204503,min:1,min:1},{id:20304503,min:1,min:1},{id:20404503,min:1,min:1},{id:20504503,min:1,min:1},{id:20604503,min:1,min:1},{id:20704503,min:1,min:1}</t>
    <phoneticPr fontId="1" type="noConversion"/>
  </si>
  <si>
    <t>{id:20000104,min:1,min:1},{id:20100104,min:1,min:1},{id:20200104,min:1,min:1},{id:20300104,min:1,min:1},{id:20400104,min:1,min:1},{id:20500104,min:1,min:1},{id:20600104,min:1,min:1},{id:20700104,min:1,min:1}</t>
    <phoneticPr fontId="1" type="noConversion"/>
  </si>
  <si>
    <t>{id:20001504,min:1,min:1},{id:20101504,min:1,min:1},{id:20201504,min:1,min:1},{id:20301504,min:1,min:1},{id:20401504,min:1,min:1},{id:20501504,min:1,min:1},{id:20601504,min:1,min:1},{id:20701504,min:1,min:1}</t>
    <phoneticPr fontId="1" type="noConversion"/>
  </si>
  <si>
    <t>{id:30300001,min:1,max:1},{id:30300002,min:1,max:1},{id:30300003,min:1,max:1},{id:30300004,min:1,max:1},{id:30300005,min:1,max:1},{id:30300006,min:1,max:1},{id:30300007,min:1,max:1},{id:30300008,min:1,max:1}</t>
  </si>
  <si>
    <t>怪物装备包↓</t>
    <phoneticPr fontId="1" type="noConversion"/>
  </si>
  <si>
    <t>商店装备包↓</t>
    <phoneticPr fontId="1" type="noConversion"/>
  </si>
  <si>
    <t>1-25杂货宝箱</t>
    <phoneticPr fontId="1" type="noConversion"/>
  </si>
  <si>
    <t>宝箱等级</t>
    <phoneticPr fontId="1" type="noConversion"/>
  </si>
  <si>
    <t>杂货宝箱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</si>
</sst>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b/>
      <sz val="10"/>
      <color theme="1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58" fontId="0" fillId="0" borderId="0" xfId="0" applyNumberFormat="1">
      <alignment vertical="center"/>
    </xf>
    <xf numFmtId="0" fontId="2" fillId="0" borderId="0" xfId="0" applyFont="1" applyBorder="1" applyAlignment="1"/>
    <xf numFmtId="0" fontId="4" fillId="0" borderId="0" xfId="0" applyFont="1" applyBorder="1" applyAlignment="1"/>
    <xf numFmtId="0" fontId="4" fillId="0" borderId="0" xfId="0" applyFont="1">
      <alignment vertical="center"/>
    </xf>
    <xf numFmtId="0" fontId="4" fillId="0" borderId="0" xfId="0" applyNumberFormat="1" applyFont="1" applyBorder="1" applyAlignment="1"/>
    <xf numFmtId="0" fontId="4" fillId="3" borderId="0" xfId="0" applyFont="1" applyFill="1" applyBorder="1" applyAlignment="1"/>
    <xf numFmtId="0" fontId="4" fillId="4" borderId="0" xfId="0" applyFont="1" applyFill="1" applyBorder="1" applyAlignment="1"/>
    <xf numFmtId="0" fontId="4" fillId="5" borderId="0" xfId="0" applyFont="1" applyFill="1" applyBorder="1" applyAlignment="1"/>
    <xf numFmtId="0" fontId="4" fillId="5" borderId="0" xfId="0" applyNumberFormat="1" applyFont="1" applyFill="1" applyBorder="1" applyAlignment="1"/>
    <xf numFmtId="0" fontId="4" fillId="6" borderId="0" xfId="0" applyFont="1" applyFill="1" applyBorder="1" applyAlignment="1"/>
    <xf numFmtId="0" fontId="4" fillId="4" borderId="0" xfId="0" applyNumberFormat="1" applyFont="1" applyFill="1" applyBorder="1" applyAlignment="1"/>
    <xf numFmtId="0" fontId="4" fillId="6" borderId="0" xfId="0" applyNumberFormat="1" applyFont="1" applyFill="1" applyBorder="1" applyAlignment="1"/>
    <xf numFmtId="0" fontId="4" fillId="3" borderId="0" xfId="0" applyNumberFormat="1" applyFont="1" applyFill="1" applyBorder="1" applyAlignment="1"/>
    <xf numFmtId="0" fontId="4" fillId="9" borderId="0" xfId="0" applyFont="1" applyFill="1" applyBorder="1" applyAlignment="1"/>
    <xf numFmtId="0" fontId="4" fillId="9" borderId="0" xfId="0" applyNumberFormat="1" applyFont="1" applyFill="1" applyBorder="1" applyAlignment="1"/>
    <xf numFmtId="0" fontId="5" fillId="0" borderId="0" xfId="0" applyFont="1">
      <alignment vertical="center"/>
    </xf>
    <xf numFmtId="0" fontId="4" fillId="8" borderId="0" xfId="0" applyFont="1" applyFill="1">
      <alignment vertical="center"/>
    </xf>
    <xf numFmtId="0" fontId="4" fillId="7" borderId="0" xfId="0" applyFont="1" applyFill="1">
      <alignment vertical="center"/>
    </xf>
    <xf numFmtId="0" fontId="5" fillId="6" borderId="0" xfId="0" applyFont="1" applyFill="1">
      <alignment vertical="center"/>
    </xf>
    <xf numFmtId="0" fontId="5" fillId="11" borderId="0" xfId="0" applyFont="1" applyFill="1">
      <alignment vertical="center"/>
    </xf>
    <xf numFmtId="0" fontId="4" fillId="9" borderId="0" xfId="0" applyFont="1" applyFill="1">
      <alignment vertical="center"/>
    </xf>
    <xf numFmtId="0" fontId="4" fillId="6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2" borderId="0" xfId="0" applyFont="1" applyFill="1">
      <alignment vertical="center"/>
    </xf>
    <xf numFmtId="0" fontId="5" fillId="4" borderId="0" xfId="0" applyFont="1" applyFill="1">
      <alignment vertical="center"/>
    </xf>
    <xf numFmtId="0" fontId="5" fillId="13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10" borderId="0" xfId="0" applyFont="1" applyFill="1">
      <alignment vertical="center"/>
    </xf>
    <xf numFmtId="0" fontId="4" fillId="2" borderId="0" xfId="0" applyFont="1" applyFill="1" applyAlignment="1">
      <alignment horizontal="center" vertical="center"/>
    </xf>
    <xf numFmtId="0" fontId="6" fillId="8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2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26</xdr:row>
      <xdr:rowOff>104775</xdr:rowOff>
    </xdr:from>
    <xdr:to>
      <xdr:col>5</xdr:col>
      <xdr:colOff>276225</xdr:colOff>
      <xdr:row>34</xdr:row>
      <xdr:rowOff>76200</xdr:rowOff>
    </xdr:to>
    <xdr:sp macro="" textlink="">
      <xdr:nvSpPr>
        <xdr:cNvPr id="3" name="矩形 2"/>
        <xdr:cNvSpPr/>
      </xdr:nvSpPr>
      <xdr:spPr>
        <a:xfrm>
          <a:off x="533400" y="4562475"/>
          <a:ext cx="3962400" cy="1343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怪物、宝箱不掉落橙色装备</a:t>
          </a:r>
          <a:endParaRPr lang="en-US" altLang="zh-CN" sz="1000"/>
        </a:p>
        <a:p>
          <a:pPr algn="l"/>
          <a:endParaRPr lang="en-US" altLang="zh-CN" sz="1000"/>
        </a:p>
        <a:p>
          <a:pPr algn="l"/>
          <a:r>
            <a:rPr lang="zh-CN" altLang="en-US" sz="1000"/>
            <a:t>商店出售橙色装备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0</xdr:row>
          <xdr:rowOff>114300</xdr:rowOff>
        </xdr:from>
        <xdr:to>
          <xdr:col>4</xdr:col>
          <xdr:colOff>552450</xdr:colOff>
          <xdr:row>2</xdr:row>
          <xdr:rowOff>66675</xdr:rowOff>
        </xdr:to>
        <xdr:sp macro="" textlink="">
          <xdr:nvSpPr>
            <xdr:cNvPr id="2049" name="wEquip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114300</xdr:rowOff>
        </xdr:from>
        <xdr:to>
          <xdr:col>7</xdr:col>
          <xdr:colOff>419100</xdr:colOff>
          <xdr:row>2</xdr:row>
          <xdr:rowOff>66675</xdr:rowOff>
        </xdr:to>
        <xdr:sp macro="" textlink="">
          <xdr:nvSpPr>
            <xdr:cNvPr id="2050" name="gEqiup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114300</xdr:rowOff>
        </xdr:from>
        <xdr:to>
          <xdr:col>10</xdr:col>
          <xdr:colOff>352425</xdr:colOff>
          <xdr:row>2</xdr:row>
          <xdr:rowOff>66675</xdr:rowOff>
        </xdr:to>
        <xdr:sp macro="" textlink="">
          <xdr:nvSpPr>
            <xdr:cNvPr id="2051" name="bEquip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114300</xdr:rowOff>
        </xdr:from>
        <xdr:to>
          <xdr:col>13</xdr:col>
          <xdr:colOff>352425</xdr:colOff>
          <xdr:row>2</xdr:row>
          <xdr:rowOff>66675</xdr:rowOff>
        </xdr:to>
        <xdr:sp macro="" textlink="">
          <xdr:nvSpPr>
            <xdr:cNvPr id="2052" name="pEquip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114300</xdr:rowOff>
        </xdr:from>
        <xdr:to>
          <xdr:col>16</xdr:col>
          <xdr:colOff>428625</xdr:colOff>
          <xdr:row>2</xdr:row>
          <xdr:rowOff>66675</xdr:rowOff>
        </xdr:to>
        <xdr:sp macro="" textlink="">
          <xdr:nvSpPr>
            <xdr:cNvPr id="2053" name="oEqiup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51"/>
  <sheetViews>
    <sheetView zoomScaleNormal="100" workbookViewId="0">
      <selection activeCell="G23" sqref="G23"/>
    </sheetView>
  </sheetViews>
  <sheetFormatPr defaultRowHeight="13.5" x14ac:dyDescent="0.15"/>
  <cols>
    <col min="3" max="3" width="11.375" bestFit="1" customWidth="1"/>
    <col min="4" max="6" width="13" bestFit="1" customWidth="1"/>
    <col min="10" max="10" width="13" bestFit="1" customWidth="1"/>
    <col min="12" max="12" width="13" bestFit="1" customWidth="1"/>
  </cols>
  <sheetData>
    <row r="1" spans="1:22" x14ac:dyDescent="0.15">
      <c r="A1" t="s">
        <v>0</v>
      </c>
      <c r="C1" t="s">
        <v>16</v>
      </c>
      <c r="D1" t="s">
        <v>34</v>
      </c>
      <c r="E1" t="s">
        <v>35</v>
      </c>
      <c r="F1" t="s">
        <v>36</v>
      </c>
      <c r="H1" t="s">
        <v>1</v>
      </c>
      <c r="I1" t="s">
        <v>27</v>
      </c>
      <c r="J1" t="s">
        <v>33</v>
      </c>
      <c r="K1" t="s">
        <v>35</v>
      </c>
      <c r="L1" t="s">
        <v>36</v>
      </c>
      <c r="N1" t="s">
        <v>2</v>
      </c>
      <c r="P1" t="s">
        <v>5</v>
      </c>
      <c r="S1" t="s">
        <v>3</v>
      </c>
      <c r="U1" t="s">
        <v>4</v>
      </c>
    </row>
    <row r="2" spans="1:22" x14ac:dyDescent="0.15">
      <c r="A2">
        <v>1</v>
      </c>
      <c r="B2" t="str">
        <f>A2*2-1&amp;"-"&amp;A2*2</f>
        <v>1-2</v>
      </c>
      <c r="C2" t="s">
        <v>421</v>
      </c>
      <c r="D2" t="s">
        <v>6</v>
      </c>
      <c r="E2" t="s">
        <v>6</v>
      </c>
      <c r="F2" t="s">
        <v>6</v>
      </c>
      <c r="H2">
        <v>1</v>
      </c>
      <c r="I2" t="s">
        <v>17</v>
      </c>
      <c r="J2" t="s">
        <v>6</v>
      </c>
      <c r="K2" t="s">
        <v>6</v>
      </c>
      <c r="L2" t="s">
        <v>6</v>
      </c>
      <c r="N2">
        <v>1</v>
      </c>
      <c r="P2" t="s">
        <v>6</v>
      </c>
      <c r="Q2" s="1" t="s">
        <v>11</v>
      </c>
      <c r="S2">
        <v>5</v>
      </c>
      <c r="T2" t="s">
        <v>6</v>
      </c>
      <c r="U2" s="1" t="s">
        <v>11</v>
      </c>
      <c r="V2" s="1"/>
    </row>
    <row r="3" spans="1:22" x14ac:dyDescent="0.15">
      <c r="A3">
        <v>2</v>
      </c>
      <c r="B3" t="str">
        <f t="shared" ref="B3:B26" si="0">A3*2-1&amp;"-"&amp;A3*2</f>
        <v>3-4</v>
      </c>
      <c r="C3" t="s">
        <v>421</v>
      </c>
      <c r="D3" t="s">
        <v>6</v>
      </c>
      <c r="E3" t="s">
        <v>6</v>
      </c>
      <c r="F3" t="s">
        <v>6</v>
      </c>
      <c r="H3">
        <v>2</v>
      </c>
      <c r="I3" t="s">
        <v>17</v>
      </c>
      <c r="J3" t="s">
        <v>6</v>
      </c>
      <c r="K3" t="s">
        <v>6</v>
      </c>
      <c r="L3" t="s">
        <v>6</v>
      </c>
      <c r="N3">
        <v>5</v>
      </c>
      <c r="P3" t="s">
        <v>7</v>
      </c>
      <c r="Q3" t="s">
        <v>12</v>
      </c>
      <c r="S3">
        <v>15</v>
      </c>
      <c r="T3" t="s">
        <v>7</v>
      </c>
      <c r="U3" t="s">
        <v>12</v>
      </c>
    </row>
    <row r="4" spans="1:22" x14ac:dyDescent="0.15">
      <c r="A4">
        <v>3</v>
      </c>
      <c r="B4" t="str">
        <f t="shared" si="0"/>
        <v>5-6</v>
      </c>
      <c r="C4" t="s">
        <v>422</v>
      </c>
      <c r="D4" t="s">
        <v>6</v>
      </c>
      <c r="E4" t="s">
        <v>6</v>
      </c>
      <c r="F4" t="s">
        <v>6</v>
      </c>
      <c r="H4">
        <v>3</v>
      </c>
      <c r="I4" t="s">
        <v>17</v>
      </c>
      <c r="J4" t="s">
        <v>6</v>
      </c>
      <c r="K4" t="s">
        <v>6</v>
      </c>
      <c r="L4" t="s">
        <v>6</v>
      </c>
      <c r="N4">
        <v>10</v>
      </c>
      <c r="P4" t="s">
        <v>8</v>
      </c>
      <c r="Q4" t="s">
        <v>13</v>
      </c>
      <c r="S4">
        <v>25</v>
      </c>
      <c r="T4" t="s">
        <v>8</v>
      </c>
      <c r="U4" t="s">
        <v>13</v>
      </c>
    </row>
    <row r="5" spans="1:22" x14ac:dyDescent="0.15">
      <c r="A5">
        <v>4</v>
      </c>
      <c r="B5" t="str">
        <f t="shared" si="0"/>
        <v>7-8</v>
      </c>
      <c r="C5" t="s">
        <v>422</v>
      </c>
      <c r="D5" t="s">
        <v>6</v>
      </c>
      <c r="E5" t="s">
        <v>6</v>
      </c>
      <c r="F5" t="s">
        <v>6</v>
      </c>
      <c r="H5">
        <v>4</v>
      </c>
      <c r="I5" t="s">
        <v>17</v>
      </c>
      <c r="J5" t="s">
        <v>6</v>
      </c>
      <c r="K5" t="s">
        <v>6</v>
      </c>
      <c r="L5" t="s">
        <v>6</v>
      </c>
      <c r="N5">
        <v>15</v>
      </c>
      <c r="P5" t="s">
        <v>9</v>
      </c>
      <c r="Q5" t="s">
        <v>14</v>
      </c>
      <c r="S5">
        <v>35</v>
      </c>
      <c r="T5" t="s">
        <v>9</v>
      </c>
      <c r="U5" t="s">
        <v>14</v>
      </c>
    </row>
    <row r="6" spans="1:22" x14ac:dyDescent="0.15">
      <c r="A6">
        <v>5</v>
      </c>
      <c r="B6" t="str">
        <f t="shared" si="0"/>
        <v>9-10</v>
      </c>
      <c r="C6" t="s">
        <v>423</v>
      </c>
      <c r="D6" t="s">
        <v>28</v>
      </c>
      <c r="E6" t="s">
        <v>28</v>
      </c>
      <c r="F6" t="s">
        <v>28</v>
      </c>
      <c r="H6">
        <v>5</v>
      </c>
      <c r="I6" t="s">
        <v>18</v>
      </c>
      <c r="J6" t="s">
        <v>6</v>
      </c>
      <c r="K6" t="s">
        <v>6</v>
      </c>
      <c r="L6" t="s">
        <v>6</v>
      </c>
      <c r="N6">
        <v>20</v>
      </c>
      <c r="P6" t="s">
        <v>10</v>
      </c>
      <c r="Q6" t="s">
        <v>15</v>
      </c>
      <c r="S6">
        <v>45</v>
      </c>
      <c r="T6" t="s">
        <v>10</v>
      </c>
      <c r="U6" t="s">
        <v>15</v>
      </c>
    </row>
    <row r="7" spans="1:22" x14ac:dyDescent="0.15">
      <c r="A7">
        <v>6</v>
      </c>
      <c r="B7" t="str">
        <f t="shared" si="0"/>
        <v>11-12</v>
      </c>
      <c r="C7" t="s">
        <v>423</v>
      </c>
      <c r="D7" t="s">
        <v>28</v>
      </c>
      <c r="E7" t="s">
        <v>28</v>
      </c>
      <c r="F7" t="s">
        <v>28</v>
      </c>
      <c r="H7">
        <v>6</v>
      </c>
      <c r="I7" t="s">
        <v>18</v>
      </c>
      <c r="J7" t="s">
        <v>6</v>
      </c>
      <c r="K7" t="s">
        <v>6</v>
      </c>
      <c r="L7" t="s">
        <v>6</v>
      </c>
      <c r="N7">
        <v>25</v>
      </c>
    </row>
    <row r="8" spans="1:22" x14ac:dyDescent="0.15">
      <c r="A8">
        <v>7</v>
      </c>
      <c r="B8" t="str">
        <f t="shared" si="0"/>
        <v>13-14</v>
      </c>
      <c r="C8" t="s">
        <v>423</v>
      </c>
      <c r="D8" t="s">
        <v>28</v>
      </c>
      <c r="E8" t="s">
        <v>28</v>
      </c>
      <c r="F8" t="s">
        <v>28</v>
      </c>
      <c r="H8">
        <v>7</v>
      </c>
      <c r="I8" t="s">
        <v>18</v>
      </c>
      <c r="J8" t="s">
        <v>6</v>
      </c>
      <c r="K8" t="s">
        <v>6</v>
      </c>
      <c r="L8" t="s">
        <v>6</v>
      </c>
      <c r="N8">
        <v>30</v>
      </c>
    </row>
    <row r="9" spans="1:22" x14ac:dyDescent="0.15">
      <c r="A9">
        <v>8</v>
      </c>
      <c r="B9" t="str">
        <f t="shared" si="0"/>
        <v>15-16</v>
      </c>
      <c r="C9" t="s">
        <v>424</v>
      </c>
      <c r="D9" t="s">
        <v>28</v>
      </c>
      <c r="E9" t="s">
        <v>28</v>
      </c>
      <c r="F9" t="s">
        <v>28</v>
      </c>
      <c r="H9">
        <v>8</v>
      </c>
      <c r="I9" t="s">
        <v>18</v>
      </c>
      <c r="J9" t="s">
        <v>6</v>
      </c>
      <c r="K9" t="s">
        <v>6</v>
      </c>
      <c r="L9" t="s">
        <v>6</v>
      </c>
      <c r="N9">
        <v>35</v>
      </c>
    </row>
    <row r="10" spans="1:22" x14ac:dyDescent="0.15">
      <c r="A10">
        <v>9</v>
      </c>
      <c r="B10" t="str">
        <f t="shared" si="0"/>
        <v>17-18</v>
      </c>
      <c r="C10" t="s">
        <v>424</v>
      </c>
      <c r="D10" t="s">
        <v>28</v>
      </c>
      <c r="E10" t="s">
        <v>28</v>
      </c>
      <c r="F10" t="s">
        <v>28</v>
      </c>
      <c r="H10">
        <v>9</v>
      </c>
      <c r="I10" t="s">
        <v>18</v>
      </c>
      <c r="J10" t="s">
        <v>6</v>
      </c>
      <c r="K10" t="s">
        <v>6</v>
      </c>
      <c r="L10" t="s">
        <v>6</v>
      </c>
      <c r="N10">
        <v>40</v>
      </c>
    </row>
    <row r="11" spans="1:22" x14ac:dyDescent="0.15">
      <c r="A11">
        <v>10</v>
      </c>
      <c r="B11" t="str">
        <f t="shared" si="0"/>
        <v>19-20</v>
      </c>
      <c r="C11" t="s">
        <v>425</v>
      </c>
      <c r="D11" t="s">
        <v>29</v>
      </c>
      <c r="E11" t="s">
        <v>29</v>
      </c>
      <c r="F11" t="s">
        <v>29</v>
      </c>
      <c r="H11">
        <v>10</v>
      </c>
      <c r="I11" t="s">
        <v>18</v>
      </c>
      <c r="J11" t="s">
        <v>6</v>
      </c>
      <c r="K11" t="s">
        <v>6</v>
      </c>
      <c r="L11" t="s">
        <v>6</v>
      </c>
      <c r="N11">
        <v>45</v>
      </c>
    </row>
    <row r="12" spans="1:22" x14ac:dyDescent="0.15">
      <c r="A12">
        <v>11</v>
      </c>
      <c r="B12" t="str">
        <f t="shared" si="0"/>
        <v>21-22</v>
      </c>
      <c r="C12" t="s">
        <v>425</v>
      </c>
      <c r="D12" t="s">
        <v>29</v>
      </c>
      <c r="E12" t="s">
        <v>29</v>
      </c>
      <c r="F12" t="s">
        <v>29</v>
      </c>
      <c r="H12">
        <v>11</v>
      </c>
      <c r="I12" t="s">
        <v>19</v>
      </c>
      <c r="J12" t="s">
        <v>28</v>
      </c>
      <c r="K12" t="s">
        <v>28</v>
      </c>
      <c r="L12" t="s">
        <v>28</v>
      </c>
      <c r="N12">
        <v>50</v>
      </c>
    </row>
    <row r="13" spans="1:22" x14ac:dyDescent="0.15">
      <c r="A13">
        <v>12</v>
      </c>
      <c r="B13" t="str">
        <f t="shared" si="0"/>
        <v>23-24</v>
      </c>
      <c r="C13" t="s">
        <v>425</v>
      </c>
      <c r="D13" t="s">
        <v>29</v>
      </c>
      <c r="E13" t="s">
        <v>29</v>
      </c>
      <c r="F13" t="s">
        <v>29</v>
      </c>
      <c r="H13">
        <v>12</v>
      </c>
      <c r="I13" t="s">
        <v>19</v>
      </c>
      <c r="J13" t="s">
        <v>28</v>
      </c>
      <c r="K13" t="s">
        <v>28</v>
      </c>
      <c r="L13" t="s">
        <v>28</v>
      </c>
    </row>
    <row r="14" spans="1:22" x14ac:dyDescent="0.15">
      <c r="A14">
        <v>13</v>
      </c>
      <c r="B14" t="str">
        <f t="shared" si="0"/>
        <v>25-26</v>
      </c>
      <c r="C14" t="s">
        <v>426</v>
      </c>
      <c r="D14" t="s">
        <v>30</v>
      </c>
      <c r="E14" t="s">
        <v>30</v>
      </c>
      <c r="F14" t="s">
        <v>30</v>
      </c>
      <c r="H14">
        <v>13</v>
      </c>
      <c r="I14" t="s">
        <v>19</v>
      </c>
      <c r="J14" t="s">
        <v>28</v>
      </c>
      <c r="K14" t="s">
        <v>28</v>
      </c>
      <c r="L14" t="s">
        <v>28</v>
      </c>
    </row>
    <row r="15" spans="1:22" x14ac:dyDescent="0.15">
      <c r="A15">
        <v>14</v>
      </c>
      <c r="B15" t="str">
        <f t="shared" si="0"/>
        <v>27-28</v>
      </c>
      <c r="C15" t="s">
        <v>426</v>
      </c>
      <c r="D15" t="s">
        <v>30</v>
      </c>
      <c r="E15" t="s">
        <v>30</v>
      </c>
      <c r="F15" t="s">
        <v>30</v>
      </c>
      <c r="H15">
        <v>14</v>
      </c>
      <c r="I15" t="s">
        <v>19</v>
      </c>
      <c r="J15" t="s">
        <v>28</v>
      </c>
      <c r="K15" t="s">
        <v>28</v>
      </c>
      <c r="L15" t="s">
        <v>28</v>
      </c>
    </row>
    <row r="16" spans="1:22" x14ac:dyDescent="0.15">
      <c r="A16">
        <v>15</v>
      </c>
      <c r="B16" t="str">
        <f t="shared" si="0"/>
        <v>29-30</v>
      </c>
      <c r="C16" t="s">
        <v>426</v>
      </c>
      <c r="D16" t="s">
        <v>30</v>
      </c>
      <c r="E16" t="s">
        <v>30</v>
      </c>
      <c r="F16" t="s">
        <v>30</v>
      </c>
      <c r="H16">
        <v>15</v>
      </c>
      <c r="I16" t="s">
        <v>19</v>
      </c>
      <c r="J16" t="s">
        <v>28</v>
      </c>
      <c r="K16" t="s">
        <v>28</v>
      </c>
      <c r="L16" t="s">
        <v>28</v>
      </c>
    </row>
    <row r="17" spans="1:12" x14ac:dyDescent="0.15">
      <c r="A17">
        <v>16</v>
      </c>
      <c r="B17" t="str">
        <f t="shared" si="0"/>
        <v>31-32</v>
      </c>
      <c r="C17" t="s">
        <v>427</v>
      </c>
      <c r="D17" t="s">
        <v>31</v>
      </c>
      <c r="E17" t="s">
        <v>31</v>
      </c>
      <c r="F17" t="s">
        <v>31</v>
      </c>
      <c r="H17">
        <v>16</v>
      </c>
      <c r="I17" t="s">
        <v>20</v>
      </c>
      <c r="J17" t="s">
        <v>28</v>
      </c>
      <c r="K17" t="s">
        <v>28</v>
      </c>
      <c r="L17" t="s">
        <v>28</v>
      </c>
    </row>
    <row r="18" spans="1:12" x14ac:dyDescent="0.15">
      <c r="A18">
        <v>17</v>
      </c>
      <c r="B18" t="str">
        <f t="shared" si="0"/>
        <v>33-34</v>
      </c>
      <c r="C18" t="s">
        <v>427</v>
      </c>
      <c r="D18" t="s">
        <v>31</v>
      </c>
      <c r="E18" t="s">
        <v>31</v>
      </c>
      <c r="F18" t="s">
        <v>31</v>
      </c>
      <c r="H18">
        <v>17</v>
      </c>
      <c r="I18" t="s">
        <v>20</v>
      </c>
      <c r="J18" t="s">
        <v>28</v>
      </c>
      <c r="K18" t="s">
        <v>28</v>
      </c>
      <c r="L18" t="s">
        <v>28</v>
      </c>
    </row>
    <row r="19" spans="1:12" x14ac:dyDescent="0.15">
      <c r="A19">
        <v>18</v>
      </c>
      <c r="B19" t="str">
        <f t="shared" si="0"/>
        <v>35-36</v>
      </c>
      <c r="C19" t="s">
        <v>428</v>
      </c>
      <c r="D19" t="s">
        <v>31</v>
      </c>
      <c r="E19" t="s">
        <v>31</v>
      </c>
      <c r="F19" t="s">
        <v>31</v>
      </c>
      <c r="H19">
        <v>18</v>
      </c>
      <c r="I19" t="s">
        <v>20</v>
      </c>
      <c r="J19" t="s">
        <v>28</v>
      </c>
      <c r="K19" t="s">
        <v>28</v>
      </c>
      <c r="L19" t="s">
        <v>28</v>
      </c>
    </row>
    <row r="20" spans="1:12" x14ac:dyDescent="0.15">
      <c r="A20">
        <v>19</v>
      </c>
      <c r="B20" t="str">
        <f t="shared" si="0"/>
        <v>37-38</v>
      </c>
      <c r="C20" t="s">
        <v>428</v>
      </c>
      <c r="D20" t="s">
        <v>31</v>
      </c>
      <c r="E20" t="s">
        <v>31</v>
      </c>
      <c r="F20" t="s">
        <v>31</v>
      </c>
      <c r="H20">
        <v>19</v>
      </c>
      <c r="I20" t="s">
        <v>20</v>
      </c>
      <c r="J20" t="s">
        <v>28</v>
      </c>
      <c r="K20" t="s">
        <v>28</v>
      </c>
      <c r="L20" t="s">
        <v>28</v>
      </c>
    </row>
    <row r="21" spans="1:12" x14ac:dyDescent="0.15">
      <c r="A21">
        <v>20</v>
      </c>
      <c r="B21" t="str">
        <f t="shared" si="0"/>
        <v>39-40</v>
      </c>
      <c r="C21" t="s">
        <v>429</v>
      </c>
      <c r="D21" t="s">
        <v>32</v>
      </c>
      <c r="E21" t="s">
        <v>32</v>
      </c>
      <c r="F21" t="s">
        <v>32</v>
      </c>
      <c r="H21">
        <v>20</v>
      </c>
      <c r="I21" t="s">
        <v>20</v>
      </c>
      <c r="J21" t="s">
        <v>28</v>
      </c>
      <c r="K21" t="s">
        <v>28</v>
      </c>
      <c r="L21" t="s">
        <v>28</v>
      </c>
    </row>
    <row r="22" spans="1:12" x14ac:dyDescent="0.15">
      <c r="A22">
        <v>21</v>
      </c>
      <c r="B22" t="str">
        <f t="shared" si="0"/>
        <v>41-42</v>
      </c>
      <c r="C22" t="s">
        <v>429</v>
      </c>
      <c r="D22" t="s">
        <v>32</v>
      </c>
      <c r="E22" t="s">
        <v>32</v>
      </c>
      <c r="F22" t="s">
        <v>32</v>
      </c>
      <c r="H22">
        <v>21</v>
      </c>
      <c r="I22" t="s">
        <v>21</v>
      </c>
      <c r="J22" t="s">
        <v>29</v>
      </c>
      <c r="K22" t="s">
        <v>29</v>
      </c>
      <c r="L22" t="s">
        <v>29</v>
      </c>
    </row>
    <row r="23" spans="1:12" x14ac:dyDescent="0.15">
      <c r="A23">
        <v>22</v>
      </c>
      <c r="B23" t="str">
        <f t="shared" si="0"/>
        <v>43-44</v>
      </c>
      <c r="C23" t="s">
        <v>429</v>
      </c>
      <c r="D23" t="s">
        <v>32</v>
      </c>
      <c r="E23" t="s">
        <v>32</v>
      </c>
      <c r="F23" t="s">
        <v>32</v>
      </c>
      <c r="H23">
        <v>22</v>
      </c>
      <c r="I23" t="s">
        <v>21</v>
      </c>
      <c r="J23" t="s">
        <v>29</v>
      </c>
      <c r="K23" t="s">
        <v>29</v>
      </c>
      <c r="L23" t="s">
        <v>29</v>
      </c>
    </row>
    <row r="24" spans="1:12" x14ac:dyDescent="0.15">
      <c r="A24">
        <v>23</v>
      </c>
      <c r="B24" t="str">
        <f t="shared" si="0"/>
        <v>45-46</v>
      </c>
      <c r="C24" t="s">
        <v>430</v>
      </c>
      <c r="D24" t="s">
        <v>32</v>
      </c>
      <c r="E24" t="s">
        <v>32</v>
      </c>
      <c r="F24" t="s">
        <v>32</v>
      </c>
      <c r="H24">
        <v>23</v>
      </c>
      <c r="I24" t="s">
        <v>21</v>
      </c>
      <c r="J24" t="s">
        <v>29</v>
      </c>
      <c r="K24" t="s">
        <v>29</v>
      </c>
      <c r="L24" t="s">
        <v>29</v>
      </c>
    </row>
    <row r="25" spans="1:12" x14ac:dyDescent="0.15">
      <c r="A25">
        <v>24</v>
      </c>
      <c r="B25" t="str">
        <f t="shared" si="0"/>
        <v>47-48</v>
      </c>
      <c r="C25" t="s">
        <v>430</v>
      </c>
      <c r="D25" t="s">
        <v>32</v>
      </c>
      <c r="E25" t="s">
        <v>32</v>
      </c>
      <c r="F25" t="s">
        <v>32</v>
      </c>
      <c r="H25">
        <v>24</v>
      </c>
      <c r="I25" t="s">
        <v>21</v>
      </c>
      <c r="J25" t="s">
        <v>29</v>
      </c>
      <c r="K25" t="s">
        <v>29</v>
      </c>
      <c r="L25" t="s">
        <v>29</v>
      </c>
    </row>
    <row r="26" spans="1:12" x14ac:dyDescent="0.15">
      <c r="A26">
        <v>25</v>
      </c>
      <c r="B26" t="str">
        <f t="shared" si="0"/>
        <v>49-50</v>
      </c>
      <c r="C26" t="s">
        <v>430</v>
      </c>
      <c r="D26" t="s">
        <v>32</v>
      </c>
      <c r="E26" t="s">
        <v>32</v>
      </c>
      <c r="F26" t="s">
        <v>32</v>
      </c>
      <c r="H26">
        <v>25</v>
      </c>
      <c r="I26" t="s">
        <v>21</v>
      </c>
      <c r="J26" t="s">
        <v>29</v>
      </c>
      <c r="K26" t="s">
        <v>29</v>
      </c>
      <c r="L26" t="s">
        <v>29</v>
      </c>
    </row>
    <row r="27" spans="1:12" x14ac:dyDescent="0.15">
      <c r="H27">
        <v>26</v>
      </c>
      <c r="I27" t="s">
        <v>22</v>
      </c>
      <c r="J27" t="s">
        <v>29</v>
      </c>
      <c r="K27" t="s">
        <v>29</v>
      </c>
      <c r="L27" t="s">
        <v>29</v>
      </c>
    </row>
    <row r="28" spans="1:12" x14ac:dyDescent="0.15">
      <c r="H28">
        <v>27</v>
      </c>
      <c r="I28" t="s">
        <v>22</v>
      </c>
      <c r="J28" t="s">
        <v>29</v>
      </c>
      <c r="K28" t="s">
        <v>29</v>
      </c>
      <c r="L28" t="s">
        <v>29</v>
      </c>
    </row>
    <row r="29" spans="1:12" x14ac:dyDescent="0.15">
      <c r="H29">
        <v>28</v>
      </c>
      <c r="I29" t="s">
        <v>22</v>
      </c>
      <c r="J29" t="s">
        <v>29</v>
      </c>
      <c r="K29" t="s">
        <v>29</v>
      </c>
      <c r="L29" t="s">
        <v>29</v>
      </c>
    </row>
    <row r="30" spans="1:12" x14ac:dyDescent="0.15">
      <c r="H30">
        <v>29</v>
      </c>
      <c r="I30" t="s">
        <v>22</v>
      </c>
      <c r="J30" t="s">
        <v>29</v>
      </c>
      <c r="K30" t="s">
        <v>29</v>
      </c>
      <c r="L30" t="s">
        <v>29</v>
      </c>
    </row>
    <row r="31" spans="1:12" x14ac:dyDescent="0.15">
      <c r="H31">
        <v>30</v>
      </c>
      <c r="I31" t="s">
        <v>22</v>
      </c>
      <c r="J31" t="s">
        <v>29</v>
      </c>
      <c r="K31" t="s">
        <v>29</v>
      </c>
      <c r="L31" t="s">
        <v>29</v>
      </c>
    </row>
    <row r="32" spans="1:12" x14ac:dyDescent="0.15">
      <c r="H32">
        <v>31</v>
      </c>
      <c r="I32" t="s">
        <v>23</v>
      </c>
      <c r="J32" t="s">
        <v>31</v>
      </c>
      <c r="K32" t="s">
        <v>31</v>
      </c>
      <c r="L32" t="s">
        <v>31</v>
      </c>
    </row>
    <row r="33" spans="8:12" x14ac:dyDescent="0.15">
      <c r="H33">
        <v>32</v>
      </c>
      <c r="I33" t="s">
        <v>23</v>
      </c>
      <c r="J33" t="s">
        <v>31</v>
      </c>
      <c r="K33" t="s">
        <v>31</v>
      </c>
      <c r="L33" t="s">
        <v>31</v>
      </c>
    </row>
    <row r="34" spans="8:12" x14ac:dyDescent="0.15">
      <c r="H34">
        <v>33</v>
      </c>
      <c r="I34" t="s">
        <v>23</v>
      </c>
      <c r="J34" t="s">
        <v>31</v>
      </c>
      <c r="K34" t="s">
        <v>31</v>
      </c>
      <c r="L34" t="s">
        <v>31</v>
      </c>
    </row>
    <row r="35" spans="8:12" x14ac:dyDescent="0.15">
      <c r="H35">
        <v>34</v>
      </c>
      <c r="I35" t="s">
        <v>23</v>
      </c>
      <c r="J35" t="s">
        <v>31</v>
      </c>
      <c r="K35" t="s">
        <v>31</v>
      </c>
      <c r="L35" t="s">
        <v>31</v>
      </c>
    </row>
    <row r="36" spans="8:12" x14ac:dyDescent="0.15">
      <c r="H36">
        <v>35</v>
      </c>
      <c r="I36" t="s">
        <v>23</v>
      </c>
      <c r="J36" t="s">
        <v>31</v>
      </c>
      <c r="K36" t="s">
        <v>31</v>
      </c>
      <c r="L36" t="s">
        <v>31</v>
      </c>
    </row>
    <row r="37" spans="8:12" x14ac:dyDescent="0.15">
      <c r="H37">
        <v>36</v>
      </c>
      <c r="I37" t="s">
        <v>24</v>
      </c>
      <c r="J37" t="s">
        <v>31</v>
      </c>
      <c r="K37" t="s">
        <v>31</v>
      </c>
      <c r="L37" t="s">
        <v>31</v>
      </c>
    </row>
    <row r="38" spans="8:12" x14ac:dyDescent="0.15">
      <c r="H38">
        <v>37</v>
      </c>
      <c r="I38" t="s">
        <v>24</v>
      </c>
      <c r="J38" t="s">
        <v>31</v>
      </c>
      <c r="K38" t="s">
        <v>31</v>
      </c>
      <c r="L38" t="s">
        <v>31</v>
      </c>
    </row>
    <row r="39" spans="8:12" x14ac:dyDescent="0.15">
      <c r="H39">
        <v>38</v>
      </c>
      <c r="I39" t="s">
        <v>24</v>
      </c>
      <c r="J39" t="s">
        <v>31</v>
      </c>
      <c r="K39" t="s">
        <v>31</v>
      </c>
      <c r="L39" t="s">
        <v>31</v>
      </c>
    </row>
    <row r="40" spans="8:12" x14ac:dyDescent="0.15">
      <c r="H40">
        <v>39</v>
      </c>
      <c r="I40" t="s">
        <v>24</v>
      </c>
      <c r="J40" t="s">
        <v>31</v>
      </c>
      <c r="K40" t="s">
        <v>31</v>
      </c>
      <c r="L40" t="s">
        <v>31</v>
      </c>
    </row>
    <row r="41" spans="8:12" x14ac:dyDescent="0.15">
      <c r="H41">
        <v>40</v>
      </c>
      <c r="I41" t="s">
        <v>24</v>
      </c>
      <c r="J41" t="s">
        <v>31</v>
      </c>
      <c r="K41" t="s">
        <v>31</v>
      </c>
      <c r="L41" t="s">
        <v>31</v>
      </c>
    </row>
    <row r="42" spans="8:12" x14ac:dyDescent="0.15">
      <c r="H42">
        <v>41</v>
      </c>
      <c r="I42" t="s">
        <v>25</v>
      </c>
      <c r="J42" t="s">
        <v>32</v>
      </c>
      <c r="K42" t="s">
        <v>32</v>
      </c>
      <c r="L42" t="s">
        <v>32</v>
      </c>
    </row>
    <row r="43" spans="8:12" x14ac:dyDescent="0.15">
      <c r="H43">
        <v>42</v>
      </c>
      <c r="I43" t="s">
        <v>25</v>
      </c>
      <c r="J43" t="s">
        <v>32</v>
      </c>
      <c r="K43" t="s">
        <v>32</v>
      </c>
      <c r="L43" t="s">
        <v>32</v>
      </c>
    </row>
    <row r="44" spans="8:12" x14ac:dyDescent="0.15">
      <c r="H44">
        <v>43</v>
      </c>
      <c r="I44" t="s">
        <v>25</v>
      </c>
      <c r="J44" t="s">
        <v>32</v>
      </c>
      <c r="K44" t="s">
        <v>32</v>
      </c>
      <c r="L44" t="s">
        <v>32</v>
      </c>
    </row>
    <row r="45" spans="8:12" x14ac:dyDescent="0.15">
      <c r="H45">
        <v>44</v>
      </c>
      <c r="I45" t="s">
        <v>25</v>
      </c>
      <c r="J45" t="s">
        <v>32</v>
      </c>
      <c r="K45" t="s">
        <v>32</v>
      </c>
      <c r="L45" t="s">
        <v>32</v>
      </c>
    </row>
    <row r="46" spans="8:12" x14ac:dyDescent="0.15">
      <c r="H46">
        <v>45</v>
      </c>
      <c r="I46" t="s">
        <v>25</v>
      </c>
      <c r="J46" t="s">
        <v>32</v>
      </c>
      <c r="K46" t="s">
        <v>32</v>
      </c>
      <c r="L46" t="s">
        <v>32</v>
      </c>
    </row>
    <row r="47" spans="8:12" x14ac:dyDescent="0.15">
      <c r="H47">
        <v>46</v>
      </c>
      <c r="I47" t="s">
        <v>26</v>
      </c>
      <c r="J47" t="s">
        <v>32</v>
      </c>
      <c r="K47" t="s">
        <v>32</v>
      </c>
      <c r="L47" t="s">
        <v>32</v>
      </c>
    </row>
    <row r="48" spans="8:12" x14ac:dyDescent="0.15">
      <c r="H48">
        <v>47</v>
      </c>
      <c r="I48" t="s">
        <v>26</v>
      </c>
      <c r="J48" t="s">
        <v>32</v>
      </c>
      <c r="K48" t="s">
        <v>32</v>
      </c>
      <c r="L48" t="s">
        <v>32</v>
      </c>
    </row>
    <row r="49" spans="8:12" x14ac:dyDescent="0.15">
      <c r="H49">
        <v>48</v>
      </c>
      <c r="I49" t="s">
        <v>26</v>
      </c>
      <c r="J49" t="s">
        <v>32</v>
      </c>
      <c r="K49" t="s">
        <v>32</v>
      </c>
      <c r="L49" t="s">
        <v>32</v>
      </c>
    </row>
    <row r="50" spans="8:12" x14ac:dyDescent="0.15">
      <c r="H50">
        <v>49</v>
      </c>
      <c r="I50" t="s">
        <v>26</v>
      </c>
      <c r="J50" t="s">
        <v>32</v>
      </c>
      <c r="K50" t="s">
        <v>32</v>
      </c>
      <c r="L50" t="s">
        <v>32</v>
      </c>
    </row>
    <row r="51" spans="8:12" x14ac:dyDescent="0.15">
      <c r="H51">
        <v>50</v>
      </c>
      <c r="I51" t="s">
        <v>26</v>
      </c>
      <c r="J51" t="s">
        <v>32</v>
      </c>
      <c r="K51" t="s">
        <v>32</v>
      </c>
      <c r="L51" t="s">
        <v>32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R53"/>
  <sheetViews>
    <sheetView tabSelected="1" workbookViewId="0">
      <selection activeCell="J27" sqref="J27"/>
    </sheetView>
  </sheetViews>
  <sheetFormatPr defaultRowHeight="12" x14ac:dyDescent="0.15"/>
  <cols>
    <col min="1" max="2" width="9" style="4"/>
    <col min="3" max="3" width="20.5" style="4" bestFit="1" customWidth="1"/>
    <col min="4" max="4" width="12.375" style="4" customWidth="1"/>
    <col min="5" max="5" width="13.375" style="4" bestFit="1" customWidth="1"/>
    <col min="6" max="6" width="13.375" style="4" customWidth="1"/>
    <col min="7" max="7" width="13.375" style="4" bestFit="1" customWidth="1"/>
    <col min="8" max="8" width="13.375" style="4" customWidth="1"/>
    <col min="9" max="9" width="13.375" style="4" bestFit="1" customWidth="1"/>
    <col min="10" max="10" width="13.375" style="4" customWidth="1"/>
    <col min="11" max="11" width="13.375" style="4" bestFit="1" customWidth="1"/>
    <col min="12" max="12" width="13.375" style="4" customWidth="1"/>
    <col min="13" max="16384" width="9" style="4"/>
  </cols>
  <sheetData>
    <row r="2" spans="3:18" x14ac:dyDescent="0.15">
      <c r="C2" s="30" t="s">
        <v>455</v>
      </c>
      <c r="D2" s="30">
        <v>70000000</v>
      </c>
      <c r="F2" s="4" t="s">
        <v>520</v>
      </c>
      <c r="G2" s="4">
        <v>70010000</v>
      </c>
      <c r="I2" s="31" t="s">
        <v>189</v>
      </c>
      <c r="J2" s="31"/>
      <c r="K2" s="31"/>
      <c r="L2" s="31"/>
      <c r="M2" s="31"/>
      <c r="N2" s="31"/>
      <c r="O2" s="31"/>
      <c r="P2" s="31"/>
      <c r="Q2" s="31"/>
      <c r="R2" s="31"/>
    </row>
    <row r="3" spans="3:18" x14ac:dyDescent="0.15">
      <c r="C3" s="30" t="s">
        <v>477</v>
      </c>
      <c r="D3" s="30">
        <v>70000100</v>
      </c>
      <c r="F3" s="4" t="s">
        <v>521</v>
      </c>
      <c r="G3" s="4">
        <v>70010001</v>
      </c>
      <c r="I3" s="21" t="s">
        <v>134</v>
      </c>
      <c r="J3" s="21">
        <v>70100000</v>
      </c>
      <c r="K3" s="22" t="s">
        <v>145</v>
      </c>
      <c r="L3" s="22">
        <f>J3+100</f>
        <v>70100100</v>
      </c>
      <c r="M3" s="17" t="s">
        <v>156</v>
      </c>
      <c r="N3" s="17">
        <f>L3+100</f>
        <v>70100200</v>
      </c>
      <c r="O3" s="24" t="s">
        <v>167</v>
      </c>
      <c r="P3" s="24">
        <f>N3+100</f>
        <v>70100300</v>
      </c>
      <c r="Q3" s="25" t="s">
        <v>178</v>
      </c>
      <c r="R3" s="25">
        <f>P3+100</f>
        <v>70100400</v>
      </c>
    </row>
    <row r="4" spans="3:18" x14ac:dyDescent="0.15">
      <c r="C4" s="30" t="s">
        <v>478</v>
      </c>
      <c r="D4" s="30">
        <v>70000200</v>
      </c>
      <c r="F4" s="4" t="s">
        <v>522</v>
      </c>
      <c r="G4" s="4">
        <v>70010002</v>
      </c>
      <c r="I4" s="21" t="s">
        <v>135</v>
      </c>
      <c r="J4" s="21">
        <v>70100001</v>
      </c>
      <c r="K4" s="22" t="s">
        <v>146</v>
      </c>
      <c r="L4" s="22">
        <f t="shared" ref="L4:R13" si="0">J4+100</f>
        <v>70100101</v>
      </c>
      <c r="M4" s="17" t="s">
        <v>157</v>
      </c>
      <c r="N4" s="17">
        <f t="shared" si="0"/>
        <v>70100201</v>
      </c>
      <c r="O4" s="24" t="s">
        <v>168</v>
      </c>
      <c r="P4" s="24">
        <f t="shared" si="0"/>
        <v>70100301</v>
      </c>
      <c r="Q4" s="25" t="s">
        <v>179</v>
      </c>
      <c r="R4" s="25">
        <f t="shared" si="0"/>
        <v>70100401</v>
      </c>
    </row>
    <row r="5" spans="3:18" x14ac:dyDescent="0.15">
      <c r="C5" s="30" t="s">
        <v>582</v>
      </c>
      <c r="D5" s="30">
        <v>70000300</v>
      </c>
      <c r="F5" s="4" t="s">
        <v>523</v>
      </c>
      <c r="G5" s="4">
        <v>70010003</v>
      </c>
      <c r="I5" s="21" t="s">
        <v>136</v>
      </c>
      <c r="J5" s="21">
        <v>70100002</v>
      </c>
      <c r="K5" s="22" t="s">
        <v>147</v>
      </c>
      <c r="L5" s="22">
        <f t="shared" si="0"/>
        <v>70100102</v>
      </c>
      <c r="M5" s="17" t="s">
        <v>158</v>
      </c>
      <c r="N5" s="17">
        <f t="shared" si="0"/>
        <v>70100202</v>
      </c>
      <c r="O5" s="24" t="s">
        <v>169</v>
      </c>
      <c r="P5" s="24">
        <f t="shared" si="0"/>
        <v>70100302</v>
      </c>
      <c r="Q5" s="25" t="s">
        <v>180</v>
      </c>
      <c r="R5" s="25">
        <f t="shared" si="0"/>
        <v>70100402</v>
      </c>
    </row>
    <row r="6" spans="3:18" x14ac:dyDescent="0.15">
      <c r="C6" s="30" t="s">
        <v>583</v>
      </c>
      <c r="D6" s="30">
        <v>70000400</v>
      </c>
      <c r="F6" s="4" t="s">
        <v>524</v>
      </c>
      <c r="G6" s="4">
        <v>70010004</v>
      </c>
      <c r="I6" s="21" t="s">
        <v>137</v>
      </c>
      <c r="J6" s="21">
        <v>70100003</v>
      </c>
      <c r="K6" s="22" t="s">
        <v>148</v>
      </c>
      <c r="L6" s="22">
        <f t="shared" si="0"/>
        <v>70100103</v>
      </c>
      <c r="M6" s="17" t="s">
        <v>159</v>
      </c>
      <c r="N6" s="17">
        <f t="shared" si="0"/>
        <v>70100203</v>
      </c>
      <c r="O6" s="24" t="s">
        <v>170</v>
      </c>
      <c r="P6" s="24">
        <f t="shared" si="0"/>
        <v>70100303</v>
      </c>
      <c r="Q6" s="25" t="s">
        <v>181</v>
      </c>
      <c r="R6" s="25">
        <f t="shared" si="0"/>
        <v>70100403</v>
      </c>
    </row>
    <row r="7" spans="3:18" x14ac:dyDescent="0.15">
      <c r="C7" s="30" t="s">
        <v>584</v>
      </c>
      <c r="D7" s="30">
        <v>70000500</v>
      </c>
      <c r="F7" s="4" t="s">
        <v>525</v>
      </c>
      <c r="G7" s="4">
        <v>70010005</v>
      </c>
      <c r="I7" s="21" t="s">
        <v>138</v>
      </c>
      <c r="J7" s="21">
        <v>70100004</v>
      </c>
      <c r="K7" s="22" t="s">
        <v>149</v>
      </c>
      <c r="L7" s="22">
        <f t="shared" si="0"/>
        <v>70100104</v>
      </c>
      <c r="M7" s="17" t="s">
        <v>160</v>
      </c>
      <c r="N7" s="17">
        <f t="shared" si="0"/>
        <v>70100204</v>
      </c>
      <c r="O7" s="24" t="s">
        <v>171</v>
      </c>
      <c r="P7" s="24">
        <f t="shared" si="0"/>
        <v>70100304</v>
      </c>
      <c r="Q7" s="25" t="s">
        <v>182</v>
      </c>
      <c r="R7" s="25">
        <f t="shared" si="0"/>
        <v>70100404</v>
      </c>
    </row>
    <row r="8" spans="3:18" x14ac:dyDescent="0.15">
      <c r="C8" s="30" t="s">
        <v>595</v>
      </c>
      <c r="D8" s="30">
        <v>70000600</v>
      </c>
      <c r="F8" s="4" t="s">
        <v>526</v>
      </c>
      <c r="G8" s="4">
        <v>70010006</v>
      </c>
      <c r="I8" s="21" t="s">
        <v>139</v>
      </c>
      <c r="J8" s="21">
        <v>70100005</v>
      </c>
      <c r="K8" s="22" t="s">
        <v>150</v>
      </c>
      <c r="L8" s="22">
        <f t="shared" si="0"/>
        <v>70100105</v>
      </c>
      <c r="M8" s="17" t="s">
        <v>161</v>
      </c>
      <c r="N8" s="17">
        <f t="shared" si="0"/>
        <v>70100205</v>
      </c>
      <c r="O8" s="24" t="s">
        <v>172</v>
      </c>
      <c r="P8" s="24">
        <f t="shared" si="0"/>
        <v>70100305</v>
      </c>
      <c r="Q8" s="25" t="s">
        <v>183</v>
      </c>
      <c r="R8" s="25">
        <f t="shared" si="0"/>
        <v>70100405</v>
      </c>
    </row>
    <row r="9" spans="3:18" x14ac:dyDescent="0.15">
      <c r="F9" s="4" t="s">
        <v>527</v>
      </c>
      <c r="G9" s="4">
        <v>70010007</v>
      </c>
      <c r="I9" s="21" t="s">
        <v>140</v>
      </c>
      <c r="J9" s="21">
        <v>70100006</v>
      </c>
      <c r="K9" s="22" t="s">
        <v>151</v>
      </c>
      <c r="L9" s="22">
        <f t="shared" si="0"/>
        <v>70100106</v>
      </c>
      <c r="M9" s="17" t="s">
        <v>162</v>
      </c>
      <c r="N9" s="17">
        <f t="shared" si="0"/>
        <v>70100206</v>
      </c>
      <c r="O9" s="24" t="s">
        <v>173</v>
      </c>
      <c r="P9" s="24">
        <f t="shared" si="0"/>
        <v>70100306</v>
      </c>
      <c r="Q9" s="25" t="s">
        <v>184</v>
      </c>
      <c r="R9" s="25">
        <f t="shared" si="0"/>
        <v>70100406</v>
      </c>
    </row>
    <row r="10" spans="3:18" x14ac:dyDescent="0.15">
      <c r="C10" s="4" t="s">
        <v>497</v>
      </c>
      <c r="D10" s="4">
        <v>70001000</v>
      </c>
      <c r="F10" s="4" t="s">
        <v>528</v>
      </c>
      <c r="G10" s="4">
        <v>70010008</v>
      </c>
      <c r="I10" s="21" t="s">
        <v>141</v>
      </c>
      <c r="J10" s="21">
        <v>70100007</v>
      </c>
      <c r="K10" s="22" t="s">
        <v>152</v>
      </c>
      <c r="L10" s="22">
        <f t="shared" si="0"/>
        <v>70100107</v>
      </c>
      <c r="M10" s="17" t="s">
        <v>163</v>
      </c>
      <c r="N10" s="17">
        <f t="shared" si="0"/>
        <v>70100207</v>
      </c>
      <c r="O10" s="24" t="s">
        <v>174</v>
      </c>
      <c r="P10" s="24">
        <f t="shared" si="0"/>
        <v>70100307</v>
      </c>
      <c r="Q10" s="25" t="s">
        <v>185</v>
      </c>
      <c r="R10" s="25">
        <f t="shared" si="0"/>
        <v>70100407</v>
      </c>
    </row>
    <row r="11" spans="3:18" x14ac:dyDescent="0.15">
      <c r="C11" s="4" t="s">
        <v>498</v>
      </c>
      <c r="D11" s="4">
        <v>70001001</v>
      </c>
      <c r="F11" s="4" t="s">
        <v>529</v>
      </c>
      <c r="G11" s="4">
        <v>70010009</v>
      </c>
      <c r="I11" s="21" t="s">
        <v>142</v>
      </c>
      <c r="J11" s="21">
        <v>70100008</v>
      </c>
      <c r="K11" s="22" t="s">
        <v>153</v>
      </c>
      <c r="L11" s="22">
        <f t="shared" si="0"/>
        <v>70100108</v>
      </c>
      <c r="M11" s="17" t="s">
        <v>164</v>
      </c>
      <c r="N11" s="17">
        <f t="shared" si="0"/>
        <v>70100208</v>
      </c>
      <c r="O11" s="24" t="s">
        <v>175</v>
      </c>
      <c r="P11" s="24">
        <f t="shared" si="0"/>
        <v>70100308</v>
      </c>
      <c r="Q11" s="25" t="s">
        <v>186</v>
      </c>
      <c r="R11" s="25">
        <f t="shared" si="0"/>
        <v>70100408</v>
      </c>
    </row>
    <row r="12" spans="3:18" x14ac:dyDescent="0.15">
      <c r="C12" s="4" t="s">
        <v>499</v>
      </c>
      <c r="D12" s="4">
        <v>70001002</v>
      </c>
      <c r="F12" s="4" t="s">
        <v>530</v>
      </c>
      <c r="G12" s="4">
        <v>70010010</v>
      </c>
      <c r="I12" s="21" t="s">
        <v>143</v>
      </c>
      <c r="J12" s="21">
        <v>70100009</v>
      </c>
      <c r="K12" s="22" t="s">
        <v>154</v>
      </c>
      <c r="L12" s="22">
        <f t="shared" si="0"/>
        <v>70100109</v>
      </c>
      <c r="M12" s="17" t="s">
        <v>165</v>
      </c>
      <c r="N12" s="17">
        <f t="shared" si="0"/>
        <v>70100209</v>
      </c>
      <c r="O12" s="24" t="s">
        <v>176</v>
      </c>
      <c r="P12" s="24">
        <f t="shared" si="0"/>
        <v>70100309</v>
      </c>
      <c r="Q12" s="25" t="s">
        <v>187</v>
      </c>
      <c r="R12" s="25">
        <f t="shared" si="0"/>
        <v>70100409</v>
      </c>
    </row>
    <row r="13" spans="3:18" x14ac:dyDescent="0.15">
      <c r="C13" s="4" t="s">
        <v>500</v>
      </c>
      <c r="D13" s="4">
        <v>70001003</v>
      </c>
      <c r="I13" s="21" t="s">
        <v>144</v>
      </c>
      <c r="J13" s="21">
        <v>70100010</v>
      </c>
      <c r="K13" s="22" t="s">
        <v>155</v>
      </c>
      <c r="L13" s="22">
        <f t="shared" si="0"/>
        <v>70100110</v>
      </c>
      <c r="M13" s="17" t="s">
        <v>166</v>
      </c>
      <c r="N13" s="17">
        <f t="shared" si="0"/>
        <v>70100210</v>
      </c>
      <c r="O13" s="24" t="s">
        <v>177</v>
      </c>
      <c r="P13" s="24">
        <f t="shared" si="0"/>
        <v>70100310</v>
      </c>
      <c r="Q13" s="25" t="s">
        <v>188</v>
      </c>
      <c r="R13" s="25">
        <f t="shared" si="0"/>
        <v>70100410</v>
      </c>
    </row>
    <row r="14" spans="3:18" x14ac:dyDescent="0.15">
      <c r="C14" s="4" t="s">
        <v>501</v>
      </c>
      <c r="D14" s="4">
        <v>70001004</v>
      </c>
      <c r="F14" s="4" t="s">
        <v>509</v>
      </c>
      <c r="G14" s="4">
        <v>70020000</v>
      </c>
    </row>
    <row r="15" spans="3:18" x14ac:dyDescent="0.15">
      <c r="C15" s="4" t="s">
        <v>502</v>
      </c>
      <c r="D15" s="4">
        <v>70001005</v>
      </c>
      <c r="F15" s="4" t="s">
        <v>510</v>
      </c>
      <c r="G15" s="4">
        <v>70020001</v>
      </c>
    </row>
    <row r="16" spans="3:18" x14ac:dyDescent="0.15">
      <c r="C16" s="4" t="s">
        <v>503</v>
      </c>
      <c r="D16" s="4">
        <v>70001006</v>
      </c>
      <c r="F16" s="4" t="s">
        <v>511</v>
      </c>
      <c r="G16" s="4">
        <v>70020002</v>
      </c>
    </row>
    <row r="17" spans="3:7" x14ac:dyDescent="0.15">
      <c r="C17" s="4" t="s">
        <v>504</v>
      </c>
      <c r="D17" s="4">
        <v>70001007</v>
      </c>
      <c r="F17" s="4" t="s">
        <v>512</v>
      </c>
      <c r="G17" s="4">
        <v>70020003</v>
      </c>
    </row>
    <row r="18" spans="3:7" x14ac:dyDescent="0.15">
      <c r="C18" s="4" t="s">
        <v>505</v>
      </c>
      <c r="D18" s="4">
        <v>70001008</v>
      </c>
      <c r="F18" s="4" t="s">
        <v>513</v>
      </c>
      <c r="G18" s="4">
        <v>70020004</v>
      </c>
    </row>
    <row r="19" spans="3:7" x14ac:dyDescent="0.15">
      <c r="C19" s="4" t="s">
        <v>506</v>
      </c>
      <c r="D19" s="4">
        <v>70001009</v>
      </c>
      <c r="F19" s="4" t="s">
        <v>514</v>
      </c>
      <c r="G19" s="4">
        <v>70020005</v>
      </c>
    </row>
    <row r="20" spans="3:7" x14ac:dyDescent="0.15">
      <c r="F20" s="4" t="s">
        <v>515</v>
      </c>
      <c r="G20" s="4">
        <v>70020006</v>
      </c>
    </row>
    <row r="21" spans="3:7" x14ac:dyDescent="0.15">
      <c r="C21" s="4" t="s">
        <v>487</v>
      </c>
      <c r="D21" s="4">
        <v>70002000</v>
      </c>
      <c r="F21" s="4" t="s">
        <v>516</v>
      </c>
      <c r="G21" s="4">
        <v>70020007</v>
      </c>
    </row>
    <row r="22" spans="3:7" x14ac:dyDescent="0.15">
      <c r="C22" s="4" t="s">
        <v>488</v>
      </c>
      <c r="D22" s="4">
        <v>70002001</v>
      </c>
      <c r="F22" s="4" t="s">
        <v>517</v>
      </c>
      <c r="G22" s="4">
        <v>70020008</v>
      </c>
    </row>
    <row r="23" spans="3:7" x14ac:dyDescent="0.15">
      <c r="C23" s="4" t="s">
        <v>489</v>
      </c>
      <c r="D23" s="4">
        <v>70002002</v>
      </c>
      <c r="F23" s="4" t="s">
        <v>518</v>
      </c>
      <c r="G23" s="4">
        <v>70020009</v>
      </c>
    </row>
    <row r="24" spans="3:7" x14ac:dyDescent="0.15">
      <c r="C24" s="4" t="s">
        <v>490</v>
      </c>
      <c r="D24" s="4">
        <v>70002003</v>
      </c>
      <c r="F24" s="4" t="s">
        <v>519</v>
      </c>
      <c r="G24" s="4">
        <v>70020010</v>
      </c>
    </row>
    <row r="25" spans="3:7" x14ac:dyDescent="0.15">
      <c r="C25" s="4" t="s">
        <v>491</v>
      </c>
      <c r="D25" s="4">
        <v>70002004</v>
      </c>
    </row>
    <row r="26" spans="3:7" x14ac:dyDescent="0.15">
      <c r="C26" s="4" t="s">
        <v>492</v>
      </c>
      <c r="D26" s="4">
        <v>70002005</v>
      </c>
      <c r="F26" s="4" t="s">
        <v>195</v>
      </c>
      <c r="G26" s="4">
        <v>70030000</v>
      </c>
    </row>
    <row r="27" spans="3:7" x14ac:dyDescent="0.15">
      <c r="C27" s="4" t="s">
        <v>493</v>
      </c>
      <c r="D27" s="4">
        <v>70002006</v>
      </c>
      <c r="F27" s="4" t="s">
        <v>196</v>
      </c>
      <c r="G27" s="4">
        <v>70030001</v>
      </c>
    </row>
    <row r="28" spans="3:7" x14ac:dyDescent="0.15">
      <c r="C28" s="4" t="s">
        <v>494</v>
      </c>
      <c r="D28" s="4">
        <v>70002007</v>
      </c>
      <c r="F28" s="4" t="s">
        <v>197</v>
      </c>
      <c r="G28" s="4">
        <v>70030002</v>
      </c>
    </row>
    <row r="29" spans="3:7" x14ac:dyDescent="0.15">
      <c r="C29" s="4" t="s">
        <v>495</v>
      </c>
      <c r="D29" s="4">
        <v>70002008</v>
      </c>
      <c r="F29" s="4" t="s">
        <v>198</v>
      </c>
      <c r="G29" s="4">
        <v>70030003</v>
      </c>
    </row>
    <row r="30" spans="3:7" x14ac:dyDescent="0.15">
      <c r="C30" s="4" t="s">
        <v>496</v>
      </c>
      <c r="D30" s="4">
        <v>70002009</v>
      </c>
      <c r="F30" s="4" t="s">
        <v>199</v>
      </c>
      <c r="G30" s="4">
        <v>70030004</v>
      </c>
    </row>
    <row r="32" spans="3:7" x14ac:dyDescent="0.15">
      <c r="C32" s="4" t="s">
        <v>437</v>
      </c>
      <c r="D32" s="4">
        <v>70003000</v>
      </c>
      <c r="F32" s="4" t="s">
        <v>190</v>
      </c>
      <c r="G32" s="4">
        <v>70040000</v>
      </c>
    </row>
    <row r="33" spans="3:7" x14ac:dyDescent="0.15">
      <c r="C33" s="4" t="s">
        <v>438</v>
      </c>
      <c r="D33" s="4">
        <v>70003001</v>
      </c>
      <c r="F33" s="4" t="s">
        <v>191</v>
      </c>
      <c r="G33" s="4">
        <v>70040001</v>
      </c>
    </row>
    <row r="34" spans="3:7" x14ac:dyDescent="0.15">
      <c r="C34" s="4" t="s">
        <v>439</v>
      </c>
      <c r="D34" s="4">
        <v>70003002</v>
      </c>
      <c r="F34" s="4" t="s">
        <v>192</v>
      </c>
      <c r="G34" s="4">
        <v>70040002</v>
      </c>
    </row>
    <row r="35" spans="3:7" x14ac:dyDescent="0.15">
      <c r="C35" s="4" t="s">
        <v>440</v>
      </c>
      <c r="D35" s="4">
        <v>70003003</v>
      </c>
      <c r="F35" s="4" t="s">
        <v>193</v>
      </c>
      <c r="G35" s="4">
        <v>70040003</v>
      </c>
    </row>
    <row r="36" spans="3:7" x14ac:dyDescent="0.15">
      <c r="C36" s="4" t="s">
        <v>441</v>
      </c>
      <c r="D36" s="4">
        <v>70003004</v>
      </c>
      <c r="F36" s="4" t="s">
        <v>194</v>
      </c>
      <c r="G36" s="4">
        <v>70040004</v>
      </c>
    </row>
    <row r="37" spans="3:7" x14ac:dyDescent="0.15">
      <c r="C37" s="4" t="s">
        <v>442</v>
      </c>
      <c r="D37" s="4">
        <v>70003005</v>
      </c>
    </row>
    <row r="38" spans="3:7" x14ac:dyDescent="0.15">
      <c r="F38" s="4" t="s">
        <v>200</v>
      </c>
      <c r="G38" s="4">
        <v>70050000</v>
      </c>
    </row>
    <row r="39" spans="3:7" x14ac:dyDescent="0.15">
      <c r="C39" s="4" t="s">
        <v>443</v>
      </c>
      <c r="D39" s="4">
        <v>70004000</v>
      </c>
      <c r="F39" s="4" t="s">
        <v>201</v>
      </c>
      <c r="G39" s="4">
        <v>70050001</v>
      </c>
    </row>
    <row r="40" spans="3:7" x14ac:dyDescent="0.15">
      <c r="C40" s="4" t="s">
        <v>444</v>
      </c>
      <c r="D40" s="4">
        <v>70004001</v>
      </c>
      <c r="F40" s="4" t="s">
        <v>202</v>
      </c>
      <c r="G40" s="4">
        <v>70050002</v>
      </c>
    </row>
    <row r="41" spans="3:7" x14ac:dyDescent="0.15">
      <c r="C41" s="4" t="s">
        <v>445</v>
      </c>
      <c r="D41" s="4">
        <v>70004002</v>
      </c>
      <c r="F41" s="4" t="s">
        <v>203</v>
      </c>
      <c r="G41" s="4">
        <v>70050003</v>
      </c>
    </row>
    <row r="42" spans="3:7" x14ac:dyDescent="0.15">
      <c r="C42" s="4" t="s">
        <v>446</v>
      </c>
      <c r="D42" s="4">
        <v>70004003</v>
      </c>
      <c r="F42" s="4" t="s">
        <v>204</v>
      </c>
      <c r="G42" s="4">
        <v>70050004</v>
      </c>
    </row>
    <row r="43" spans="3:7" x14ac:dyDescent="0.15">
      <c r="C43" s="4" t="s">
        <v>447</v>
      </c>
      <c r="D43" s="4">
        <v>70004004</v>
      </c>
    </row>
    <row r="44" spans="3:7" x14ac:dyDescent="0.15">
      <c r="C44" s="4" t="s">
        <v>448</v>
      </c>
      <c r="D44" s="4">
        <v>70004005</v>
      </c>
    </row>
    <row r="46" spans="3:7" x14ac:dyDescent="0.15">
      <c r="C46" s="4" t="s">
        <v>449</v>
      </c>
      <c r="D46" s="4">
        <v>70005000</v>
      </c>
    </row>
    <row r="47" spans="3:7" x14ac:dyDescent="0.15">
      <c r="C47" s="4" t="s">
        <v>450</v>
      </c>
      <c r="D47" s="4">
        <v>70005001</v>
      </c>
    </row>
    <row r="48" spans="3:7" x14ac:dyDescent="0.15">
      <c r="C48" s="4" t="s">
        <v>451</v>
      </c>
      <c r="D48" s="4">
        <v>70005002</v>
      </c>
    </row>
    <row r="49" spans="3:4" x14ac:dyDescent="0.15">
      <c r="C49" s="4" t="s">
        <v>452</v>
      </c>
      <c r="D49" s="4">
        <v>70005003</v>
      </c>
    </row>
    <row r="50" spans="3:4" x14ac:dyDescent="0.15">
      <c r="C50" s="4" t="s">
        <v>453</v>
      </c>
      <c r="D50" s="4">
        <v>70005004</v>
      </c>
    </row>
    <row r="51" spans="3:4" x14ac:dyDescent="0.15">
      <c r="C51" s="4" t="s">
        <v>454</v>
      </c>
      <c r="D51" s="4">
        <v>70005005</v>
      </c>
    </row>
    <row r="53" spans="3:4" x14ac:dyDescent="0.15">
      <c r="C53" s="4" t="s">
        <v>420</v>
      </c>
      <c r="D53" s="4">
        <v>70006000</v>
      </c>
    </row>
  </sheetData>
  <mergeCells count="1">
    <mergeCell ref="I2:R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G254"/>
  <sheetViews>
    <sheetView topLeftCell="A211" workbookViewId="0">
      <selection activeCell="I230" sqref="I230:I254"/>
    </sheetView>
  </sheetViews>
  <sheetFormatPr defaultRowHeight="12" x14ac:dyDescent="0.15"/>
  <cols>
    <col min="1" max="1" width="9" style="16"/>
    <col min="2" max="6" width="11.375" style="16" bestFit="1" customWidth="1"/>
    <col min="7" max="8" width="9" style="16"/>
    <col min="9" max="9" width="18.875" style="16" customWidth="1"/>
    <col min="10" max="10" width="9" style="16"/>
    <col min="11" max="14" width="11.375" style="16" bestFit="1" customWidth="1"/>
    <col min="15" max="15" width="8.5" style="16" bestFit="1" customWidth="1"/>
    <col min="16" max="19" width="9" style="16"/>
    <col min="20" max="20" width="20.5" style="16" bestFit="1" customWidth="1"/>
    <col min="21" max="21" width="9" style="16"/>
    <col min="22" max="22" width="75.25" style="16" bestFit="1" customWidth="1"/>
    <col min="23" max="23" width="9" style="16"/>
    <col min="24" max="24" width="13.125" style="16" bestFit="1" customWidth="1"/>
    <col min="25" max="25" width="13.125" style="16" customWidth="1"/>
    <col min="26" max="26" width="13.125" style="16" bestFit="1" customWidth="1"/>
    <col min="27" max="27" width="13.125" style="16" customWidth="1"/>
    <col min="28" max="28" width="13.125" style="16" bestFit="1" customWidth="1"/>
    <col min="29" max="31" width="13.125" style="16" customWidth="1"/>
    <col min="32" max="16384" width="9" style="16"/>
  </cols>
  <sheetData>
    <row r="2" spans="1:33" x14ac:dyDescent="0.15">
      <c r="A2" s="36" t="s">
        <v>586</v>
      </c>
      <c r="B2" s="36"/>
      <c r="C2" s="36"/>
      <c r="D2" s="36"/>
      <c r="E2" s="36"/>
      <c r="F2" s="36"/>
      <c r="K2" s="16">
        <v>1500</v>
      </c>
      <c r="L2" s="16">
        <v>3500</v>
      </c>
      <c r="M2" s="16">
        <v>1000</v>
      </c>
      <c r="N2" s="16">
        <v>3500</v>
      </c>
      <c r="O2" s="16">
        <v>500</v>
      </c>
      <c r="T2" s="32" t="s">
        <v>593</v>
      </c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3" x14ac:dyDescent="0.15">
      <c r="A3" s="28" t="s">
        <v>462</v>
      </c>
      <c r="B3" s="28" t="s">
        <v>463</v>
      </c>
      <c r="C3" s="28" t="s">
        <v>464</v>
      </c>
      <c r="D3" s="28" t="s">
        <v>465</v>
      </c>
      <c r="E3" s="28" t="s">
        <v>466</v>
      </c>
      <c r="F3" s="28" t="s">
        <v>467</v>
      </c>
      <c r="H3" s="16" t="s">
        <v>479</v>
      </c>
      <c r="I3" s="16" t="s">
        <v>480</v>
      </c>
      <c r="K3" s="28" t="s">
        <v>463</v>
      </c>
      <c r="L3" s="28" t="s">
        <v>464</v>
      </c>
      <c r="M3" s="28" t="s">
        <v>465</v>
      </c>
      <c r="N3" s="28" t="s">
        <v>466</v>
      </c>
      <c r="O3" s="28" t="s">
        <v>467</v>
      </c>
      <c r="T3" s="17" t="s">
        <v>421</v>
      </c>
      <c r="U3" s="17">
        <v>70001000</v>
      </c>
      <c r="V3" s="17" t="str">
        <f>AE3&amp;","&amp;AF3</f>
        <v>{id:70010000},{id:70010001}</v>
      </c>
      <c r="W3" s="17" t="s">
        <v>457</v>
      </c>
      <c r="X3" s="17" t="s">
        <v>520</v>
      </c>
      <c r="Y3" s="17">
        <f>VLOOKUP(X3,装备包!$S:$T,2,FALSE)</f>
        <v>70010000</v>
      </c>
      <c r="Z3" s="17" t="s">
        <v>521</v>
      </c>
      <c r="AA3" s="17">
        <f>VLOOKUP(Z3,装备包!$S:$T,2,FALSE)</f>
        <v>70010001</v>
      </c>
      <c r="AB3" s="17"/>
      <c r="AC3" s="17"/>
      <c r="AD3" s="17"/>
      <c r="AE3" s="16" t="str">
        <f>"{id:"&amp;Y3&amp;"}"</f>
        <v>{id:70010000}</v>
      </c>
      <c r="AF3" s="16" t="str">
        <f>"{id:"&amp;AA3&amp;"}"</f>
        <v>{id:70010001}</v>
      </c>
    </row>
    <row r="4" spans="1:33" x14ac:dyDescent="0.15">
      <c r="A4" s="16">
        <v>1</v>
      </c>
      <c r="B4" s="16" t="s">
        <v>421</v>
      </c>
      <c r="C4" s="16" t="s">
        <v>431</v>
      </c>
      <c r="D4" s="16" t="s">
        <v>431</v>
      </c>
      <c r="E4" s="16" t="s">
        <v>431</v>
      </c>
      <c r="F4" s="16" t="s">
        <v>419</v>
      </c>
      <c r="H4" s="16">
        <v>70000000</v>
      </c>
      <c r="I4" s="16" t="str">
        <f>K4&amp;","&amp;L4&amp;","&amp;M4&amp;","&amp;N4&amp;","&amp;O4</f>
        <v>{id:70001000,odds:1500},{id:70003000,odds:3500},{id:70005000,odds:1000},{id:70004000,odds:3500},{id:70006000,odds:500}</v>
      </c>
      <c r="J4" s="16" t="s">
        <v>457</v>
      </c>
      <c r="K4" s="16" t="str">
        <f>"{id:"&amp;VLOOKUP(B4,$T$3:$U$12,2,FALSE)&amp;",odds:"&amp;$K$2&amp;"}"</f>
        <v>{id:70001000,odds:1500}</v>
      </c>
      <c r="L4" s="16" t="str">
        <f t="shared" ref="L4:L28" si="0">"{id:"&amp;VLOOKUP(C4,$T$27:$U$32,2,FALSE)&amp;",odds:"&amp;$L$2&amp;"}"</f>
        <v>{id:70003000,odds:3500}</v>
      </c>
      <c r="M4" s="16" t="str">
        <f t="shared" ref="M4:M28" si="1">"{id:"&amp;VLOOKUP(D4,$T$43:$U$48,2,FALSE)&amp;",odds:"&amp;$M$2&amp;"}"</f>
        <v>{id:70005000,odds:1000}</v>
      </c>
      <c r="N4" s="16" t="str">
        <f t="shared" ref="N4:N28" si="2">"{id:"&amp;VLOOKUP(E4,$T$35:$U$40,2,FALSE)&amp;",odds:"&amp;$N$2&amp;"}"</f>
        <v>{id:70004000,odds:3500}</v>
      </c>
      <c r="O4" s="16" t="str">
        <f t="shared" ref="O4:O28" si="3">"{id:"&amp;VLOOKUP(F4,$T$50:$U$50,2,FALSE)&amp;",odds:"&amp;$O$2&amp;"}"</f>
        <v>{id:70006000,odds:500}</v>
      </c>
      <c r="P4" s="16" t="s">
        <v>481</v>
      </c>
      <c r="T4" s="17" t="s">
        <v>422</v>
      </c>
      <c r="U4" s="17">
        <v>70001001</v>
      </c>
      <c r="V4" s="17" t="str">
        <f>AE4&amp;","&amp;AF4&amp;","&amp;AG4</f>
        <v>{id:70010000},{id:70010001},{id:70010002}</v>
      </c>
      <c r="W4" s="17" t="s">
        <v>457</v>
      </c>
      <c r="X4" s="17" t="s">
        <v>520</v>
      </c>
      <c r="Y4" s="17">
        <f>VLOOKUP(X4,装备包!$S:$T,2,FALSE)</f>
        <v>70010000</v>
      </c>
      <c r="Z4" s="17" t="s">
        <v>521</v>
      </c>
      <c r="AA4" s="17">
        <f>VLOOKUP(Z4,装备包!$S:$T,2,FALSE)</f>
        <v>70010001</v>
      </c>
      <c r="AB4" s="17" t="s">
        <v>522</v>
      </c>
      <c r="AC4" s="17">
        <f>VLOOKUP(AB4,装备包!$S:$T,2,FALSE)</f>
        <v>70010002</v>
      </c>
      <c r="AD4" s="17"/>
      <c r="AE4" s="16" t="str">
        <f t="shared" ref="AE4:AE12" si="4">"{id:"&amp;Y4&amp;"}"</f>
        <v>{id:70010000}</v>
      </c>
      <c r="AF4" s="16" t="str">
        <f t="shared" ref="AF4:AF12" si="5">"{id:"&amp;AA4&amp;"}"</f>
        <v>{id:70010001}</v>
      </c>
      <c r="AG4" s="16" t="str">
        <f>"{id:"&amp;AC4&amp;"}"</f>
        <v>{id:70010002}</v>
      </c>
    </row>
    <row r="5" spans="1:33" x14ac:dyDescent="0.15">
      <c r="A5" s="16">
        <v>2</v>
      </c>
      <c r="B5" s="16" t="s">
        <v>421</v>
      </c>
      <c r="C5" s="16" t="s">
        <v>431</v>
      </c>
      <c r="D5" s="16" t="s">
        <v>431</v>
      </c>
      <c r="E5" s="16" t="s">
        <v>431</v>
      </c>
      <c r="F5" s="16" t="s">
        <v>419</v>
      </c>
      <c r="H5" s="16">
        <v>70000001</v>
      </c>
      <c r="I5" s="16" t="str">
        <f t="shared" ref="I5:I28" si="6">K5&amp;","&amp;L5&amp;","&amp;M5&amp;","&amp;N5&amp;","&amp;O5</f>
        <v>{id:70001000,odds:1500},{id:70003000,odds:3500},{id:70005000,odds:1000},{id:70004000,odds:3500},{id:70006000,odds:500}</v>
      </c>
      <c r="J5" s="16" t="s">
        <v>457</v>
      </c>
      <c r="K5" s="16" t="str">
        <f t="shared" ref="K5:K28" si="7">"{id:"&amp;VLOOKUP(B5,$T$3:$U$12,2,FALSE)&amp;",odds:"&amp;$K$2&amp;"}"</f>
        <v>{id:70001000,odds:1500}</v>
      </c>
      <c r="L5" s="16" t="str">
        <f t="shared" si="0"/>
        <v>{id:70003000,odds:3500}</v>
      </c>
      <c r="M5" s="16" t="str">
        <f t="shared" si="1"/>
        <v>{id:70005000,odds:1000}</v>
      </c>
      <c r="N5" s="16" t="str">
        <f t="shared" si="2"/>
        <v>{id:70004000,odds:3500}</v>
      </c>
      <c r="O5" s="16" t="str">
        <f t="shared" si="3"/>
        <v>{id:70006000,odds:500}</v>
      </c>
      <c r="P5" s="16" t="s">
        <v>481</v>
      </c>
      <c r="T5" s="17" t="s">
        <v>423</v>
      </c>
      <c r="U5" s="17">
        <v>70001002</v>
      </c>
      <c r="V5" s="17" t="str">
        <f t="shared" ref="V5:V12" si="8">AE5&amp;","&amp;AF5&amp;","&amp;AG5</f>
        <v>{id:70010001},{id:70010002},{id:70010003}</v>
      </c>
      <c r="W5" s="17" t="s">
        <v>457</v>
      </c>
      <c r="X5" s="17" t="s">
        <v>521</v>
      </c>
      <c r="Y5" s="17">
        <f>VLOOKUP(X5,装备包!$S:$T,2,FALSE)</f>
        <v>70010001</v>
      </c>
      <c r="Z5" s="17" t="s">
        <v>522</v>
      </c>
      <c r="AA5" s="17">
        <f>VLOOKUP(Z5,装备包!$S:$T,2,FALSE)</f>
        <v>70010002</v>
      </c>
      <c r="AB5" s="17" t="s">
        <v>523</v>
      </c>
      <c r="AC5" s="17">
        <f>VLOOKUP(AB5,装备包!$S:$T,2,FALSE)</f>
        <v>70010003</v>
      </c>
      <c r="AD5" s="17"/>
      <c r="AE5" s="16" t="str">
        <f t="shared" si="4"/>
        <v>{id:70010001}</v>
      </c>
      <c r="AF5" s="16" t="str">
        <f t="shared" si="5"/>
        <v>{id:70010002}</v>
      </c>
      <c r="AG5" s="16" t="str">
        <f t="shared" ref="AG5:AG12" si="9">"{id:"&amp;AC5&amp;"}"</f>
        <v>{id:70010003}</v>
      </c>
    </row>
    <row r="6" spans="1:33" x14ac:dyDescent="0.15">
      <c r="A6" s="16">
        <v>3</v>
      </c>
      <c r="B6" s="16" t="s">
        <v>422</v>
      </c>
      <c r="C6" s="16" t="s">
        <v>431</v>
      </c>
      <c r="D6" s="16" t="s">
        <v>431</v>
      </c>
      <c r="E6" s="16" t="s">
        <v>431</v>
      </c>
      <c r="F6" s="16" t="s">
        <v>419</v>
      </c>
      <c r="H6" s="16">
        <v>70000002</v>
      </c>
      <c r="I6" s="16" t="str">
        <f t="shared" si="6"/>
        <v>{id:70001001,odds:1500},{id:70003000,odds:3500},{id:70005000,odds:1000},{id:70004000,odds:3500},{id:70006000,odds:500}</v>
      </c>
      <c r="J6" s="16" t="s">
        <v>457</v>
      </c>
      <c r="K6" s="16" t="str">
        <f t="shared" si="7"/>
        <v>{id:70001001,odds:1500}</v>
      </c>
      <c r="L6" s="16" t="str">
        <f t="shared" si="0"/>
        <v>{id:70003000,odds:3500}</v>
      </c>
      <c r="M6" s="16" t="str">
        <f t="shared" si="1"/>
        <v>{id:70005000,odds:1000}</v>
      </c>
      <c r="N6" s="16" t="str">
        <f t="shared" si="2"/>
        <v>{id:70004000,odds:3500}</v>
      </c>
      <c r="O6" s="16" t="str">
        <f t="shared" si="3"/>
        <v>{id:70006000,odds:500}</v>
      </c>
      <c r="P6" s="16" t="s">
        <v>481</v>
      </c>
      <c r="T6" s="17" t="s">
        <v>424</v>
      </c>
      <c r="U6" s="17">
        <v>70001003</v>
      </c>
      <c r="V6" s="17" t="str">
        <f t="shared" si="8"/>
        <v>{id:70010002},{id:70010003},{id:70010004}</v>
      </c>
      <c r="W6" s="17" t="s">
        <v>457</v>
      </c>
      <c r="X6" s="17" t="s">
        <v>522</v>
      </c>
      <c r="Y6" s="17">
        <f>VLOOKUP(X6,装备包!$S:$T,2,FALSE)</f>
        <v>70010002</v>
      </c>
      <c r="Z6" s="17" t="s">
        <v>523</v>
      </c>
      <c r="AA6" s="17">
        <f>VLOOKUP(Z6,装备包!$S:$T,2,FALSE)</f>
        <v>70010003</v>
      </c>
      <c r="AB6" s="17" t="s">
        <v>524</v>
      </c>
      <c r="AC6" s="17">
        <f>VLOOKUP(AB6,装备包!$S:$T,2,FALSE)</f>
        <v>70010004</v>
      </c>
      <c r="AD6" s="17"/>
      <c r="AE6" s="16" t="str">
        <f t="shared" si="4"/>
        <v>{id:70010002}</v>
      </c>
      <c r="AF6" s="16" t="str">
        <f t="shared" si="5"/>
        <v>{id:70010003}</v>
      </c>
      <c r="AG6" s="16" t="str">
        <f t="shared" si="9"/>
        <v>{id:70010004}</v>
      </c>
    </row>
    <row r="7" spans="1:33" x14ac:dyDescent="0.15">
      <c r="A7" s="16">
        <v>4</v>
      </c>
      <c r="B7" s="16" t="s">
        <v>422</v>
      </c>
      <c r="C7" s="16" t="s">
        <v>431</v>
      </c>
      <c r="D7" s="16" t="s">
        <v>431</v>
      </c>
      <c r="E7" s="16" t="s">
        <v>431</v>
      </c>
      <c r="F7" s="16" t="s">
        <v>419</v>
      </c>
      <c r="H7" s="16">
        <v>70000003</v>
      </c>
      <c r="I7" s="16" t="str">
        <f t="shared" si="6"/>
        <v>{id:70001001,odds:1500},{id:70003000,odds:3500},{id:70005000,odds:1000},{id:70004000,odds:3500},{id:70006000,odds:500}</v>
      </c>
      <c r="J7" s="16" t="s">
        <v>457</v>
      </c>
      <c r="K7" s="16" t="str">
        <f t="shared" si="7"/>
        <v>{id:70001001,odds:1500}</v>
      </c>
      <c r="L7" s="16" t="str">
        <f t="shared" si="0"/>
        <v>{id:70003000,odds:3500}</v>
      </c>
      <c r="M7" s="16" t="str">
        <f t="shared" si="1"/>
        <v>{id:70005000,odds:1000}</v>
      </c>
      <c r="N7" s="16" t="str">
        <f t="shared" si="2"/>
        <v>{id:70004000,odds:3500}</v>
      </c>
      <c r="O7" s="16" t="str">
        <f t="shared" si="3"/>
        <v>{id:70006000,odds:500}</v>
      </c>
      <c r="P7" s="16" t="s">
        <v>481</v>
      </c>
      <c r="T7" s="17" t="s">
        <v>425</v>
      </c>
      <c r="U7" s="17">
        <v>70001004</v>
      </c>
      <c r="V7" s="17" t="str">
        <f t="shared" si="8"/>
        <v>{id:70010003},{id:70010004},{id:70010005}</v>
      </c>
      <c r="W7" s="17" t="s">
        <v>457</v>
      </c>
      <c r="X7" s="17" t="s">
        <v>523</v>
      </c>
      <c r="Y7" s="17">
        <f>VLOOKUP(X7,装备包!$S:$T,2,FALSE)</f>
        <v>70010003</v>
      </c>
      <c r="Z7" s="17" t="s">
        <v>524</v>
      </c>
      <c r="AA7" s="17">
        <f>VLOOKUP(Z7,装备包!$S:$T,2,FALSE)</f>
        <v>70010004</v>
      </c>
      <c r="AB7" s="17" t="s">
        <v>525</v>
      </c>
      <c r="AC7" s="17">
        <f>VLOOKUP(AB7,装备包!$S:$T,2,FALSE)</f>
        <v>70010005</v>
      </c>
      <c r="AD7" s="17"/>
      <c r="AE7" s="16" t="str">
        <f t="shared" si="4"/>
        <v>{id:70010003}</v>
      </c>
      <c r="AF7" s="16" t="str">
        <f t="shared" si="5"/>
        <v>{id:70010004}</v>
      </c>
      <c r="AG7" s="16" t="str">
        <f t="shared" si="9"/>
        <v>{id:70010005}</v>
      </c>
    </row>
    <row r="8" spans="1:33" x14ac:dyDescent="0.15">
      <c r="A8" s="16">
        <v>5</v>
      </c>
      <c r="B8" s="16" t="s">
        <v>423</v>
      </c>
      <c r="C8" s="16" t="s">
        <v>432</v>
      </c>
      <c r="D8" s="16" t="s">
        <v>432</v>
      </c>
      <c r="E8" s="16" t="s">
        <v>432</v>
      </c>
      <c r="F8" s="16" t="s">
        <v>419</v>
      </c>
      <c r="H8" s="16">
        <v>70000004</v>
      </c>
      <c r="I8" s="16" t="str">
        <f t="shared" si="6"/>
        <v>{id:70001002,odds:1500},{id:70003001,odds:3500},{id:70005001,odds:1000},{id:70004001,odds:3500},{id:70006000,odds:500}</v>
      </c>
      <c r="J8" s="16" t="s">
        <v>457</v>
      </c>
      <c r="K8" s="16" t="str">
        <f t="shared" si="7"/>
        <v>{id:70001002,odds:1500}</v>
      </c>
      <c r="L8" s="16" t="str">
        <f t="shared" si="0"/>
        <v>{id:70003001,odds:3500}</v>
      </c>
      <c r="M8" s="16" t="str">
        <f t="shared" si="1"/>
        <v>{id:70005001,odds:1000}</v>
      </c>
      <c r="N8" s="16" t="str">
        <f t="shared" si="2"/>
        <v>{id:70004001,odds:3500}</v>
      </c>
      <c r="O8" s="16" t="str">
        <f t="shared" si="3"/>
        <v>{id:70006000,odds:500}</v>
      </c>
      <c r="P8" s="16" t="s">
        <v>481</v>
      </c>
      <c r="T8" s="17" t="s">
        <v>426</v>
      </c>
      <c r="U8" s="17">
        <v>70001005</v>
      </c>
      <c r="V8" s="17" t="str">
        <f t="shared" si="8"/>
        <v>{id:70010004},{id:70010005},{id:70010006}</v>
      </c>
      <c r="W8" s="17" t="s">
        <v>457</v>
      </c>
      <c r="X8" s="17" t="s">
        <v>524</v>
      </c>
      <c r="Y8" s="17">
        <f>VLOOKUP(X8,装备包!$S:$T,2,FALSE)</f>
        <v>70010004</v>
      </c>
      <c r="Z8" s="17" t="s">
        <v>525</v>
      </c>
      <c r="AA8" s="17">
        <f>VLOOKUP(Z8,装备包!$S:$T,2,FALSE)</f>
        <v>70010005</v>
      </c>
      <c r="AB8" s="17" t="s">
        <v>526</v>
      </c>
      <c r="AC8" s="17">
        <f>VLOOKUP(AB8,装备包!$S:$T,2,FALSE)</f>
        <v>70010006</v>
      </c>
      <c r="AD8" s="17"/>
      <c r="AE8" s="16" t="str">
        <f t="shared" si="4"/>
        <v>{id:70010004}</v>
      </c>
      <c r="AF8" s="16" t="str">
        <f t="shared" si="5"/>
        <v>{id:70010005}</v>
      </c>
      <c r="AG8" s="16" t="str">
        <f t="shared" si="9"/>
        <v>{id:70010006}</v>
      </c>
    </row>
    <row r="9" spans="1:33" x14ac:dyDescent="0.15">
      <c r="A9" s="16">
        <v>6</v>
      </c>
      <c r="B9" s="16" t="s">
        <v>423</v>
      </c>
      <c r="C9" s="16" t="s">
        <v>432</v>
      </c>
      <c r="D9" s="16" t="s">
        <v>432</v>
      </c>
      <c r="E9" s="16" t="s">
        <v>432</v>
      </c>
      <c r="F9" s="16" t="s">
        <v>419</v>
      </c>
      <c r="H9" s="16">
        <v>70000005</v>
      </c>
      <c r="I9" s="16" t="str">
        <f t="shared" si="6"/>
        <v>{id:70001002,odds:1500},{id:70003001,odds:3500},{id:70005001,odds:1000},{id:70004001,odds:3500},{id:70006000,odds:500}</v>
      </c>
      <c r="J9" s="16" t="s">
        <v>457</v>
      </c>
      <c r="K9" s="16" t="str">
        <f t="shared" si="7"/>
        <v>{id:70001002,odds:1500}</v>
      </c>
      <c r="L9" s="16" t="str">
        <f t="shared" si="0"/>
        <v>{id:70003001,odds:3500}</v>
      </c>
      <c r="M9" s="16" t="str">
        <f t="shared" si="1"/>
        <v>{id:70005001,odds:1000}</v>
      </c>
      <c r="N9" s="16" t="str">
        <f t="shared" si="2"/>
        <v>{id:70004001,odds:3500}</v>
      </c>
      <c r="O9" s="16" t="str">
        <f t="shared" si="3"/>
        <v>{id:70006000,odds:500}</v>
      </c>
      <c r="P9" s="16" t="s">
        <v>481</v>
      </c>
      <c r="T9" s="17" t="s">
        <v>427</v>
      </c>
      <c r="U9" s="17">
        <v>70001006</v>
      </c>
      <c r="V9" s="17" t="str">
        <f t="shared" si="8"/>
        <v>{id:70010005},{id:70010006},{id:70010007}</v>
      </c>
      <c r="W9" s="17" t="s">
        <v>457</v>
      </c>
      <c r="X9" s="17" t="s">
        <v>525</v>
      </c>
      <c r="Y9" s="17">
        <f>VLOOKUP(X9,装备包!$S:$T,2,FALSE)</f>
        <v>70010005</v>
      </c>
      <c r="Z9" s="17" t="s">
        <v>526</v>
      </c>
      <c r="AA9" s="17">
        <f>VLOOKUP(Z9,装备包!$S:$T,2,FALSE)</f>
        <v>70010006</v>
      </c>
      <c r="AB9" s="17" t="s">
        <v>527</v>
      </c>
      <c r="AC9" s="17">
        <f>VLOOKUP(AB9,装备包!$S:$T,2,FALSE)</f>
        <v>70010007</v>
      </c>
      <c r="AD9" s="17"/>
      <c r="AE9" s="16" t="str">
        <f t="shared" si="4"/>
        <v>{id:70010005}</v>
      </c>
      <c r="AF9" s="16" t="str">
        <f t="shared" si="5"/>
        <v>{id:70010006}</v>
      </c>
      <c r="AG9" s="16" t="str">
        <f t="shared" si="9"/>
        <v>{id:70010007}</v>
      </c>
    </row>
    <row r="10" spans="1:33" x14ac:dyDescent="0.15">
      <c r="A10" s="16">
        <v>7</v>
      </c>
      <c r="B10" s="16" t="s">
        <v>423</v>
      </c>
      <c r="C10" s="16" t="s">
        <v>432</v>
      </c>
      <c r="D10" s="16" t="s">
        <v>432</v>
      </c>
      <c r="E10" s="16" t="s">
        <v>432</v>
      </c>
      <c r="F10" s="16" t="s">
        <v>419</v>
      </c>
      <c r="H10" s="16">
        <v>70000006</v>
      </c>
      <c r="I10" s="16" t="str">
        <f t="shared" si="6"/>
        <v>{id:70001002,odds:1500},{id:70003001,odds:3500},{id:70005001,odds:1000},{id:70004001,odds:3500},{id:70006000,odds:500}</v>
      </c>
      <c r="J10" s="16" t="s">
        <v>457</v>
      </c>
      <c r="K10" s="16" t="str">
        <f t="shared" si="7"/>
        <v>{id:70001002,odds:1500}</v>
      </c>
      <c r="L10" s="16" t="str">
        <f t="shared" si="0"/>
        <v>{id:70003001,odds:3500}</v>
      </c>
      <c r="M10" s="16" t="str">
        <f t="shared" si="1"/>
        <v>{id:70005001,odds:1000}</v>
      </c>
      <c r="N10" s="16" t="str">
        <f t="shared" si="2"/>
        <v>{id:70004001,odds:3500}</v>
      </c>
      <c r="O10" s="16" t="str">
        <f t="shared" si="3"/>
        <v>{id:70006000,odds:500}</v>
      </c>
      <c r="P10" s="16" t="s">
        <v>481</v>
      </c>
      <c r="T10" s="17" t="s">
        <v>428</v>
      </c>
      <c r="U10" s="17">
        <v>70001007</v>
      </c>
      <c r="V10" s="17" t="str">
        <f t="shared" si="8"/>
        <v>{id:70010006},{id:70010007},{id:70010008}</v>
      </c>
      <c r="W10" s="17" t="s">
        <v>457</v>
      </c>
      <c r="X10" s="17" t="s">
        <v>526</v>
      </c>
      <c r="Y10" s="17">
        <f>VLOOKUP(X10,装备包!$S:$T,2,FALSE)</f>
        <v>70010006</v>
      </c>
      <c r="Z10" s="17" t="s">
        <v>527</v>
      </c>
      <c r="AA10" s="17">
        <f>VLOOKUP(Z10,装备包!$S:$T,2,FALSE)</f>
        <v>70010007</v>
      </c>
      <c r="AB10" s="17" t="s">
        <v>528</v>
      </c>
      <c r="AC10" s="17">
        <f>VLOOKUP(AB10,装备包!$S:$T,2,FALSE)</f>
        <v>70010008</v>
      </c>
      <c r="AD10" s="17"/>
      <c r="AE10" s="16" t="str">
        <f t="shared" si="4"/>
        <v>{id:70010006}</v>
      </c>
      <c r="AF10" s="16" t="str">
        <f t="shared" si="5"/>
        <v>{id:70010007}</v>
      </c>
      <c r="AG10" s="16" t="str">
        <f t="shared" si="9"/>
        <v>{id:70010008}</v>
      </c>
    </row>
    <row r="11" spans="1:33" x14ac:dyDescent="0.15">
      <c r="A11" s="16">
        <v>8</v>
      </c>
      <c r="B11" s="16" t="s">
        <v>424</v>
      </c>
      <c r="C11" s="16" t="s">
        <v>432</v>
      </c>
      <c r="D11" s="16" t="s">
        <v>432</v>
      </c>
      <c r="E11" s="16" t="s">
        <v>432</v>
      </c>
      <c r="F11" s="16" t="s">
        <v>419</v>
      </c>
      <c r="H11" s="16">
        <v>70000007</v>
      </c>
      <c r="I11" s="16" t="str">
        <f t="shared" si="6"/>
        <v>{id:70001003,odds:1500},{id:70003001,odds:3500},{id:70005001,odds:1000},{id:70004001,odds:3500},{id:70006000,odds:500}</v>
      </c>
      <c r="J11" s="16" t="s">
        <v>457</v>
      </c>
      <c r="K11" s="16" t="str">
        <f t="shared" si="7"/>
        <v>{id:70001003,odds:1500}</v>
      </c>
      <c r="L11" s="16" t="str">
        <f t="shared" si="0"/>
        <v>{id:70003001,odds:3500}</v>
      </c>
      <c r="M11" s="16" t="str">
        <f t="shared" si="1"/>
        <v>{id:70005001,odds:1000}</v>
      </c>
      <c r="N11" s="16" t="str">
        <f t="shared" si="2"/>
        <v>{id:70004001,odds:3500}</v>
      </c>
      <c r="O11" s="16" t="str">
        <f t="shared" si="3"/>
        <v>{id:70006000,odds:500}</v>
      </c>
      <c r="P11" s="16" t="s">
        <v>481</v>
      </c>
      <c r="T11" s="17" t="s">
        <v>429</v>
      </c>
      <c r="U11" s="17">
        <v>70001008</v>
      </c>
      <c r="V11" s="17" t="str">
        <f t="shared" si="8"/>
        <v>{id:70010007},{id:70010008},{id:70010009}</v>
      </c>
      <c r="W11" s="17" t="s">
        <v>457</v>
      </c>
      <c r="X11" s="17" t="s">
        <v>527</v>
      </c>
      <c r="Y11" s="17">
        <f>VLOOKUP(X11,装备包!$S:$T,2,FALSE)</f>
        <v>70010007</v>
      </c>
      <c r="Z11" s="17" t="s">
        <v>528</v>
      </c>
      <c r="AA11" s="17">
        <f>VLOOKUP(Z11,装备包!$S:$T,2,FALSE)</f>
        <v>70010008</v>
      </c>
      <c r="AB11" s="17" t="s">
        <v>529</v>
      </c>
      <c r="AC11" s="17">
        <f>VLOOKUP(AB11,装备包!$S:$T,2,FALSE)</f>
        <v>70010009</v>
      </c>
      <c r="AD11" s="17"/>
      <c r="AE11" s="16" t="str">
        <f t="shared" si="4"/>
        <v>{id:70010007}</v>
      </c>
      <c r="AF11" s="16" t="str">
        <f t="shared" si="5"/>
        <v>{id:70010008}</v>
      </c>
      <c r="AG11" s="16" t="str">
        <f t="shared" si="9"/>
        <v>{id:70010009}</v>
      </c>
    </row>
    <row r="12" spans="1:33" x14ac:dyDescent="0.15">
      <c r="A12" s="16">
        <v>9</v>
      </c>
      <c r="B12" s="16" t="s">
        <v>424</v>
      </c>
      <c r="C12" s="16" t="s">
        <v>432</v>
      </c>
      <c r="D12" s="16" t="s">
        <v>432</v>
      </c>
      <c r="E12" s="16" t="s">
        <v>432</v>
      </c>
      <c r="F12" s="16" t="s">
        <v>419</v>
      </c>
      <c r="H12" s="16">
        <v>70000008</v>
      </c>
      <c r="I12" s="16" t="str">
        <f t="shared" si="6"/>
        <v>{id:70001003,odds:1500},{id:70003001,odds:3500},{id:70005001,odds:1000},{id:70004001,odds:3500},{id:70006000,odds:500}</v>
      </c>
      <c r="J12" s="16" t="s">
        <v>457</v>
      </c>
      <c r="K12" s="16" t="str">
        <f t="shared" si="7"/>
        <v>{id:70001003,odds:1500}</v>
      </c>
      <c r="L12" s="16" t="str">
        <f t="shared" si="0"/>
        <v>{id:70003001,odds:3500}</v>
      </c>
      <c r="M12" s="16" t="str">
        <f t="shared" si="1"/>
        <v>{id:70005001,odds:1000}</v>
      </c>
      <c r="N12" s="16" t="str">
        <f t="shared" si="2"/>
        <v>{id:70004001,odds:3500}</v>
      </c>
      <c r="O12" s="16" t="str">
        <f t="shared" si="3"/>
        <v>{id:70006000,odds:500}</v>
      </c>
      <c r="P12" s="16" t="s">
        <v>481</v>
      </c>
      <c r="T12" s="17" t="s">
        <v>430</v>
      </c>
      <c r="U12" s="17">
        <v>70001009</v>
      </c>
      <c r="V12" s="17" t="str">
        <f t="shared" si="8"/>
        <v>{id:70010008},{id:70010009},{id:70010010}</v>
      </c>
      <c r="W12" s="17" t="s">
        <v>457</v>
      </c>
      <c r="X12" s="17" t="s">
        <v>528</v>
      </c>
      <c r="Y12" s="17">
        <f>VLOOKUP(X12,装备包!$S:$T,2,FALSE)</f>
        <v>70010008</v>
      </c>
      <c r="Z12" s="17" t="s">
        <v>529</v>
      </c>
      <c r="AA12" s="17">
        <f>VLOOKUP(Z12,装备包!$S:$T,2,FALSE)</f>
        <v>70010009</v>
      </c>
      <c r="AB12" s="17" t="s">
        <v>530</v>
      </c>
      <c r="AC12" s="17">
        <f>VLOOKUP(AB12,装备包!$S:$T,2,FALSE)</f>
        <v>70010010</v>
      </c>
      <c r="AD12" s="17"/>
      <c r="AE12" s="16" t="str">
        <f t="shared" si="4"/>
        <v>{id:70010008}</v>
      </c>
      <c r="AF12" s="16" t="str">
        <f t="shared" si="5"/>
        <v>{id:70010009}</v>
      </c>
      <c r="AG12" s="16" t="str">
        <f t="shared" si="9"/>
        <v>{id:70010010}</v>
      </c>
    </row>
    <row r="13" spans="1:33" x14ac:dyDescent="0.15">
      <c r="A13" s="16">
        <v>10</v>
      </c>
      <c r="B13" s="16" t="s">
        <v>425</v>
      </c>
      <c r="C13" s="16" t="s">
        <v>433</v>
      </c>
      <c r="D13" s="16" t="s">
        <v>433</v>
      </c>
      <c r="E13" s="16" t="s">
        <v>433</v>
      </c>
      <c r="F13" s="16" t="s">
        <v>419</v>
      </c>
      <c r="H13" s="16">
        <v>70000009</v>
      </c>
      <c r="I13" s="16" t="str">
        <f t="shared" si="6"/>
        <v>{id:70001004,odds:1500},{id:70003002,odds:3500},{id:70005002,odds:1000},{id:70004002,odds:3500},{id:70006000,odds:500}</v>
      </c>
      <c r="J13" s="16" t="s">
        <v>457</v>
      </c>
      <c r="K13" s="16" t="str">
        <f t="shared" si="7"/>
        <v>{id:70001004,odds:1500}</v>
      </c>
      <c r="L13" s="16" t="str">
        <f t="shared" si="0"/>
        <v>{id:70003002,odds:3500}</v>
      </c>
      <c r="M13" s="16" t="str">
        <f t="shared" si="1"/>
        <v>{id:70005002,odds:1000}</v>
      </c>
      <c r="N13" s="16" t="str">
        <f t="shared" si="2"/>
        <v>{id:70004002,odds:3500}</v>
      </c>
      <c r="O13" s="16" t="str">
        <f t="shared" si="3"/>
        <v>{id:70006000,odds:500}</v>
      </c>
      <c r="P13" s="16" t="s">
        <v>481</v>
      </c>
      <c r="T13" s="4"/>
      <c r="U13" s="4"/>
      <c r="V13" s="4"/>
      <c r="W13" s="4"/>
    </row>
    <row r="14" spans="1:33" x14ac:dyDescent="0.15">
      <c r="A14" s="16">
        <v>11</v>
      </c>
      <c r="B14" s="16" t="s">
        <v>425</v>
      </c>
      <c r="C14" s="16" t="s">
        <v>433</v>
      </c>
      <c r="D14" s="16" t="s">
        <v>433</v>
      </c>
      <c r="E14" s="16" t="s">
        <v>433</v>
      </c>
      <c r="F14" s="16" t="s">
        <v>419</v>
      </c>
      <c r="H14" s="16">
        <v>70000010</v>
      </c>
      <c r="I14" s="16" t="str">
        <f t="shared" si="6"/>
        <v>{id:70001004,odds:1500},{id:70003002,odds:3500},{id:70005002,odds:1000},{id:70004002,odds:3500},{id:70006000,odds:500}</v>
      </c>
      <c r="J14" s="16" t="s">
        <v>457</v>
      </c>
      <c r="K14" s="16" t="str">
        <f t="shared" si="7"/>
        <v>{id:70001004,odds:1500}</v>
      </c>
      <c r="L14" s="16" t="str">
        <f t="shared" si="0"/>
        <v>{id:70003002,odds:3500}</v>
      </c>
      <c r="M14" s="16" t="str">
        <f t="shared" si="1"/>
        <v>{id:70005002,odds:1000}</v>
      </c>
      <c r="N14" s="16" t="str">
        <f t="shared" si="2"/>
        <v>{id:70004002,odds:3500}</v>
      </c>
      <c r="O14" s="16" t="str">
        <f t="shared" si="3"/>
        <v>{id:70006000,odds:500}</v>
      </c>
      <c r="P14" s="16" t="s">
        <v>481</v>
      </c>
      <c r="T14" s="32" t="s">
        <v>594</v>
      </c>
      <c r="U14" s="32"/>
      <c r="V14" s="32"/>
      <c r="W14" s="32"/>
      <c r="X14" s="32"/>
      <c r="Y14" s="32"/>
      <c r="Z14" s="32"/>
      <c r="AA14" s="32"/>
      <c r="AB14" s="32"/>
      <c r="AC14" s="32"/>
      <c r="AD14" s="32"/>
    </row>
    <row r="15" spans="1:33" x14ac:dyDescent="0.15">
      <c r="A15" s="16">
        <v>12</v>
      </c>
      <c r="B15" s="16" t="s">
        <v>425</v>
      </c>
      <c r="C15" s="16" t="s">
        <v>433</v>
      </c>
      <c r="D15" s="16" t="s">
        <v>433</v>
      </c>
      <c r="E15" s="16" t="s">
        <v>433</v>
      </c>
      <c r="F15" s="16" t="s">
        <v>419</v>
      </c>
      <c r="H15" s="16">
        <v>70000011</v>
      </c>
      <c r="I15" s="16" t="str">
        <f t="shared" si="6"/>
        <v>{id:70001004,odds:1500},{id:70003002,odds:3500},{id:70005002,odds:1000},{id:70004002,odds:3500},{id:70006000,odds:500}</v>
      </c>
      <c r="J15" s="16" t="s">
        <v>457</v>
      </c>
      <c r="K15" s="16" t="str">
        <f t="shared" si="7"/>
        <v>{id:70001004,odds:1500}</v>
      </c>
      <c r="L15" s="16" t="str">
        <f t="shared" si="0"/>
        <v>{id:70003002,odds:3500}</v>
      </c>
      <c r="M15" s="16" t="str">
        <f t="shared" si="1"/>
        <v>{id:70005002,odds:1000}</v>
      </c>
      <c r="N15" s="16" t="str">
        <f t="shared" si="2"/>
        <v>{id:70004002,odds:3500}</v>
      </c>
      <c r="O15" s="16" t="str">
        <f t="shared" si="3"/>
        <v>{id:70006000,odds:500}</v>
      </c>
      <c r="P15" s="16" t="s">
        <v>481</v>
      </c>
      <c r="T15" s="17" t="s">
        <v>421</v>
      </c>
      <c r="U15" s="17">
        <v>70002000</v>
      </c>
      <c r="V15" s="17" t="str">
        <f>AE41&amp;","&amp;AF41</f>
        <v>{id:70020000},{id:70020001}</v>
      </c>
      <c r="W15" s="17" t="s">
        <v>457</v>
      </c>
      <c r="X15" s="17" t="s">
        <v>509</v>
      </c>
      <c r="Y15" s="17">
        <f>VLOOKUP(X15,装备包!$S:$T,2,FALSE)</f>
        <v>70020000</v>
      </c>
      <c r="Z15" s="17" t="s">
        <v>510</v>
      </c>
      <c r="AA15" s="17">
        <f>VLOOKUP(Z15,装备包!$S:$T,2,FALSE)</f>
        <v>70020001</v>
      </c>
      <c r="AB15" s="17"/>
      <c r="AC15" s="17"/>
      <c r="AD15" s="17"/>
      <c r="AE15" s="16" t="str">
        <f t="shared" ref="AE15:AE20" si="10">"{id:"&amp;Y27&amp;"}"</f>
        <v>{id:70040000}</v>
      </c>
    </row>
    <row r="16" spans="1:33" x14ac:dyDescent="0.15">
      <c r="A16" s="16">
        <v>13</v>
      </c>
      <c r="B16" s="16" t="s">
        <v>426</v>
      </c>
      <c r="C16" s="16" t="s">
        <v>434</v>
      </c>
      <c r="D16" s="16" t="s">
        <v>434</v>
      </c>
      <c r="E16" s="16" t="s">
        <v>434</v>
      </c>
      <c r="F16" s="16" t="s">
        <v>419</v>
      </c>
      <c r="H16" s="16">
        <v>70000012</v>
      </c>
      <c r="I16" s="16" t="str">
        <f t="shared" si="6"/>
        <v>{id:70001005,odds:1500},{id:70003003,odds:3500},{id:70005003,odds:1000},{id:70004003,odds:3500},{id:70006000,odds:500}</v>
      </c>
      <c r="J16" s="16" t="s">
        <v>457</v>
      </c>
      <c r="K16" s="16" t="str">
        <f t="shared" si="7"/>
        <v>{id:70001005,odds:1500}</v>
      </c>
      <c r="L16" s="16" t="str">
        <f t="shared" si="0"/>
        <v>{id:70003003,odds:3500}</v>
      </c>
      <c r="M16" s="16" t="str">
        <f t="shared" si="1"/>
        <v>{id:70005003,odds:1000}</v>
      </c>
      <c r="N16" s="16" t="str">
        <f t="shared" si="2"/>
        <v>{id:70004003,odds:3500}</v>
      </c>
      <c r="O16" s="16" t="str">
        <f t="shared" si="3"/>
        <v>{id:70006000,odds:500}</v>
      </c>
      <c r="P16" s="16" t="s">
        <v>481</v>
      </c>
      <c r="T16" s="17" t="s">
        <v>422</v>
      </c>
      <c r="U16" s="17">
        <v>70002001</v>
      </c>
      <c r="V16" s="17" t="str">
        <f t="shared" ref="V16:V24" si="11">AE42&amp;","&amp;AF42&amp;","&amp;AG42</f>
        <v>{id:70020000},{id:70020001},{id:70020002}</v>
      </c>
      <c r="W16" s="17" t="s">
        <v>457</v>
      </c>
      <c r="X16" s="17" t="s">
        <v>509</v>
      </c>
      <c r="Y16" s="17">
        <f>VLOOKUP(X16,装备包!$S:$T,2,FALSE)</f>
        <v>70020000</v>
      </c>
      <c r="Z16" s="17" t="s">
        <v>510</v>
      </c>
      <c r="AA16" s="17">
        <f>VLOOKUP(Z16,装备包!$S:$T,2,FALSE)</f>
        <v>70020001</v>
      </c>
      <c r="AB16" s="17" t="s">
        <v>511</v>
      </c>
      <c r="AC16" s="17">
        <f>VLOOKUP(AB16,装备包!$S:$T,2,FALSE)</f>
        <v>70020002</v>
      </c>
      <c r="AD16" s="17"/>
      <c r="AE16" s="16" t="str">
        <f t="shared" si="10"/>
        <v>{id:70040000}</v>
      </c>
      <c r="AF16" s="16" t="str">
        <f>"{id:"&amp;AA28&amp;"}"</f>
        <v>{id:70040001}</v>
      </c>
    </row>
    <row r="17" spans="1:33" x14ac:dyDescent="0.15">
      <c r="A17" s="16">
        <v>14</v>
      </c>
      <c r="B17" s="16" t="s">
        <v>426</v>
      </c>
      <c r="C17" s="16" t="s">
        <v>434</v>
      </c>
      <c r="D17" s="16" t="s">
        <v>434</v>
      </c>
      <c r="E17" s="16" t="s">
        <v>434</v>
      </c>
      <c r="F17" s="16" t="s">
        <v>419</v>
      </c>
      <c r="H17" s="16">
        <v>70000013</v>
      </c>
      <c r="I17" s="16" t="str">
        <f t="shared" si="6"/>
        <v>{id:70001005,odds:1500},{id:70003003,odds:3500},{id:70005003,odds:1000},{id:70004003,odds:3500},{id:70006000,odds:500}</v>
      </c>
      <c r="J17" s="16" t="s">
        <v>457</v>
      </c>
      <c r="K17" s="16" t="str">
        <f t="shared" si="7"/>
        <v>{id:70001005,odds:1500}</v>
      </c>
      <c r="L17" s="16" t="str">
        <f t="shared" si="0"/>
        <v>{id:70003003,odds:3500}</v>
      </c>
      <c r="M17" s="16" t="str">
        <f t="shared" si="1"/>
        <v>{id:70005003,odds:1000}</v>
      </c>
      <c r="N17" s="16" t="str">
        <f t="shared" si="2"/>
        <v>{id:70004003,odds:3500}</v>
      </c>
      <c r="O17" s="16" t="str">
        <f t="shared" si="3"/>
        <v>{id:70006000,odds:500}</v>
      </c>
      <c r="P17" s="16" t="s">
        <v>481</v>
      </c>
      <c r="T17" s="17" t="s">
        <v>423</v>
      </c>
      <c r="U17" s="17">
        <v>70002002</v>
      </c>
      <c r="V17" s="17" t="str">
        <f t="shared" si="11"/>
        <v>{id:70020001},{id:70020002},{id:70020003}</v>
      </c>
      <c r="W17" s="17" t="s">
        <v>457</v>
      </c>
      <c r="X17" s="17" t="s">
        <v>510</v>
      </c>
      <c r="Y17" s="17">
        <f>VLOOKUP(X17,装备包!$S:$T,2,FALSE)</f>
        <v>70020001</v>
      </c>
      <c r="Z17" s="17" t="s">
        <v>511</v>
      </c>
      <c r="AA17" s="17">
        <f>VLOOKUP(Z17,装备包!$S:$T,2,FALSE)</f>
        <v>70020002</v>
      </c>
      <c r="AB17" s="17" t="s">
        <v>512</v>
      </c>
      <c r="AC17" s="17">
        <f>VLOOKUP(AB17,装备包!$S:$T,2,FALSE)</f>
        <v>70020003</v>
      </c>
      <c r="AD17" s="17"/>
      <c r="AE17" s="16" t="str">
        <f t="shared" si="10"/>
        <v>{id:70040001}</v>
      </c>
      <c r="AF17" s="16" t="str">
        <f>"{id:"&amp;AA29&amp;"}"</f>
        <v>{id:70040002}</v>
      </c>
    </row>
    <row r="18" spans="1:33" x14ac:dyDescent="0.15">
      <c r="A18" s="16">
        <v>15</v>
      </c>
      <c r="B18" s="16" t="s">
        <v>426</v>
      </c>
      <c r="C18" s="16" t="s">
        <v>434</v>
      </c>
      <c r="D18" s="16" t="s">
        <v>434</v>
      </c>
      <c r="E18" s="16" t="s">
        <v>434</v>
      </c>
      <c r="F18" s="16" t="s">
        <v>419</v>
      </c>
      <c r="H18" s="16">
        <v>70000014</v>
      </c>
      <c r="I18" s="16" t="str">
        <f t="shared" si="6"/>
        <v>{id:70001005,odds:1500},{id:70003003,odds:3500},{id:70005003,odds:1000},{id:70004003,odds:3500},{id:70006000,odds:500}</v>
      </c>
      <c r="J18" s="16" t="s">
        <v>457</v>
      </c>
      <c r="K18" s="16" t="str">
        <f t="shared" si="7"/>
        <v>{id:70001005,odds:1500}</v>
      </c>
      <c r="L18" s="16" t="str">
        <f t="shared" si="0"/>
        <v>{id:70003003,odds:3500}</v>
      </c>
      <c r="M18" s="16" t="str">
        <f t="shared" si="1"/>
        <v>{id:70005003,odds:1000}</v>
      </c>
      <c r="N18" s="16" t="str">
        <f t="shared" si="2"/>
        <v>{id:70004003,odds:3500}</v>
      </c>
      <c r="O18" s="16" t="str">
        <f t="shared" si="3"/>
        <v>{id:70006000,odds:500}</v>
      </c>
      <c r="P18" s="16" t="s">
        <v>481</v>
      </c>
      <c r="T18" s="17" t="s">
        <v>424</v>
      </c>
      <c r="U18" s="17">
        <v>70002003</v>
      </c>
      <c r="V18" s="17" t="str">
        <f t="shared" si="11"/>
        <v>{id:70020002},{id:70020003},{id:70020004}</v>
      </c>
      <c r="W18" s="17" t="s">
        <v>457</v>
      </c>
      <c r="X18" s="17" t="s">
        <v>511</v>
      </c>
      <c r="Y18" s="17">
        <f>VLOOKUP(X18,装备包!$S:$T,2,FALSE)</f>
        <v>70020002</v>
      </c>
      <c r="Z18" s="17" t="s">
        <v>512</v>
      </c>
      <c r="AA18" s="17">
        <f>VLOOKUP(Z18,装备包!$S:$T,2,FALSE)</f>
        <v>70020003</v>
      </c>
      <c r="AB18" s="17" t="s">
        <v>513</v>
      </c>
      <c r="AC18" s="17">
        <f>VLOOKUP(AB18,装备包!$S:$T,2,FALSE)</f>
        <v>70020004</v>
      </c>
      <c r="AD18" s="17"/>
      <c r="AE18" s="16" t="str">
        <f t="shared" si="10"/>
        <v>{id:70040001}</v>
      </c>
      <c r="AF18" s="16" t="str">
        <f>"{id:"&amp;AA30&amp;"}"</f>
        <v>{id:70040002}</v>
      </c>
      <c r="AG18" s="16" t="str">
        <f>"{id:"&amp;AC30&amp;"}"</f>
        <v>{id:70040003}</v>
      </c>
    </row>
    <row r="19" spans="1:33" x14ac:dyDescent="0.15">
      <c r="A19" s="16">
        <v>16</v>
      </c>
      <c r="B19" s="16" t="s">
        <v>427</v>
      </c>
      <c r="C19" s="16" t="s">
        <v>435</v>
      </c>
      <c r="D19" s="16" t="s">
        <v>435</v>
      </c>
      <c r="E19" s="16" t="s">
        <v>435</v>
      </c>
      <c r="F19" s="16" t="s">
        <v>419</v>
      </c>
      <c r="H19" s="16">
        <v>70000015</v>
      </c>
      <c r="I19" s="16" t="str">
        <f t="shared" si="6"/>
        <v>{id:70001006,odds:1500},{id:70003004,odds:3500},{id:70005004,odds:1000},{id:70004004,odds:3500},{id:70006000,odds:500}</v>
      </c>
      <c r="J19" s="16" t="s">
        <v>457</v>
      </c>
      <c r="K19" s="16" t="str">
        <f t="shared" si="7"/>
        <v>{id:70001006,odds:1500}</v>
      </c>
      <c r="L19" s="16" t="str">
        <f t="shared" si="0"/>
        <v>{id:70003004,odds:3500}</v>
      </c>
      <c r="M19" s="16" t="str">
        <f t="shared" si="1"/>
        <v>{id:70005004,odds:1000}</v>
      </c>
      <c r="N19" s="16" t="str">
        <f t="shared" si="2"/>
        <v>{id:70004004,odds:3500}</v>
      </c>
      <c r="O19" s="16" t="str">
        <f t="shared" si="3"/>
        <v>{id:70006000,odds:500}</v>
      </c>
      <c r="P19" s="16" t="s">
        <v>481</v>
      </c>
      <c r="T19" s="17" t="s">
        <v>425</v>
      </c>
      <c r="U19" s="17">
        <v>70002004</v>
      </c>
      <c r="V19" s="17" t="str">
        <f t="shared" si="11"/>
        <v>{id:70020003},{id:70020004},{id:70020005}</v>
      </c>
      <c r="W19" s="17" t="s">
        <v>457</v>
      </c>
      <c r="X19" s="17" t="s">
        <v>512</v>
      </c>
      <c r="Y19" s="17">
        <f>VLOOKUP(X19,装备包!$S:$T,2,FALSE)</f>
        <v>70020003</v>
      </c>
      <c r="Z19" s="17" t="s">
        <v>513</v>
      </c>
      <c r="AA19" s="17">
        <f>VLOOKUP(Z19,装备包!$S:$T,2,FALSE)</f>
        <v>70020004</v>
      </c>
      <c r="AB19" s="17" t="s">
        <v>514</v>
      </c>
      <c r="AC19" s="17">
        <f>VLOOKUP(AB19,装备包!$S:$T,2,FALSE)</f>
        <v>70020005</v>
      </c>
      <c r="AD19" s="17"/>
      <c r="AE19" s="16" t="str">
        <f t="shared" si="10"/>
        <v>{id:70040002}</v>
      </c>
      <c r="AF19" s="16" t="str">
        <f>"{id:"&amp;AA31&amp;"}"</f>
        <v>{id:70040003}</v>
      </c>
    </row>
    <row r="20" spans="1:33" x14ac:dyDescent="0.15">
      <c r="A20" s="16">
        <v>17</v>
      </c>
      <c r="B20" s="16" t="s">
        <v>427</v>
      </c>
      <c r="C20" s="16" t="s">
        <v>435</v>
      </c>
      <c r="D20" s="16" t="s">
        <v>435</v>
      </c>
      <c r="E20" s="16" t="s">
        <v>435</v>
      </c>
      <c r="F20" s="16" t="s">
        <v>419</v>
      </c>
      <c r="H20" s="16">
        <v>70000016</v>
      </c>
      <c r="I20" s="16" t="str">
        <f t="shared" si="6"/>
        <v>{id:70001006,odds:1500},{id:70003004,odds:3500},{id:70005004,odds:1000},{id:70004004,odds:3500},{id:70006000,odds:500}</v>
      </c>
      <c r="J20" s="16" t="s">
        <v>457</v>
      </c>
      <c r="K20" s="16" t="str">
        <f t="shared" si="7"/>
        <v>{id:70001006,odds:1500}</v>
      </c>
      <c r="L20" s="16" t="str">
        <f t="shared" si="0"/>
        <v>{id:70003004,odds:3500}</v>
      </c>
      <c r="M20" s="16" t="str">
        <f t="shared" si="1"/>
        <v>{id:70005004,odds:1000}</v>
      </c>
      <c r="N20" s="16" t="str">
        <f t="shared" si="2"/>
        <v>{id:70004004,odds:3500}</v>
      </c>
      <c r="O20" s="16" t="str">
        <f t="shared" si="3"/>
        <v>{id:70006000,odds:500}</v>
      </c>
      <c r="P20" s="16" t="s">
        <v>481</v>
      </c>
      <c r="T20" s="17" t="s">
        <v>426</v>
      </c>
      <c r="U20" s="17">
        <v>70002005</v>
      </c>
      <c r="V20" s="17" t="str">
        <f t="shared" si="11"/>
        <v>{id:70020004},{id:70020005},{id:70020006}</v>
      </c>
      <c r="W20" s="17" t="s">
        <v>457</v>
      </c>
      <c r="X20" s="17" t="s">
        <v>513</v>
      </c>
      <c r="Y20" s="17">
        <f>VLOOKUP(X20,装备包!$S:$T,2,FALSE)</f>
        <v>70020004</v>
      </c>
      <c r="Z20" s="17" t="s">
        <v>514</v>
      </c>
      <c r="AA20" s="17">
        <f>VLOOKUP(Z20,装备包!$S:$T,2,FALSE)</f>
        <v>70020005</v>
      </c>
      <c r="AB20" s="17" t="s">
        <v>515</v>
      </c>
      <c r="AC20" s="17">
        <f>VLOOKUP(AB20,装备包!$S:$T,2,FALSE)</f>
        <v>70020006</v>
      </c>
      <c r="AD20" s="17"/>
      <c r="AE20" s="16" t="str">
        <f t="shared" si="10"/>
        <v>{id:70040003}</v>
      </c>
      <c r="AF20" s="16" t="str">
        <f>"{id:"&amp;AA32&amp;"}"</f>
        <v>{id:70040004}</v>
      </c>
    </row>
    <row r="21" spans="1:33" x14ac:dyDescent="0.15">
      <c r="A21" s="16">
        <v>18</v>
      </c>
      <c r="B21" s="16" t="s">
        <v>428</v>
      </c>
      <c r="C21" s="16" t="s">
        <v>435</v>
      </c>
      <c r="D21" s="16" t="s">
        <v>435</v>
      </c>
      <c r="E21" s="16" t="s">
        <v>435</v>
      </c>
      <c r="F21" s="16" t="s">
        <v>419</v>
      </c>
      <c r="H21" s="16">
        <v>70000017</v>
      </c>
      <c r="I21" s="16" t="str">
        <f t="shared" si="6"/>
        <v>{id:70001007,odds:1500},{id:70003004,odds:3500},{id:70005004,odds:1000},{id:70004004,odds:3500},{id:70006000,odds:500}</v>
      </c>
      <c r="J21" s="16" t="s">
        <v>457</v>
      </c>
      <c r="K21" s="16" t="str">
        <f t="shared" si="7"/>
        <v>{id:70001007,odds:1500}</v>
      </c>
      <c r="L21" s="16" t="str">
        <f t="shared" si="0"/>
        <v>{id:70003004,odds:3500}</v>
      </c>
      <c r="M21" s="16" t="str">
        <f t="shared" si="1"/>
        <v>{id:70005004,odds:1000}</v>
      </c>
      <c r="N21" s="16" t="str">
        <f t="shared" si="2"/>
        <v>{id:70004004,odds:3500}</v>
      </c>
      <c r="O21" s="16" t="str">
        <f t="shared" si="3"/>
        <v>{id:70006000,odds:500}</v>
      </c>
      <c r="P21" s="16" t="s">
        <v>481</v>
      </c>
      <c r="T21" s="17" t="s">
        <v>427</v>
      </c>
      <c r="U21" s="17">
        <v>70002006</v>
      </c>
      <c r="V21" s="17" t="str">
        <f t="shared" si="11"/>
        <v>{id:70020005},{id:70020006},{id:70020007}</v>
      </c>
      <c r="W21" s="17" t="s">
        <v>457</v>
      </c>
      <c r="X21" s="17" t="s">
        <v>514</v>
      </c>
      <c r="Y21" s="17">
        <f>VLOOKUP(X21,装备包!$S:$T,2,FALSE)</f>
        <v>70020005</v>
      </c>
      <c r="Z21" s="17" t="s">
        <v>515</v>
      </c>
      <c r="AA21" s="17">
        <f>VLOOKUP(Z21,装备包!$S:$T,2,FALSE)</f>
        <v>70020006</v>
      </c>
      <c r="AB21" s="17" t="s">
        <v>516</v>
      </c>
      <c r="AC21" s="17">
        <f>VLOOKUP(AB21,装备包!$S:$T,2,FALSE)</f>
        <v>70020007</v>
      </c>
      <c r="AD21" s="17"/>
    </row>
    <row r="22" spans="1:33" x14ac:dyDescent="0.15">
      <c r="A22" s="16">
        <v>19</v>
      </c>
      <c r="B22" s="16" t="s">
        <v>428</v>
      </c>
      <c r="C22" s="16" t="s">
        <v>435</v>
      </c>
      <c r="D22" s="16" t="s">
        <v>435</v>
      </c>
      <c r="E22" s="16" t="s">
        <v>435</v>
      </c>
      <c r="F22" s="16" t="s">
        <v>419</v>
      </c>
      <c r="H22" s="16">
        <v>70000018</v>
      </c>
      <c r="I22" s="16" t="str">
        <f t="shared" si="6"/>
        <v>{id:70001007,odds:1500},{id:70003004,odds:3500},{id:70005004,odds:1000},{id:70004004,odds:3500},{id:70006000,odds:500}</v>
      </c>
      <c r="J22" s="16" t="s">
        <v>457</v>
      </c>
      <c r="K22" s="16" t="str">
        <f t="shared" si="7"/>
        <v>{id:70001007,odds:1500}</v>
      </c>
      <c r="L22" s="16" t="str">
        <f t="shared" si="0"/>
        <v>{id:70003004,odds:3500}</v>
      </c>
      <c r="M22" s="16" t="str">
        <f t="shared" si="1"/>
        <v>{id:70005004,odds:1000}</v>
      </c>
      <c r="N22" s="16" t="str">
        <f t="shared" si="2"/>
        <v>{id:70004004,odds:3500}</v>
      </c>
      <c r="O22" s="16" t="str">
        <f t="shared" si="3"/>
        <v>{id:70006000,odds:500}</v>
      </c>
      <c r="P22" s="16" t="s">
        <v>481</v>
      </c>
      <c r="T22" s="17" t="s">
        <v>428</v>
      </c>
      <c r="U22" s="17">
        <v>70002007</v>
      </c>
      <c r="V22" s="17" t="str">
        <f t="shared" si="11"/>
        <v>{id:70020006},{id:70020007},{id:70020008}</v>
      </c>
      <c r="W22" s="17" t="s">
        <v>457</v>
      </c>
      <c r="X22" s="17" t="s">
        <v>515</v>
      </c>
      <c r="Y22" s="17">
        <f>VLOOKUP(X22,装备包!$S:$T,2,FALSE)</f>
        <v>70020006</v>
      </c>
      <c r="Z22" s="17" t="s">
        <v>516</v>
      </c>
      <c r="AA22" s="17">
        <f>VLOOKUP(Z22,装备包!$S:$T,2,FALSE)</f>
        <v>70020007</v>
      </c>
      <c r="AB22" s="17" t="s">
        <v>517</v>
      </c>
      <c r="AC22" s="17">
        <f>VLOOKUP(AB22,装备包!$S:$T,2,FALSE)</f>
        <v>70020008</v>
      </c>
      <c r="AD22" s="17"/>
    </row>
    <row r="23" spans="1:33" x14ac:dyDescent="0.15">
      <c r="A23" s="16">
        <v>20</v>
      </c>
      <c r="B23" s="16" t="s">
        <v>429</v>
      </c>
      <c r="C23" s="16" t="s">
        <v>436</v>
      </c>
      <c r="D23" s="16" t="s">
        <v>436</v>
      </c>
      <c r="E23" s="16" t="s">
        <v>436</v>
      </c>
      <c r="F23" s="16" t="s">
        <v>419</v>
      </c>
      <c r="H23" s="16">
        <v>70000019</v>
      </c>
      <c r="I23" s="16" t="str">
        <f t="shared" si="6"/>
        <v>{id:70001008,odds:1500},{id:70003005,odds:3500},{id:70005005,odds:1000},{id:70004005,odds:3500},{id:70006000,odds:500}</v>
      </c>
      <c r="J23" s="16" t="s">
        <v>457</v>
      </c>
      <c r="K23" s="16" t="str">
        <f t="shared" si="7"/>
        <v>{id:70001008,odds:1500}</v>
      </c>
      <c r="L23" s="16" t="str">
        <f t="shared" si="0"/>
        <v>{id:70003005,odds:3500}</v>
      </c>
      <c r="M23" s="16" t="str">
        <f t="shared" si="1"/>
        <v>{id:70005005,odds:1000}</v>
      </c>
      <c r="N23" s="16" t="str">
        <f t="shared" si="2"/>
        <v>{id:70004005,odds:3500}</v>
      </c>
      <c r="O23" s="16" t="str">
        <f t="shared" si="3"/>
        <v>{id:70006000,odds:500}</v>
      </c>
      <c r="P23" s="16" t="s">
        <v>481</v>
      </c>
      <c r="T23" s="17" t="s">
        <v>429</v>
      </c>
      <c r="U23" s="17">
        <v>70002008</v>
      </c>
      <c r="V23" s="17" t="str">
        <f t="shared" si="11"/>
        <v>{id:70020007},{id:70020008},{id:70020009}</v>
      </c>
      <c r="W23" s="17" t="s">
        <v>457</v>
      </c>
      <c r="X23" s="17" t="s">
        <v>516</v>
      </c>
      <c r="Y23" s="17">
        <f>VLOOKUP(X23,装备包!$S:$T,2,FALSE)</f>
        <v>70020007</v>
      </c>
      <c r="Z23" s="17" t="s">
        <v>517</v>
      </c>
      <c r="AA23" s="17">
        <f>VLOOKUP(Z23,装备包!$S:$T,2,FALSE)</f>
        <v>70020008</v>
      </c>
      <c r="AB23" s="17" t="s">
        <v>518</v>
      </c>
      <c r="AC23" s="17">
        <f>VLOOKUP(AB23,装备包!$S:$T,2,FALSE)</f>
        <v>70020009</v>
      </c>
      <c r="AD23" s="17"/>
      <c r="AE23" s="16" t="str">
        <f t="shared" ref="AE23:AE28" si="12">"{id:"&amp;Y35&amp;"}"</f>
        <v>{id:70030000}</v>
      </c>
    </row>
    <row r="24" spans="1:33" x14ac:dyDescent="0.15">
      <c r="A24" s="16">
        <v>21</v>
      </c>
      <c r="B24" s="16" t="s">
        <v>429</v>
      </c>
      <c r="C24" s="16" t="s">
        <v>436</v>
      </c>
      <c r="D24" s="16" t="s">
        <v>436</v>
      </c>
      <c r="E24" s="16" t="s">
        <v>436</v>
      </c>
      <c r="F24" s="16" t="s">
        <v>419</v>
      </c>
      <c r="H24" s="16">
        <v>70000020</v>
      </c>
      <c r="I24" s="16" t="str">
        <f t="shared" si="6"/>
        <v>{id:70001008,odds:1500},{id:70003005,odds:3500},{id:70005005,odds:1000},{id:70004005,odds:3500},{id:70006000,odds:500}</v>
      </c>
      <c r="J24" s="16" t="s">
        <v>457</v>
      </c>
      <c r="K24" s="16" t="str">
        <f t="shared" si="7"/>
        <v>{id:70001008,odds:1500}</v>
      </c>
      <c r="L24" s="16" t="str">
        <f t="shared" si="0"/>
        <v>{id:70003005,odds:3500}</v>
      </c>
      <c r="M24" s="16" t="str">
        <f t="shared" si="1"/>
        <v>{id:70005005,odds:1000}</v>
      </c>
      <c r="N24" s="16" t="str">
        <f t="shared" si="2"/>
        <v>{id:70004005,odds:3500}</v>
      </c>
      <c r="O24" s="16" t="str">
        <f t="shared" si="3"/>
        <v>{id:70006000,odds:500}</v>
      </c>
      <c r="P24" s="16" t="s">
        <v>481</v>
      </c>
      <c r="T24" s="17" t="s">
        <v>430</v>
      </c>
      <c r="U24" s="17">
        <v>70002009</v>
      </c>
      <c r="V24" s="17" t="str">
        <f t="shared" si="11"/>
        <v>{id:70020008},{id:70020009},{id:70020010}</v>
      </c>
      <c r="W24" s="17" t="s">
        <v>457</v>
      </c>
      <c r="X24" s="17" t="s">
        <v>517</v>
      </c>
      <c r="Y24" s="17">
        <f>VLOOKUP(X24,装备包!$S:$T,2,FALSE)</f>
        <v>70020008</v>
      </c>
      <c r="Z24" s="17" t="s">
        <v>518</v>
      </c>
      <c r="AA24" s="17">
        <f>VLOOKUP(Z24,装备包!$S:$T,2,FALSE)</f>
        <v>70020009</v>
      </c>
      <c r="AB24" s="17" t="s">
        <v>519</v>
      </c>
      <c r="AC24" s="17">
        <f>VLOOKUP(AB24,装备包!$S:$T,2,FALSE)</f>
        <v>70020010</v>
      </c>
      <c r="AD24" s="17"/>
      <c r="AE24" s="16" t="str">
        <f t="shared" si="12"/>
        <v>{id:70030000}</v>
      </c>
      <c r="AF24" s="16" t="str">
        <f>"{id:"&amp;AA36&amp;"}"</f>
        <v>{id:70030001}</v>
      </c>
    </row>
    <row r="25" spans="1:33" x14ac:dyDescent="0.15">
      <c r="A25" s="16">
        <v>22</v>
      </c>
      <c r="B25" s="16" t="s">
        <v>429</v>
      </c>
      <c r="C25" s="16" t="s">
        <v>436</v>
      </c>
      <c r="D25" s="16" t="s">
        <v>436</v>
      </c>
      <c r="E25" s="16" t="s">
        <v>436</v>
      </c>
      <c r="F25" s="16" t="s">
        <v>419</v>
      </c>
      <c r="H25" s="16">
        <v>70000021</v>
      </c>
      <c r="I25" s="16" t="str">
        <f t="shared" si="6"/>
        <v>{id:70001008,odds:1500},{id:70003005,odds:3500},{id:70005005,odds:1000},{id:70004005,odds:3500},{id:70006000,odds:500}</v>
      </c>
      <c r="J25" s="16" t="s">
        <v>457</v>
      </c>
      <c r="K25" s="16" t="str">
        <f t="shared" si="7"/>
        <v>{id:70001008,odds:1500}</v>
      </c>
      <c r="L25" s="16" t="str">
        <f t="shared" si="0"/>
        <v>{id:70003005,odds:3500}</v>
      </c>
      <c r="M25" s="16" t="str">
        <f t="shared" si="1"/>
        <v>{id:70005005,odds:1000}</v>
      </c>
      <c r="N25" s="16" t="str">
        <f t="shared" si="2"/>
        <v>{id:70004005,odds:3500}</v>
      </c>
      <c r="O25" s="16" t="str">
        <f t="shared" si="3"/>
        <v>{id:70006000,odds:500}</v>
      </c>
      <c r="P25" s="16" t="s">
        <v>481</v>
      </c>
      <c r="AE25" s="16" t="str">
        <f t="shared" si="12"/>
        <v>{id:70030001}</v>
      </c>
      <c r="AF25" s="16" t="str">
        <f>"{id:"&amp;AA37&amp;"}"</f>
        <v>{id:70030002}</v>
      </c>
    </row>
    <row r="26" spans="1:33" x14ac:dyDescent="0.15">
      <c r="A26" s="16">
        <v>23</v>
      </c>
      <c r="B26" s="16" t="s">
        <v>430</v>
      </c>
      <c r="C26" s="16" t="s">
        <v>436</v>
      </c>
      <c r="D26" s="16" t="s">
        <v>436</v>
      </c>
      <c r="E26" s="16" t="s">
        <v>436</v>
      </c>
      <c r="F26" s="16" t="s">
        <v>419</v>
      </c>
      <c r="H26" s="16">
        <v>70000022</v>
      </c>
      <c r="I26" s="16" t="str">
        <f t="shared" si="6"/>
        <v>{id:70001009,odds:1500},{id:70003005,odds:3500},{id:70005005,odds:1000},{id:70004005,odds:3500},{id:70006000,odds:500}</v>
      </c>
      <c r="J26" s="16" t="s">
        <v>457</v>
      </c>
      <c r="K26" s="16" t="str">
        <f t="shared" si="7"/>
        <v>{id:70001009,odds:1500}</v>
      </c>
      <c r="L26" s="16" t="str">
        <f t="shared" si="0"/>
        <v>{id:70003005,odds:3500}</v>
      </c>
      <c r="M26" s="16" t="str">
        <f t="shared" si="1"/>
        <v>{id:70005005,odds:1000}</v>
      </c>
      <c r="N26" s="16" t="str">
        <f t="shared" si="2"/>
        <v>{id:70004005,odds:3500}</v>
      </c>
      <c r="O26" s="16" t="str">
        <f t="shared" si="3"/>
        <v>{id:70006000,odds:500}</v>
      </c>
      <c r="P26" s="16" t="s">
        <v>481</v>
      </c>
      <c r="T26" s="33" t="s">
        <v>459</v>
      </c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16" t="str">
        <f t="shared" si="12"/>
        <v>{id:70030001}</v>
      </c>
      <c r="AF26" s="16" t="str">
        <f>"{id:"&amp;AA38&amp;"}"</f>
        <v>{id:70030002}</v>
      </c>
      <c r="AG26" s="16" t="str">
        <f>"{id:"&amp;AC38&amp;"}"</f>
        <v>{id:70030003}</v>
      </c>
    </row>
    <row r="27" spans="1:33" x14ac:dyDescent="0.15">
      <c r="A27" s="16">
        <v>24</v>
      </c>
      <c r="B27" s="16" t="s">
        <v>430</v>
      </c>
      <c r="C27" s="16" t="s">
        <v>436</v>
      </c>
      <c r="D27" s="16" t="s">
        <v>436</v>
      </c>
      <c r="E27" s="16" t="s">
        <v>436</v>
      </c>
      <c r="F27" s="16" t="s">
        <v>419</v>
      </c>
      <c r="H27" s="16">
        <v>70000023</v>
      </c>
      <c r="I27" s="16" t="str">
        <f t="shared" si="6"/>
        <v>{id:70001009,odds:1500},{id:70003005,odds:3500},{id:70005005,odds:1000},{id:70004005,odds:3500},{id:70006000,odds:500}</v>
      </c>
      <c r="J27" s="16" t="s">
        <v>457</v>
      </c>
      <c r="K27" s="16" t="str">
        <f t="shared" si="7"/>
        <v>{id:70001009,odds:1500}</v>
      </c>
      <c r="L27" s="16" t="str">
        <f t="shared" si="0"/>
        <v>{id:70003005,odds:3500}</v>
      </c>
      <c r="M27" s="16" t="str">
        <f t="shared" si="1"/>
        <v>{id:70005005,odds:1000}</v>
      </c>
      <c r="N27" s="16" t="str">
        <f t="shared" si="2"/>
        <v>{id:70004005,odds:3500}</v>
      </c>
      <c r="O27" s="16" t="str">
        <f t="shared" si="3"/>
        <v>{id:70006000,odds:500}</v>
      </c>
      <c r="P27" s="16" t="s">
        <v>481</v>
      </c>
      <c r="T27" s="26" t="s">
        <v>431</v>
      </c>
      <c r="U27" s="26">
        <v>70003000</v>
      </c>
      <c r="V27" s="26" t="str">
        <f>AE15</f>
        <v>{id:70040000}</v>
      </c>
      <c r="W27" s="26" t="s">
        <v>457</v>
      </c>
      <c r="X27" s="26" t="s">
        <v>195</v>
      </c>
      <c r="Y27" s="26">
        <f>VLOOKUP(X27,杂物包!$B:$C,2,FALSE)</f>
        <v>70040000</v>
      </c>
      <c r="Z27" s="26"/>
      <c r="AA27" s="26"/>
      <c r="AB27" s="26"/>
      <c r="AC27" s="26"/>
      <c r="AD27" s="26"/>
      <c r="AE27" s="16" t="str">
        <f t="shared" si="12"/>
        <v>{id:70030002}</v>
      </c>
      <c r="AF27" s="16" t="str">
        <f>"{id:"&amp;AA39&amp;"}"</f>
        <v>{id:70030003}</v>
      </c>
    </row>
    <row r="28" spans="1:33" x14ac:dyDescent="0.15">
      <c r="A28" s="16">
        <v>25</v>
      </c>
      <c r="B28" s="16" t="s">
        <v>430</v>
      </c>
      <c r="C28" s="16" t="s">
        <v>436</v>
      </c>
      <c r="D28" s="16" t="s">
        <v>436</v>
      </c>
      <c r="E28" s="16" t="s">
        <v>436</v>
      </c>
      <c r="F28" s="16" t="s">
        <v>419</v>
      </c>
      <c r="H28" s="16">
        <v>70000024</v>
      </c>
      <c r="I28" s="16" t="str">
        <f t="shared" si="6"/>
        <v>{id:70001009,odds:1500},{id:70003005,odds:3500},{id:70005005,odds:1000},{id:70004005,odds:3500},{id:70006000,odds:500}</v>
      </c>
      <c r="J28" s="16" t="s">
        <v>457</v>
      </c>
      <c r="K28" s="16" t="str">
        <f t="shared" si="7"/>
        <v>{id:70001009,odds:1500}</v>
      </c>
      <c r="L28" s="16" t="str">
        <f t="shared" si="0"/>
        <v>{id:70003005,odds:3500}</v>
      </c>
      <c r="M28" s="16" t="str">
        <f t="shared" si="1"/>
        <v>{id:70005005,odds:1000}</v>
      </c>
      <c r="N28" s="16" t="str">
        <f t="shared" si="2"/>
        <v>{id:70004005,odds:3500}</v>
      </c>
      <c r="O28" s="16" t="str">
        <f t="shared" si="3"/>
        <v>{id:70006000,odds:500}</v>
      </c>
      <c r="P28" s="16" t="s">
        <v>481</v>
      </c>
      <c r="T28" s="26" t="s">
        <v>432</v>
      </c>
      <c r="U28" s="26">
        <v>70003001</v>
      </c>
      <c r="V28" s="26" t="str">
        <f>AE16&amp;","&amp;AF16</f>
        <v>{id:70040000},{id:70040001}</v>
      </c>
      <c r="W28" s="26" t="s">
        <v>457</v>
      </c>
      <c r="X28" s="26" t="s">
        <v>195</v>
      </c>
      <c r="Y28" s="26">
        <f>VLOOKUP(X28,杂物包!$B:$C,2,FALSE)</f>
        <v>70040000</v>
      </c>
      <c r="Z28" s="26" t="s">
        <v>196</v>
      </c>
      <c r="AA28" s="26">
        <f>VLOOKUP(Z28,杂物包!$B:$C,2,FALSE)</f>
        <v>70040001</v>
      </c>
      <c r="AB28" s="26"/>
      <c r="AC28" s="26"/>
      <c r="AD28" s="26"/>
      <c r="AE28" s="16" t="str">
        <f t="shared" si="12"/>
        <v>{id:70030003}</v>
      </c>
      <c r="AF28" s="16" t="str">
        <f>"{id:"&amp;AA40&amp;"}"</f>
        <v>{id:70030004}</v>
      </c>
    </row>
    <row r="29" spans="1:33" x14ac:dyDescent="0.15">
      <c r="T29" s="26" t="s">
        <v>433</v>
      </c>
      <c r="U29" s="26">
        <v>70003002</v>
      </c>
      <c r="V29" s="26" t="str">
        <f>AE17&amp;","&amp;AF17</f>
        <v>{id:70040001},{id:70040002}</v>
      </c>
      <c r="W29" s="26" t="s">
        <v>457</v>
      </c>
      <c r="X29" s="26" t="s">
        <v>196</v>
      </c>
      <c r="Y29" s="26">
        <f>VLOOKUP(X29,杂物包!$B:$C,2,FALSE)</f>
        <v>70040001</v>
      </c>
      <c r="Z29" s="26" t="s">
        <v>197</v>
      </c>
      <c r="AA29" s="26">
        <f>VLOOKUP(Z29,杂物包!$B:$C,2,FALSE)</f>
        <v>70040002</v>
      </c>
      <c r="AB29" s="26"/>
      <c r="AC29" s="26"/>
      <c r="AD29" s="26"/>
    </row>
    <row r="30" spans="1:33" x14ac:dyDescent="0.15">
      <c r="A30" s="36" t="s">
        <v>587</v>
      </c>
      <c r="B30" s="36"/>
      <c r="C30" s="36"/>
      <c r="D30" s="36"/>
      <c r="E30" s="36"/>
      <c r="F30" s="36"/>
      <c r="K30" s="16">
        <v>4000</v>
      </c>
      <c r="L30" s="16">
        <v>1000</v>
      </c>
      <c r="M30" s="16">
        <v>2000</v>
      </c>
      <c r="N30" s="16">
        <v>1000</v>
      </c>
      <c r="O30" s="16">
        <v>2000</v>
      </c>
      <c r="T30" s="26" t="s">
        <v>434</v>
      </c>
      <c r="U30" s="26">
        <v>70003003</v>
      </c>
      <c r="V30" s="26" t="str">
        <f>AE18&amp;","&amp;AF18&amp;","&amp;AG18</f>
        <v>{id:70040001},{id:70040002},{id:70040003}</v>
      </c>
      <c r="W30" s="26" t="s">
        <v>457</v>
      </c>
      <c r="X30" s="26" t="s">
        <v>196</v>
      </c>
      <c r="Y30" s="26">
        <f>VLOOKUP(X30,杂物包!$B:$C,2,FALSE)</f>
        <v>70040001</v>
      </c>
      <c r="Z30" s="26" t="s">
        <v>197</v>
      </c>
      <c r="AA30" s="26">
        <f>VLOOKUP(Z30,杂物包!$B:$C,2,FALSE)</f>
        <v>70040002</v>
      </c>
      <c r="AB30" s="26" t="s">
        <v>198</v>
      </c>
      <c r="AC30" s="26">
        <f>VLOOKUP(AB30,杂物包!$B:$C,2,FALSE)</f>
        <v>70040003</v>
      </c>
      <c r="AD30" s="26"/>
    </row>
    <row r="31" spans="1:33" x14ac:dyDescent="0.15">
      <c r="A31" s="28" t="s">
        <v>462</v>
      </c>
      <c r="B31" s="28" t="s">
        <v>463</v>
      </c>
      <c r="C31" s="28" t="s">
        <v>464</v>
      </c>
      <c r="D31" s="28" t="s">
        <v>465</v>
      </c>
      <c r="E31" s="28" t="s">
        <v>466</v>
      </c>
      <c r="F31" s="28" t="s">
        <v>467</v>
      </c>
      <c r="H31" s="16" t="s">
        <v>479</v>
      </c>
      <c r="I31" s="16" t="s">
        <v>480</v>
      </c>
      <c r="K31" s="28" t="s">
        <v>463</v>
      </c>
      <c r="L31" s="28" t="s">
        <v>464</v>
      </c>
      <c r="M31" s="28" t="s">
        <v>465</v>
      </c>
      <c r="N31" s="28" t="s">
        <v>466</v>
      </c>
      <c r="O31" s="28" t="s">
        <v>467</v>
      </c>
      <c r="T31" s="26" t="s">
        <v>435</v>
      </c>
      <c r="U31" s="26">
        <v>70003004</v>
      </c>
      <c r="V31" s="26" t="str">
        <f>AE19&amp;","&amp;AF19</f>
        <v>{id:70040002},{id:70040003}</v>
      </c>
      <c r="W31" s="26" t="s">
        <v>457</v>
      </c>
      <c r="X31" s="26" t="s">
        <v>197</v>
      </c>
      <c r="Y31" s="26">
        <f>VLOOKUP(X31,杂物包!$B:$C,2,FALSE)</f>
        <v>70040002</v>
      </c>
      <c r="Z31" s="26" t="s">
        <v>198</v>
      </c>
      <c r="AA31" s="26">
        <f>VLOOKUP(Z31,杂物包!$B:$C,2,FALSE)</f>
        <v>70040003</v>
      </c>
      <c r="AB31" s="26"/>
      <c r="AC31" s="26"/>
      <c r="AD31" s="26"/>
      <c r="AE31" s="16" t="str">
        <f t="shared" ref="AE31:AE36" si="13">"{id:"&amp;Y43&amp;"}"</f>
        <v>{id:70020000}</v>
      </c>
    </row>
    <row r="32" spans="1:33" x14ac:dyDescent="0.15">
      <c r="A32" s="16">
        <v>5</v>
      </c>
      <c r="B32" s="16" t="s">
        <v>423</v>
      </c>
      <c r="C32" s="16" t="s">
        <v>432</v>
      </c>
      <c r="D32" s="16" t="s">
        <v>432</v>
      </c>
      <c r="E32" s="16" t="s">
        <v>432</v>
      </c>
      <c r="F32" s="16" t="s">
        <v>419</v>
      </c>
      <c r="H32" s="5">
        <v>70000050</v>
      </c>
      <c r="I32" s="16" t="str">
        <f t="shared" ref="I32:I36" si="14">K32&amp;","&amp;L32&amp;","&amp;M32&amp;","&amp;N32&amp;","&amp;O32</f>
        <v>{id:70001002,odds:4000},{id:70003001,odds:1000},{id:70005001,odds:2000},{id:70004001,odds:1000},{id:70006000,odds:2000}</v>
      </c>
      <c r="J32" s="16" t="s">
        <v>457</v>
      </c>
      <c r="K32" s="16" t="str">
        <f>"{id:"&amp;VLOOKUP(B32,$T$3:$U$12,2,FALSE)&amp;",odds:"&amp;$K$30&amp;"}"</f>
        <v>{id:70001002,odds:4000}</v>
      </c>
      <c r="L32" s="16" t="str">
        <f>"{id:"&amp;VLOOKUP(C32,$T$27:$U$32,2,FALSE)&amp;",odds:"&amp;$L$30&amp;"}"</f>
        <v>{id:70003001,odds:1000}</v>
      </c>
      <c r="M32" s="16" t="str">
        <f>"{id:"&amp;VLOOKUP(D32,$T$43:$U$48,2,FALSE)&amp;",odds:"&amp;$M$30&amp;"}"</f>
        <v>{id:70005001,odds:2000}</v>
      </c>
      <c r="N32" s="16" t="str">
        <f>"{id:"&amp;VLOOKUP(E32,$T$35:$U$40,2,FALSE)&amp;",odds:"&amp;$N$30&amp;"}"</f>
        <v>{id:70004001,odds:1000}</v>
      </c>
      <c r="O32" s="16" t="str">
        <f>"{id:"&amp;VLOOKUP(F32,$T$50:$U$50,2,FALSE)&amp;",odds:"&amp;$O$30&amp;"}"</f>
        <v>{id:70006000,odds:2000}</v>
      </c>
      <c r="P32" s="16" t="s">
        <v>457</v>
      </c>
      <c r="T32" s="26" t="s">
        <v>436</v>
      </c>
      <c r="U32" s="26">
        <v>70003005</v>
      </c>
      <c r="V32" s="26" t="str">
        <f>AE20&amp;","&amp;AF20</f>
        <v>{id:70040003},{id:70040004}</v>
      </c>
      <c r="W32" s="26" t="s">
        <v>457</v>
      </c>
      <c r="X32" s="26" t="s">
        <v>198</v>
      </c>
      <c r="Y32" s="26">
        <f>VLOOKUP(X32,杂物包!$B:$C,2,FALSE)</f>
        <v>70040003</v>
      </c>
      <c r="Z32" s="26" t="s">
        <v>199</v>
      </c>
      <c r="AA32" s="26">
        <f>VLOOKUP(Z32,杂物包!$B:$C,2,FALSE)</f>
        <v>70040004</v>
      </c>
      <c r="AB32" s="26"/>
      <c r="AC32" s="26"/>
      <c r="AD32" s="26"/>
      <c r="AE32" s="16" t="str">
        <f t="shared" si="13"/>
        <v>{id:70020000}</v>
      </c>
      <c r="AF32" s="16" t="str">
        <f>"{id:"&amp;AA44&amp;"}"</f>
        <v>{id:70020001}</v>
      </c>
    </row>
    <row r="33" spans="1:33" x14ac:dyDescent="0.15">
      <c r="A33" s="16">
        <v>10</v>
      </c>
      <c r="B33" s="16" t="s">
        <v>425</v>
      </c>
      <c r="C33" s="16" t="s">
        <v>433</v>
      </c>
      <c r="D33" s="16" t="s">
        <v>433</v>
      </c>
      <c r="E33" s="16" t="s">
        <v>433</v>
      </c>
      <c r="F33" s="16" t="s">
        <v>419</v>
      </c>
      <c r="H33" s="5">
        <v>70000051</v>
      </c>
      <c r="I33" s="16" t="str">
        <f t="shared" si="14"/>
        <v>{id:70001004,odds:4000},{id:70003002,odds:1000},{id:70005002,odds:2000},{id:70004002,odds:1000},{id:70006000,odds:2000}</v>
      </c>
      <c r="J33" s="16" t="s">
        <v>457</v>
      </c>
      <c r="K33" s="16" t="str">
        <f t="shared" ref="K33:K36" si="15">"{id:"&amp;VLOOKUP(B33,$T$3:$U$12,2,FALSE)&amp;",odds:"&amp;$K$30&amp;"}"</f>
        <v>{id:70001004,odds:4000}</v>
      </c>
      <c r="L33" s="16" t="str">
        <f t="shared" ref="L33:L36" si="16">"{id:"&amp;VLOOKUP(C33,$T$27:$U$32,2,FALSE)&amp;",odds:"&amp;$L$30&amp;"}"</f>
        <v>{id:70003002,odds:1000}</v>
      </c>
      <c r="M33" s="16" t="str">
        <f t="shared" ref="M33:M36" si="17">"{id:"&amp;VLOOKUP(D33,$T$43:$U$48,2,FALSE)&amp;",odds:"&amp;$M$30&amp;"}"</f>
        <v>{id:70005002,odds:2000}</v>
      </c>
      <c r="N33" s="16" t="str">
        <f t="shared" ref="N33:N36" si="18">"{id:"&amp;VLOOKUP(E33,$T$35:$U$40,2,FALSE)&amp;",odds:"&amp;$N$30&amp;"}"</f>
        <v>{id:70004002,odds:1000}</v>
      </c>
      <c r="O33" s="16" t="str">
        <f t="shared" ref="O33:O36" si="19">"{id:"&amp;VLOOKUP(F33,$T$50:$U$50,2,FALSE)&amp;",odds:"&amp;$O$30&amp;"}"</f>
        <v>{id:70006000,odds:2000}</v>
      </c>
      <c r="P33" s="16" t="s">
        <v>457</v>
      </c>
      <c r="AE33" s="16" t="str">
        <f t="shared" si="13"/>
        <v>{id:70020001}</v>
      </c>
      <c r="AF33" s="16" t="str">
        <f>"{id:"&amp;AA45&amp;"}"</f>
        <v>{id:70020002}</v>
      </c>
    </row>
    <row r="34" spans="1:33" x14ac:dyDescent="0.15">
      <c r="A34" s="16">
        <v>15</v>
      </c>
      <c r="B34" s="16" t="s">
        <v>426</v>
      </c>
      <c r="C34" s="16" t="s">
        <v>434</v>
      </c>
      <c r="D34" s="16" t="s">
        <v>434</v>
      </c>
      <c r="E34" s="16" t="s">
        <v>434</v>
      </c>
      <c r="F34" s="16" t="s">
        <v>419</v>
      </c>
      <c r="H34" s="5">
        <v>70000052</v>
      </c>
      <c r="I34" s="16" t="str">
        <f t="shared" si="14"/>
        <v>{id:70001005,odds:4000},{id:70003003,odds:1000},{id:70005003,odds:2000},{id:70004003,odds:1000},{id:70006000,odds:2000}</v>
      </c>
      <c r="J34" s="16" t="s">
        <v>457</v>
      </c>
      <c r="K34" s="16" t="str">
        <f t="shared" si="15"/>
        <v>{id:70001005,odds:4000}</v>
      </c>
      <c r="L34" s="16" t="str">
        <f t="shared" si="16"/>
        <v>{id:70003003,odds:1000}</v>
      </c>
      <c r="M34" s="16" t="str">
        <f t="shared" si="17"/>
        <v>{id:70005003,odds:2000}</v>
      </c>
      <c r="N34" s="16" t="str">
        <f t="shared" si="18"/>
        <v>{id:70004003,odds:1000}</v>
      </c>
      <c r="O34" s="16" t="str">
        <f t="shared" si="19"/>
        <v>{id:70006000,odds:2000}</v>
      </c>
      <c r="P34" s="16" t="s">
        <v>457</v>
      </c>
      <c r="T34" s="34" t="s">
        <v>460</v>
      </c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16" t="str">
        <f t="shared" si="13"/>
        <v>{id:70020001}</v>
      </c>
      <c r="AF34" s="16" t="str">
        <f>"{id:"&amp;AA46&amp;"}"</f>
        <v>{id:70020002}</v>
      </c>
      <c r="AG34" s="16" t="str">
        <f>"{id:"&amp;AC46&amp;"}"</f>
        <v>{id:70020003}</v>
      </c>
    </row>
    <row r="35" spans="1:33" x14ac:dyDescent="0.15">
      <c r="A35" s="16">
        <v>20</v>
      </c>
      <c r="B35" s="16" t="s">
        <v>429</v>
      </c>
      <c r="C35" s="16" t="s">
        <v>436</v>
      </c>
      <c r="D35" s="16" t="s">
        <v>436</v>
      </c>
      <c r="E35" s="16" t="s">
        <v>436</v>
      </c>
      <c r="F35" s="16" t="s">
        <v>419</v>
      </c>
      <c r="H35" s="5">
        <v>70000053</v>
      </c>
      <c r="I35" s="16" t="str">
        <f t="shared" si="14"/>
        <v>{id:70001008,odds:4000},{id:70003005,odds:1000},{id:70005005,odds:2000},{id:70004005,odds:1000},{id:70006000,odds:2000}</v>
      </c>
      <c r="J35" s="16" t="s">
        <v>457</v>
      </c>
      <c r="K35" s="16" t="str">
        <f t="shared" si="15"/>
        <v>{id:70001008,odds:4000}</v>
      </c>
      <c r="L35" s="16" t="str">
        <f t="shared" si="16"/>
        <v>{id:70003005,odds:1000}</v>
      </c>
      <c r="M35" s="16" t="str">
        <f t="shared" si="17"/>
        <v>{id:70005005,odds:2000}</v>
      </c>
      <c r="N35" s="16" t="str">
        <f t="shared" si="18"/>
        <v>{id:70004005,odds:1000}</v>
      </c>
      <c r="O35" s="16" t="str">
        <f t="shared" si="19"/>
        <v>{id:70006000,odds:2000}</v>
      </c>
      <c r="P35" s="16" t="s">
        <v>457</v>
      </c>
      <c r="T35" s="19" t="s">
        <v>431</v>
      </c>
      <c r="U35" s="19">
        <v>70004000</v>
      </c>
      <c r="V35" s="19" t="str">
        <f>AE23</f>
        <v>{id:70030000}</v>
      </c>
      <c r="W35" s="19" t="s">
        <v>458</v>
      </c>
      <c r="X35" s="19" t="s">
        <v>406</v>
      </c>
      <c r="Y35" s="19">
        <f>VLOOKUP(X35,杂物包!$B:$C,2,FALSE)</f>
        <v>70030000</v>
      </c>
      <c r="Z35" s="19"/>
      <c r="AA35" s="19"/>
      <c r="AB35" s="19"/>
      <c r="AC35" s="19"/>
      <c r="AD35" s="19"/>
      <c r="AE35" s="16" t="str">
        <f t="shared" si="13"/>
        <v>{id:70020002}</v>
      </c>
      <c r="AF35" s="16" t="str">
        <f>"{id:"&amp;AA47&amp;"}"</f>
        <v>{id:70020003}</v>
      </c>
    </row>
    <row r="36" spans="1:33" x14ac:dyDescent="0.15">
      <c r="A36" s="16">
        <v>25</v>
      </c>
      <c r="B36" s="16" t="s">
        <v>430</v>
      </c>
      <c r="C36" s="16" t="s">
        <v>436</v>
      </c>
      <c r="D36" s="16" t="s">
        <v>436</v>
      </c>
      <c r="E36" s="16" t="s">
        <v>436</v>
      </c>
      <c r="F36" s="16" t="s">
        <v>419</v>
      </c>
      <c r="H36" s="5">
        <v>70000054</v>
      </c>
      <c r="I36" s="16" t="str">
        <f t="shared" si="14"/>
        <v>{id:70001009,odds:4000},{id:70003005,odds:1000},{id:70005005,odds:2000},{id:70004005,odds:1000},{id:70006000,odds:2000}</v>
      </c>
      <c r="J36" s="16" t="s">
        <v>457</v>
      </c>
      <c r="K36" s="16" t="str">
        <f t="shared" si="15"/>
        <v>{id:70001009,odds:4000}</v>
      </c>
      <c r="L36" s="16" t="str">
        <f t="shared" si="16"/>
        <v>{id:70003005,odds:1000}</v>
      </c>
      <c r="M36" s="16" t="str">
        <f t="shared" si="17"/>
        <v>{id:70005005,odds:2000}</v>
      </c>
      <c r="N36" s="16" t="str">
        <f t="shared" si="18"/>
        <v>{id:70004005,odds:1000}</v>
      </c>
      <c r="O36" s="16" t="str">
        <f t="shared" si="19"/>
        <v>{id:70006000,odds:2000}</v>
      </c>
      <c r="P36" s="16" t="s">
        <v>457</v>
      </c>
      <c r="T36" s="19" t="s">
        <v>432</v>
      </c>
      <c r="U36" s="19">
        <v>70004001</v>
      </c>
      <c r="V36" s="19" t="str">
        <f>AE24&amp;","&amp;AF24</f>
        <v>{id:70030000},{id:70030001}</v>
      </c>
      <c r="W36" s="19" t="s">
        <v>458</v>
      </c>
      <c r="X36" s="19" t="s">
        <v>406</v>
      </c>
      <c r="Y36" s="19">
        <f>VLOOKUP(X36,杂物包!$B:$C,2,FALSE)</f>
        <v>70030000</v>
      </c>
      <c r="Z36" s="19" t="s">
        <v>407</v>
      </c>
      <c r="AA36" s="19">
        <f>VLOOKUP(Z36,杂物包!$B:$C,2,FALSE)</f>
        <v>70030001</v>
      </c>
      <c r="AB36" s="19"/>
      <c r="AC36" s="19"/>
      <c r="AD36" s="19"/>
      <c r="AE36" s="16" t="str">
        <f t="shared" si="13"/>
        <v>{id:70020003}</v>
      </c>
      <c r="AF36" s="16" t="str">
        <f>"{id:"&amp;AA48&amp;"}"</f>
        <v>{id:70020004}</v>
      </c>
    </row>
    <row r="37" spans="1:33" x14ac:dyDescent="0.15">
      <c r="T37" s="19" t="s">
        <v>433</v>
      </c>
      <c r="U37" s="19">
        <v>70004002</v>
      </c>
      <c r="V37" s="19" t="str">
        <f>AE25&amp;","&amp;AF25</f>
        <v>{id:70030001},{id:70030002}</v>
      </c>
      <c r="W37" s="19" t="s">
        <v>458</v>
      </c>
      <c r="X37" s="19" t="s">
        <v>407</v>
      </c>
      <c r="Y37" s="19">
        <f>VLOOKUP(X37,杂物包!$B:$C,2,FALSE)</f>
        <v>70030001</v>
      </c>
      <c r="Z37" s="19" t="s">
        <v>408</v>
      </c>
      <c r="AA37" s="19">
        <f>VLOOKUP(Z37,杂物包!$B:$C,2,FALSE)</f>
        <v>70030002</v>
      </c>
      <c r="AB37" s="19"/>
      <c r="AC37" s="19"/>
      <c r="AD37" s="19"/>
    </row>
    <row r="38" spans="1:33" x14ac:dyDescent="0.15">
      <c r="A38" s="36" t="s">
        <v>474</v>
      </c>
      <c r="B38" s="36"/>
      <c r="C38" s="36"/>
      <c r="D38" s="36"/>
      <c r="E38" s="36"/>
      <c r="F38" s="36"/>
      <c r="T38" s="19" t="s">
        <v>434</v>
      </c>
      <c r="U38" s="19">
        <v>70004003</v>
      </c>
      <c r="V38" s="19" t="str">
        <f>AE26&amp;","&amp;AF26&amp;","&amp;AG26</f>
        <v>{id:70030001},{id:70030002},{id:70030003}</v>
      </c>
      <c r="W38" s="19" t="s">
        <v>458</v>
      </c>
      <c r="X38" s="19" t="s">
        <v>407</v>
      </c>
      <c r="Y38" s="19">
        <f>VLOOKUP(X38,杂物包!$B:$C,2,FALSE)</f>
        <v>70030001</v>
      </c>
      <c r="Z38" s="19" t="s">
        <v>408</v>
      </c>
      <c r="AA38" s="19">
        <f>VLOOKUP(Z38,杂物包!$B:$C,2,FALSE)</f>
        <v>70030002</v>
      </c>
      <c r="AB38" s="19" t="s">
        <v>409</v>
      </c>
      <c r="AC38" s="19">
        <f>VLOOKUP(AB38,杂物包!$B:$C,2,FALSE)</f>
        <v>70030003</v>
      </c>
      <c r="AD38" s="19"/>
      <c r="AE38" s="27"/>
    </row>
    <row r="39" spans="1:33" x14ac:dyDescent="0.15">
      <c r="A39" s="28" t="s">
        <v>468</v>
      </c>
      <c r="B39" s="28" t="s">
        <v>469</v>
      </c>
      <c r="C39" s="28"/>
      <c r="D39" s="28"/>
      <c r="E39" s="28"/>
      <c r="F39" s="28"/>
      <c r="H39" s="16" t="s">
        <v>479</v>
      </c>
      <c r="I39" s="16" t="s">
        <v>480</v>
      </c>
      <c r="K39" s="28" t="s">
        <v>469</v>
      </c>
      <c r="L39" s="28"/>
      <c r="M39" s="28"/>
      <c r="N39" s="28"/>
      <c r="O39" s="28"/>
      <c r="T39" s="19" t="s">
        <v>435</v>
      </c>
      <c r="U39" s="19">
        <v>70004004</v>
      </c>
      <c r="V39" s="19" t="str">
        <f>AE27&amp;","&amp;AF27</f>
        <v>{id:70030002},{id:70030003}</v>
      </c>
      <c r="W39" s="19" t="s">
        <v>458</v>
      </c>
      <c r="X39" s="19" t="s">
        <v>408</v>
      </c>
      <c r="Y39" s="19">
        <f>VLOOKUP(X39,杂物包!$B:$C,2,FALSE)</f>
        <v>70030002</v>
      </c>
      <c r="Z39" s="19" t="s">
        <v>409</v>
      </c>
      <c r="AA39" s="19">
        <f>VLOOKUP(Z39,杂物包!$B:$C,2,FALSE)</f>
        <v>70030003</v>
      </c>
      <c r="AB39" s="19"/>
      <c r="AC39" s="19"/>
      <c r="AD39" s="19"/>
    </row>
    <row r="40" spans="1:33" x14ac:dyDescent="0.15">
      <c r="A40" s="16">
        <v>1</v>
      </c>
      <c r="B40" s="16" t="s">
        <v>421</v>
      </c>
      <c r="H40" s="16">
        <v>70000100</v>
      </c>
      <c r="I40" s="16" t="str">
        <f>K40</f>
        <v>{id:70020000},{id:70020001}</v>
      </c>
      <c r="J40" s="16" t="s">
        <v>457</v>
      </c>
      <c r="K40" s="16" t="str">
        <f t="shared" ref="K40:K71" si="20">VLOOKUP(B40,$T$15:$V$24,3,FALSE)</f>
        <v>{id:70020000},{id:70020001}</v>
      </c>
      <c r="P40" s="16" t="s">
        <v>481</v>
      </c>
      <c r="T40" s="19" t="s">
        <v>436</v>
      </c>
      <c r="U40" s="19">
        <v>70004005</v>
      </c>
      <c r="V40" s="19" t="str">
        <f>AE28&amp;","&amp;AF28</f>
        <v>{id:70030003},{id:70030004}</v>
      </c>
      <c r="W40" s="19" t="s">
        <v>458</v>
      </c>
      <c r="X40" s="19" t="s">
        <v>409</v>
      </c>
      <c r="Y40" s="19">
        <f>VLOOKUP(X40,杂物包!$B:$C,2,FALSE)</f>
        <v>70030003</v>
      </c>
      <c r="Z40" s="19" t="s">
        <v>410</v>
      </c>
      <c r="AA40" s="19">
        <f>VLOOKUP(Z40,杂物包!$B:$C,2,FALSE)</f>
        <v>70030004</v>
      </c>
      <c r="AB40" s="19"/>
      <c r="AC40" s="19"/>
      <c r="AD40" s="19"/>
    </row>
    <row r="41" spans="1:33" x14ac:dyDescent="0.15">
      <c r="A41" s="16">
        <v>2</v>
      </c>
      <c r="B41" s="16" t="s">
        <v>421</v>
      </c>
      <c r="H41" s="16">
        <v>70000101</v>
      </c>
      <c r="I41" s="16" t="str">
        <f t="shared" ref="I41:I89" si="21">K41</f>
        <v>{id:70020000},{id:70020001}</v>
      </c>
      <c r="J41" s="16" t="s">
        <v>457</v>
      </c>
      <c r="K41" s="16" t="str">
        <f t="shared" si="20"/>
        <v>{id:70020000},{id:70020001}</v>
      </c>
      <c r="P41" s="16" t="s">
        <v>481</v>
      </c>
      <c r="T41" s="4"/>
      <c r="U41" s="4"/>
      <c r="V41" s="4"/>
      <c r="W41" s="4"/>
      <c r="AE41" s="16" t="str">
        <f t="shared" ref="AE41:AE50" si="22">"{id:"&amp;Y15&amp;"}"</f>
        <v>{id:70020000}</v>
      </c>
      <c r="AF41" s="16" t="str">
        <f t="shared" ref="AF41:AF50" si="23">"{id:"&amp;AA15&amp;"}"</f>
        <v>{id:70020001}</v>
      </c>
    </row>
    <row r="42" spans="1:33" x14ac:dyDescent="0.15">
      <c r="A42" s="16">
        <v>3</v>
      </c>
      <c r="B42" s="16" t="s">
        <v>421</v>
      </c>
      <c r="H42" s="16">
        <v>70000102</v>
      </c>
      <c r="I42" s="16" t="str">
        <f t="shared" si="21"/>
        <v>{id:70020000},{id:70020001}</v>
      </c>
      <c r="J42" s="16" t="s">
        <v>457</v>
      </c>
      <c r="K42" s="16" t="str">
        <f t="shared" si="20"/>
        <v>{id:70020000},{id:70020001}</v>
      </c>
      <c r="P42" s="16" t="s">
        <v>481</v>
      </c>
      <c r="T42" s="35" t="s">
        <v>461</v>
      </c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16" t="str">
        <f t="shared" si="22"/>
        <v>{id:70020000}</v>
      </c>
      <c r="AF42" s="16" t="str">
        <f t="shared" si="23"/>
        <v>{id:70020001}</v>
      </c>
      <c r="AG42" s="16" t="str">
        <f t="shared" ref="AG42:AG50" si="24">"{id:"&amp;AC16&amp;"}"</f>
        <v>{id:70020002}</v>
      </c>
    </row>
    <row r="43" spans="1:33" x14ac:dyDescent="0.15">
      <c r="A43" s="16">
        <v>4</v>
      </c>
      <c r="B43" s="16" t="s">
        <v>421</v>
      </c>
      <c r="H43" s="16">
        <v>70000103</v>
      </c>
      <c r="I43" s="16" t="str">
        <f t="shared" si="21"/>
        <v>{id:70020000},{id:70020001}</v>
      </c>
      <c r="J43" s="16" t="s">
        <v>457</v>
      </c>
      <c r="K43" s="16" t="str">
        <f t="shared" si="20"/>
        <v>{id:70020000},{id:70020001}</v>
      </c>
      <c r="P43" s="16" t="s">
        <v>481</v>
      </c>
      <c r="T43" s="24" t="s">
        <v>431</v>
      </c>
      <c r="U43" s="24">
        <v>70005000</v>
      </c>
      <c r="V43" s="24" t="str">
        <f>AE31</f>
        <v>{id:70020000}</v>
      </c>
      <c r="W43" s="24" t="s">
        <v>458</v>
      </c>
      <c r="X43" s="24" t="s">
        <v>200</v>
      </c>
      <c r="Y43" s="24">
        <f>VLOOKUP(X43,杂物包!$B:$C,2,FALSE)</f>
        <v>70020000</v>
      </c>
      <c r="Z43" s="24"/>
      <c r="AA43" s="24"/>
      <c r="AB43" s="24"/>
      <c r="AC43" s="24"/>
      <c r="AD43" s="24"/>
      <c r="AE43" s="16" t="str">
        <f t="shared" si="22"/>
        <v>{id:70020001}</v>
      </c>
      <c r="AF43" s="16" t="str">
        <f t="shared" si="23"/>
        <v>{id:70020002}</v>
      </c>
      <c r="AG43" s="16" t="str">
        <f t="shared" si="24"/>
        <v>{id:70020003}</v>
      </c>
    </row>
    <row r="44" spans="1:33" x14ac:dyDescent="0.15">
      <c r="A44" s="16">
        <v>5</v>
      </c>
      <c r="B44" s="16" t="s">
        <v>422</v>
      </c>
      <c r="H44" s="16">
        <v>70000104</v>
      </c>
      <c r="I44" s="16" t="str">
        <f t="shared" si="21"/>
        <v>{id:70020000},{id:70020001},{id:70020002}</v>
      </c>
      <c r="J44" s="16" t="s">
        <v>457</v>
      </c>
      <c r="K44" s="16" t="str">
        <f t="shared" si="20"/>
        <v>{id:70020000},{id:70020001},{id:70020002}</v>
      </c>
      <c r="P44" s="16" t="s">
        <v>481</v>
      </c>
      <c r="T44" s="24" t="s">
        <v>432</v>
      </c>
      <c r="U44" s="24">
        <v>70005001</v>
      </c>
      <c r="V44" s="24" t="str">
        <f>AE32&amp;","&amp;AF32</f>
        <v>{id:70020000},{id:70020001}</v>
      </c>
      <c r="W44" s="24" t="s">
        <v>458</v>
      </c>
      <c r="X44" s="24" t="s">
        <v>200</v>
      </c>
      <c r="Y44" s="24">
        <f>VLOOKUP(X44,杂物包!$B:$C,2,FALSE)</f>
        <v>70020000</v>
      </c>
      <c r="Z44" s="24" t="s">
        <v>201</v>
      </c>
      <c r="AA44" s="24">
        <f>VLOOKUP(Z44,杂物包!$B:$C,2,FALSE)</f>
        <v>70020001</v>
      </c>
      <c r="AB44" s="24"/>
      <c r="AC44" s="24"/>
      <c r="AD44" s="24"/>
      <c r="AE44" s="16" t="str">
        <f t="shared" si="22"/>
        <v>{id:70020002}</v>
      </c>
      <c r="AF44" s="16" t="str">
        <f t="shared" si="23"/>
        <v>{id:70020003}</v>
      </c>
      <c r="AG44" s="16" t="str">
        <f t="shared" si="24"/>
        <v>{id:70020004}</v>
      </c>
    </row>
    <row r="45" spans="1:33" x14ac:dyDescent="0.15">
      <c r="A45" s="16">
        <v>6</v>
      </c>
      <c r="B45" s="16" t="s">
        <v>422</v>
      </c>
      <c r="H45" s="16">
        <v>70000105</v>
      </c>
      <c r="I45" s="16" t="str">
        <f t="shared" si="21"/>
        <v>{id:70020000},{id:70020001},{id:70020002}</v>
      </c>
      <c r="J45" s="16" t="s">
        <v>457</v>
      </c>
      <c r="K45" s="16" t="str">
        <f t="shared" si="20"/>
        <v>{id:70020000},{id:70020001},{id:70020002}</v>
      </c>
      <c r="P45" s="16" t="s">
        <v>481</v>
      </c>
      <c r="T45" s="24" t="s">
        <v>433</v>
      </c>
      <c r="U45" s="24">
        <v>70005002</v>
      </c>
      <c r="V45" s="24" t="str">
        <f>AE33&amp;","&amp;AF33</f>
        <v>{id:70020001},{id:70020002}</v>
      </c>
      <c r="W45" s="24" t="s">
        <v>458</v>
      </c>
      <c r="X45" s="24" t="s">
        <v>201</v>
      </c>
      <c r="Y45" s="24">
        <f>VLOOKUP(X45,杂物包!$B:$C,2,FALSE)</f>
        <v>70020001</v>
      </c>
      <c r="Z45" s="24" t="s">
        <v>202</v>
      </c>
      <c r="AA45" s="24">
        <f>VLOOKUP(Z45,杂物包!$B:$C,2,FALSE)</f>
        <v>70020002</v>
      </c>
      <c r="AB45" s="24"/>
      <c r="AC45" s="24"/>
      <c r="AD45" s="24"/>
      <c r="AE45" s="16" t="str">
        <f t="shared" si="22"/>
        <v>{id:70020003}</v>
      </c>
      <c r="AF45" s="16" t="str">
        <f t="shared" si="23"/>
        <v>{id:70020004}</v>
      </c>
      <c r="AG45" s="16" t="str">
        <f t="shared" si="24"/>
        <v>{id:70020005}</v>
      </c>
    </row>
    <row r="46" spans="1:33" x14ac:dyDescent="0.15">
      <c r="A46" s="16">
        <v>7</v>
      </c>
      <c r="B46" s="16" t="s">
        <v>422</v>
      </c>
      <c r="H46" s="16">
        <v>70000106</v>
      </c>
      <c r="I46" s="16" t="str">
        <f t="shared" si="21"/>
        <v>{id:70020000},{id:70020001},{id:70020002}</v>
      </c>
      <c r="J46" s="16" t="s">
        <v>457</v>
      </c>
      <c r="K46" s="16" t="str">
        <f t="shared" si="20"/>
        <v>{id:70020000},{id:70020001},{id:70020002}</v>
      </c>
      <c r="P46" s="16" t="s">
        <v>481</v>
      </c>
      <c r="T46" s="24" t="s">
        <v>434</v>
      </c>
      <c r="U46" s="24">
        <v>70005003</v>
      </c>
      <c r="V46" s="24" t="str">
        <f>AE34&amp;","&amp;AF34&amp;","&amp;AG34</f>
        <v>{id:70020001},{id:70020002},{id:70020003}</v>
      </c>
      <c r="W46" s="24" t="s">
        <v>458</v>
      </c>
      <c r="X46" s="24" t="s">
        <v>201</v>
      </c>
      <c r="Y46" s="24">
        <f>VLOOKUP(X46,杂物包!$B:$C,2,FALSE)</f>
        <v>70020001</v>
      </c>
      <c r="Z46" s="24" t="s">
        <v>202</v>
      </c>
      <c r="AA46" s="24">
        <f>VLOOKUP(Z46,杂物包!$B:$C,2,FALSE)</f>
        <v>70020002</v>
      </c>
      <c r="AB46" s="24" t="s">
        <v>203</v>
      </c>
      <c r="AC46" s="24">
        <f>VLOOKUP(AB46,杂物包!$B:$C,2,FALSE)</f>
        <v>70020003</v>
      </c>
      <c r="AD46" s="24"/>
      <c r="AE46" s="16" t="str">
        <f t="shared" si="22"/>
        <v>{id:70020004}</v>
      </c>
      <c r="AF46" s="16" t="str">
        <f t="shared" si="23"/>
        <v>{id:70020005}</v>
      </c>
      <c r="AG46" s="16" t="str">
        <f t="shared" si="24"/>
        <v>{id:70020006}</v>
      </c>
    </row>
    <row r="47" spans="1:33" x14ac:dyDescent="0.15">
      <c r="A47" s="16">
        <v>8</v>
      </c>
      <c r="B47" s="16" t="s">
        <v>422</v>
      </c>
      <c r="H47" s="16">
        <v>70000107</v>
      </c>
      <c r="I47" s="16" t="str">
        <f t="shared" si="21"/>
        <v>{id:70020000},{id:70020001},{id:70020002}</v>
      </c>
      <c r="J47" s="16" t="s">
        <v>457</v>
      </c>
      <c r="K47" s="16" t="str">
        <f t="shared" si="20"/>
        <v>{id:70020000},{id:70020001},{id:70020002}</v>
      </c>
      <c r="P47" s="16" t="s">
        <v>481</v>
      </c>
      <c r="T47" s="24" t="s">
        <v>435</v>
      </c>
      <c r="U47" s="24">
        <v>70005004</v>
      </c>
      <c r="V47" s="24" t="str">
        <f>AE35&amp;","&amp;AF35</f>
        <v>{id:70020002},{id:70020003}</v>
      </c>
      <c r="W47" s="24" t="s">
        <v>458</v>
      </c>
      <c r="X47" s="24" t="s">
        <v>202</v>
      </c>
      <c r="Y47" s="24">
        <f>VLOOKUP(X47,杂物包!$B:$C,2,FALSE)</f>
        <v>70020002</v>
      </c>
      <c r="Z47" s="24" t="s">
        <v>203</v>
      </c>
      <c r="AA47" s="24">
        <f>VLOOKUP(Z47,杂物包!$B:$C,2,FALSE)</f>
        <v>70020003</v>
      </c>
      <c r="AB47" s="24"/>
      <c r="AC47" s="24"/>
      <c r="AD47" s="24"/>
      <c r="AE47" s="16" t="str">
        <f t="shared" si="22"/>
        <v>{id:70020005}</v>
      </c>
      <c r="AF47" s="16" t="str">
        <f t="shared" si="23"/>
        <v>{id:70020006}</v>
      </c>
      <c r="AG47" s="16" t="str">
        <f t="shared" si="24"/>
        <v>{id:70020007}</v>
      </c>
    </row>
    <row r="48" spans="1:33" x14ac:dyDescent="0.15">
      <c r="A48" s="16">
        <v>9</v>
      </c>
      <c r="B48" s="16" t="s">
        <v>422</v>
      </c>
      <c r="H48" s="16">
        <v>70000108</v>
      </c>
      <c r="I48" s="16" t="str">
        <f t="shared" si="21"/>
        <v>{id:70020000},{id:70020001},{id:70020002}</v>
      </c>
      <c r="J48" s="16" t="s">
        <v>457</v>
      </c>
      <c r="K48" s="16" t="str">
        <f t="shared" si="20"/>
        <v>{id:70020000},{id:70020001},{id:70020002}</v>
      </c>
      <c r="P48" s="16" t="s">
        <v>481</v>
      </c>
      <c r="T48" s="24" t="s">
        <v>436</v>
      </c>
      <c r="U48" s="24">
        <v>70005005</v>
      </c>
      <c r="V48" s="24" t="str">
        <f>AE36&amp;","&amp;AF36</f>
        <v>{id:70020003},{id:70020004}</v>
      </c>
      <c r="W48" s="24" t="s">
        <v>458</v>
      </c>
      <c r="X48" s="24" t="s">
        <v>203</v>
      </c>
      <c r="Y48" s="24">
        <f>VLOOKUP(X48,杂物包!$B:$C,2,FALSE)</f>
        <v>70020003</v>
      </c>
      <c r="Z48" s="24" t="s">
        <v>204</v>
      </c>
      <c r="AA48" s="24">
        <f>VLOOKUP(Z48,杂物包!$B:$C,2,FALSE)</f>
        <v>70020004</v>
      </c>
      <c r="AB48" s="24"/>
      <c r="AC48" s="24"/>
      <c r="AD48" s="24"/>
      <c r="AE48" s="16" t="str">
        <f t="shared" si="22"/>
        <v>{id:70020006}</v>
      </c>
      <c r="AF48" s="16" t="str">
        <f t="shared" si="23"/>
        <v>{id:70020007}</v>
      </c>
      <c r="AG48" s="16" t="str">
        <f t="shared" si="24"/>
        <v>{id:70020008}</v>
      </c>
    </row>
    <row r="49" spans="1:33" x14ac:dyDescent="0.15">
      <c r="A49" s="16">
        <v>10</v>
      </c>
      <c r="B49" s="16" t="s">
        <v>422</v>
      </c>
      <c r="H49" s="16">
        <v>70000109</v>
      </c>
      <c r="I49" s="16" t="str">
        <f t="shared" si="21"/>
        <v>{id:70020000},{id:70020001},{id:70020002}</v>
      </c>
      <c r="J49" s="16" t="s">
        <v>457</v>
      </c>
      <c r="K49" s="16" t="str">
        <f t="shared" si="20"/>
        <v>{id:70020000},{id:70020001},{id:70020002}</v>
      </c>
      <c r="P49" s="16" t="s">
        <v>481</v>
      </c>
      <c r="AE49" s="16" t="str">
        <f t="shared" si="22"/>
        <v>{id:70020007}</v>
      </c>
      <c r="AF49" s="16" t="str">
        <f t="shared" si="23"/>
        <v>{id:70020008}</v>
      </c>
      <c r="AG49" s="16" t="str">
        <f t="shared" si="24"/>
        <v>{id:70020009}</v>
      </c>
    </row>
    <row r="50" spans="1:33" x14ac:dyDescent="0.15">
      <c r="A50" s="16">
        <v>11</v>
      </c>
      <c r="B50" s="16" t="s">
        <v>423</v>
      </c>
      <c r="H50" s="16">
        <v>70000110</v>
      </c>
      <c r="I50" s="16" t="str">
        <f t="shared" si="21"/>
        <v>{id:70020001},{id:70020002},{id:70020003}</v>
      </c>
      <c r="J50" s="16" t="s">
        <v>457</v>
      </c>
      <c r="K50" s="16" t="str">
        <f t="shared" si="20"/>
        <v>{id:70020001},{id:70020002},{id:70020003}</v>
      </c>
      <c r="P50" s="16" t="s">
        <v>481</v>
      </c>
      <c r="T50" s="27" t="s">
        <v>456</v>
      </c>
      <c r="U50" s="27">
        <v>70006000</v>
      </c>
      <c r="V50" s="27" t="s">
        <v>592</v>
      </c>
      <c r="W50" s="27"/>
      <c r="X50" s="27"/>
      <c r="Y50" s="27"/>
      <c r="Z50" s="27"/>
      <c r="AA50" s="27"/>
      <c r="AB50" s="27"/>
      <c r="AC50" s="27"/>
      <c r="AD50" s="27"/>
      <c r="AE50" s="16" t="str">
        <f t="shared" si="22"/>
        <v>{id:70020008}</v>
      </c>
      <c r="AF50" s="16" t="str">
        <f t="shared" si="23"/>
        <v>{id:70020009}</v>
      </c>
      <c r="AG50" s="16" t="str">
        <f t="shared" si="24"/>
        <v>{id:70020010}</v>
      </c>
    </row>
    <row r="51" spans="1:33" x14ac:dyDescent="0.15">
      <c r="A51" s="16">
        <v>12</v>
      </c>
      <c r="B51" s="16" t="s">
        <v>423</v>
      </c>
      <c r="H51" s="16">
        <v>70000111</v>
      </c>
      <c r="I51" s="16" t="str">
        <f t="shared" si="21"/>
        <v>{id:70020001},{id:70020002},{id:70020003}</v>
      </c>
      <c r="J51" s="16" t="s">
        <v>457</v>
      </c>
      <c r="K51" s="16" t="str">
        <f t="shared" si="20"/>
        <v>{id:70020001},{id:70020002},{id:70020003}</v>
      </c>
      <c r="P51" s="16" t="s">
        <v>481</v>
      </c>
    </row>
    <row r="52" spans="1:33" x14ac:dyDescent="0.15">
      <c r="A52" s="16">
        <v>13</v>
      </c>
      <c r="B52" s="16" t="s">
        <v>423</v>
      </c>
      <c r="H52" s="16">
        <v>70000112</v>
      </c>
      <c r="I52" s="16" t="str">
        <f t="shared" si="21"/>
        <v>{id:70020001},{id:70020002},{id:70020003}</v>
      </c>
      <c r="J52" s="16" t="s">
        <v>457</v>
      </c>
      <c r="K52" s="16" t="str">
        <f t="shared" si="20"/>
        <v>{id:70020001},{id:70020002},{id:70020003}</v>
      </c>
      <c r="P52" s="16" t="s">
        <v>481</v>
      </c>
    </row>
    <row r="53" spans="1:33" x14ac:dyDescent="0.15">
      <c r="A53" s="16">
        <v>14</v>
      </c>
      <c r="B53" s="16" t="s">
        <v>423</v>
      </c>
      <c r="H53" s="16">
        <v>70000113</v>
      </c>
      <c r="I53" s="16" t="str">
        <f t="shared" si="21"/>
        <v>{id:70020001},{id:70020002},{id:70020003}</v>
      </c>
      <c r="J53" s="16" t="s">
        <v>457</v>
      </c>
      <c r="K53" s="16" t="str">
        <f t="shared" si="20"/>
        <v>{id:70020001},{id:70020002},{id:70020003}</v>
      </c>
      <c r="P53" s="16" t="s">
        <v>481</v>
      </c>
    </row>
    <row r="54" spans="1:33" x14ac:dyDescent="0.15">
      <c r="A54" s="16">
        <v>15</v>
      </c>
      <c r="B54" s="16" t="s">
        <v>423</v>
      </c>
      <c r="H54" s="16">
        <v>70000114</v>
      </c>
      <c r="I54" s="16" t="str">
        <f t="shared" si="21"/>
        <v>{id:70020001},{id:70020002},{id:70020003}</v>
      </c>
      <c r="J54" s="16" t="s">
        <v>457</v>
      </c>
      <c r="K54" s="16" t="str">
        <f t="shared" si="20"/>
        <v>{id:70020001},{id:70020002},{id:70020003}</v>
      </c>
      <c r="P54" s="16" t="s">
        <v>481</v>
      </c>
    </row>
    <row r="55" spans="1:33" x14ac:dyDescent="0.15">
      <c r="A55" s="16">
        <v>16</v>
      </c>
      <c r="B55" s="16" t="s">
        <v>424</v>
      </c>
      <c r="H55" s="16">
        <v>70000115</v>
      </c>
      <c r="I55" s="16" t="str">
        <f t="shared" si="21"/>
        <v>{id:70020002},{id:70020003},{id:70020004}</v>
      </c>
      <c r="J55" s="16" t="s">
        <v>457</v>
      </c>
      <c r="K55" s="16" t="str">
        <f t="shared" si="20"/>
        <v>{id:70020002},{id:70020003},{id:70020004}</v>
      </c>
      <c r="P55" s="16" t="s">
        <v>481</v>
      </c>
    </row>
    <row r="56" spans="1:33" x14ac:dyDescent="0.15">
      <c r="A56" s="16">
        <v>17</v>
      </c>
      <c r="B56" s="16" t="s">
        <v>424</v>
      </c>
      <c r="H56" s="16">
        <v>70000116</v>
      </c>
      <c r="I56" s="16" t="str">
        <f t="shared" si="21"/>
        <v>{id:70020002},{id:70020003},{id:70020004}</v>
      </c>
      <c r="J56" s="16" t="s">
        <v>457</v>
      </c>
      <c r="K56" s="16" t="str">
        <f t="shared" si="20"/>
        <v>{id:70020002},{id:70020003},{id:70020004}</v>
      </c>
      <c r="P56" s="16" t="s">
        <v>481</v>
      </c>
    </row>
    <row r="57" spans="1:33" x14ac:dyDescent="0.15">
      <c r="A57" s="16">
        <v>18</v>
      </c>
      <c r="B57" s="16" t="s">
        <v>424</v>
      </c>
      <c r="H57" s="16">
        <v>70000117</v>
      </c>
      <c r="I57" s="16" t="str">
        <f t="shared" si="21"/>
        <v>{id:70020002},{id:70020003},{id:70020004}</v>
      </c>
      <c r="J57" s="16" t="s">
        <v>457</v>
      </c>
      <c r="K57" s="16" t="str">
        <f t="shared" si="20"/>
        <v>{id:70020002},{id:70020003},{id:70020004}</v>
      </c>
      <c r="P57" s="16" t="s">
        <v>481</v>
      </c>
    </row>
    <row r="58" spans="1:33" x14ac:dyDescent="0.15">
      <c r="A58" s="16">
        <v>19</v>
      </c>
      <c r="B58" s="16" t="s">
        <v>424</v>
      </c>
      <c r="H58" s="16">
        <v>70000118</v>
      </c>
      <c r="I58" s="16" t="str">
        <f t="shared" si="21"/>
        <v>{id:70020002},{id:70020003},{id:70020004}</v>
      </c>
      <c r="J58" s="16" t="s">
        <v>457</v>
      </c>
      <c r="K58" s="16" t="str">
        <f t="shared" si="20"/>
        <v>{id:70020002},{id:70020003},{id:70020004}</v>
      </c>
      <c r="P58" s="16" t="s">
        <v>481</v>
      </c>
    </row>
    <row r="59" spans="1:33" x14ac:dyDescent="0.15">
      <c r="A59" s="16">
        <v>20</v>
      </c>
      <c r="B59" s="16" t="s">
        <v>424</v>
      </c>
      <c r="H59" s="16">
        <v>70000119</v>
      </c>
      <c r="I59" s="16" t="str">
        <f t="shared" si="21"/>
        <v>{id:70020002},{id:70020003},{id:70020004}</v>
      </c>
      <c r="J59" s="16" t="s">
        <v>457</v>
      </c>
      <c r="K59" s="16" t="str">
        <f t="shared" si="20"/>
        <v>{id:70020002},{id:70020003},{id:70020004}</v>
      </c>
      <c r="P59" s="16" t="s">
        <v>481</v>
      </c>
    </row>
    <row r="60" spans="1:33" x14ac:dyDescent="0.15">
      <c r="A60" s="16">
        <v>21</v>
      </c>
      <c r="B60" s="16" t="s">
        <v>425</v>
      </c>
      <c r="H60" s="16">
        <v>70000120</v>
      </c>
      <c r="I60" s="16" t="str">
        <f t="shared" si="21"/>
        <v>{id:70020003},{id:70020004},{id:70020005}</v>
      </c>
      <c r="J60" s="16" t="s">
        <v>457</v>
      </c>
      <c r="K60" s="16" t="str">
        <f t="shared" si="20"/>
        <v>{id:70020003},{id:70020004},{id:70020005}</v>
      </c>
      <c r="P60" s="16" t="s">
        <v>481</v>
      </c>
    </row>
    <row r="61" spans="1:33" x14ac:dyDescent="0.15">
      <c r="A61" s="16">
        <v>22</v>
      </c>
      <c r="B61" s="16" t="s">
        <v>425</v>
      </c>
      <c r="H61" s="16">
        <v>70000121</v>
      </c>
      <c r="I61" s="16" t="str">
        <f t="shared" si="21"/>
        <v>{id:70020003},{id:70020004},{id:70020005}</v>
      </c>
      <c r="J61" s="16" t="s">
        <v>457</v>
      </c>
      <c r="K61" s="16" t="str">
        <f t="shared" si="20"/>
        <v>{id:70020003},{id:70020004},{id:70020005}</v>
      </c>
      <c r="P61" s="16" t="s">
        <v>481</v>
      </c>
    </row>
    <row r="62" spans="1:33" x14ac:dyDescent="0.15">
      <c r="A62" s="16">
        <v>23</v>
      </c>
      <c r="B62" s="16" t="s">
        <v>425</v>
      </c>
      <c r="H62" s="16">
        <v>70000122</v>
      </c>
      <c r="I62" s="16" t="str">
        <f t="shared" si="21"/>
        <v>{id:70020003},{id:70020004},{id:70020005}</v>
      </c>
      <c r="J62" s="16" t="s">
        <v>457</v>
      </c>
      <c r="K62" s="16" t="str">
        <f t="shared" si="20"/>
        <v>{id:70020003},{id:70020004},{id:70020005}</v>
      </c>
      <c r="P62" s="16" t="s">
        <v>481</v>
      </c>
    </row>
    <row r="63" spans="1:33" x14ac:dyDescent="0.15">
      <c r="A63" s="16">
        <v>24</v>
      </c>
      <c r="B63" s="16" t="s">
        <v>425</v>
      </c>
      <c r="H63" s="16">
        <v>70000123</v>
      </c>
      <c r="I63" s="16" t="str">
        <f t="shared" si="21"/>
        <v>{id:70020003},{id:70020004},{id:70020005}</v>
      </c>
      <c r="J63" s="16" t="s">
        <v>457</v>
      </c>
      <c r="K63" s="16" t="str">
        <f t="shared" si="20"/>
        <v>{id:70020003},{id:70020004},{id:70020005}</v>
      </c>
      <c r="P63" s="16" t="s">
        <v>481</v>
      </c>
    </row>
    <row r="64" spans="1:33" x14ac:dyDescent="0.15">
      <c r="A64" s="16">
        <v>25</v>
      </c>
      <c r="B64" s="16" t="s">
        <v>425</v>
      </c>
      <c r="H64" s="16">
        <v>70000124</v>
      </c>
      <c r="I64" s="16" t="str">
        <f t="shared" si="21"/>
        <v>{id:70020003},{id:70020004},{id:70020005}</v>
      </c>
      <c r="J64" s="16" t="s">
        <v>457</v>
      </c>
      <c r="K64" s="16" t="str">
        <f t="shared" si="20"/>
        <v>{id:70020003},{id:70020004},{id:70020005}</v>
      </c>
      <c r="P64" s="16" t="s">
        <v>481</v>
      </c>
    </row>
    <row r="65" spans="1:16" x14ac:dyDescent="0.15">
      <c r="A65" s="16">
        <v>26</v>
      </c>
      <c r="B65" s="16" t="s">
        <v>426</v>
      </c>
      <c r="H65" s="16">
        <v>70000125</v>
      </c>
      <c r="I65" s="16" t="str">
        <f t="shared" si="21"/>
        <v>{id:70020004},{id:70020005},{id:70020006}</v>
      </c>
      <c r="J65" s="16" t="s">
        <v>457</v>
      </c>
      <c r="K65" s="16" t="str">
        <f t="shared" si="20"/>
        <v>{id:70020004},{id:70020005},{id:70020006}</v>
      </c>
      <c r="P65" s="16" t="s">
        <v>481</v>
      </c>
    </row>
    <row r="66" spans="1:16" x14ac:dyDescent="0.15">
      <c r="A66" s="16">
        <v>27</v>
      </c>
      <c r="B66" s="16" t="s">
        <v>426</v>
      </c>
      <c r="H66" s="16">
        <v>70000126</v>
      </c>
      <c r="I66" s="16" t="str">
        <f t="shared" si="21"/>
        <v>{id:70020004},{id:70020005},{id:70020006}</v>
      </c>
      <c r="J66" s="16" t="s">
        <v>457</v>
      </c>
      <c r="K66" s="16" t="str">
        <f t="shared" si="20"/>
        <v>{id:70020004},{id:70020005},{id:70020006}</v>
      </c>
      <c r="P66" s="16" t="s">
        <v>481</v>
      </c>
    </row>
    <row r="67" spans="1:16" x14ac:dyDescent="0.15">
      <c r="A67" s="16">
        <v>28</v>
      </c>
      <c r="B67" s="16" t="s">
        <v>426</v>
      </c>
      <c r="H67" s="16">
        <v>70000127</v>
      </c>
      <c r="I67" s="16" t="str">
        <f t="shared" si="21"/>
        <v>{id:70020004},{id:70020005},{id:70020006}</v>
      </c>
      <c r="J67" s="16" t="s">
        <v>457</v>
      </c>
      <c r="K67" s="16" t="str">
        <f t="shared" si="20"/>
        <v>{id:70020004},{id:70020005},{id:70020006}</v>
      </c>
      <c r="P67" s="16" t="s">
        <v>481</v>
      </c>
    </row>
    <row r="68" spans="1:16" x14ac:dyDescent="0.15">
      <c r="A68" s="16">
        <v>29</v>
      </c>
      <c r="B68" s="16" t="s">
        <v>426</v>
      </c>
      <c r="H68" s="16">
        <v>70000128</v>
      </c>
      <c r="I68" s="16" t="str">
        <f t="shared" si="21"/>
        <v>{id:70020004},{id:70020005},{id:70020006}</v>
      </c>
      <c r="J68" s="16" t="s">
        <v>457</v>
      </c>
      <c r="K68" s="16" t="str">
        <f t="shared" si="20"/>
        <v>{id:70020004},{id:70020005},{id:70020006}</v>
      </c>
      <c r="P68" s="16" t="s">
        <v>481</v>
      </c>
    </row>
    <row r="69" spans="1:16" x14ac:dyDescent="0.15">
      <c r="A69" s="16">
        <v>30</v>
      </c>
      <c r="B69" s="16" t="s">
        <v>426</v>
      </c>
      <c r="H69" s="16">
        <v>70000129</v>
      </c>
      <c r="I69" s="16" t="str">
        <f t="shared" si="21"/>
        <v>{id:70020004},{id:70020005},{id:70020006}</v>
      </c>
      <c r="J69" s="16" t="s">
        <v>457</v>
      </c>
      <c r="K69" s="16" t="str">
        <f t="shared" si="20"/>
        <v>{id:70020004},{id:70020005},{id:70020006}</v>
      </c>
      <c r="P69" s="16" t="s">
        <v>481</v>
      </c>
    </row>
    <row r="70" spans="1:16" x14ac:dyDescent="0.15">
      <c r="A70" s="16">
        <v>31</v>
      </c>
      <c r="B70" s="16" t="s">
        <v>427</v>
      </c>
      <c r="H70" s="16">
        <v>70000130</v>
      </c>
      <c r="I70" s="16" t="str">
        <f t="shared" si="21"/>
        <v>{id:70020005},{id:70020006},{id:70020007}</v>
      </c>
      <c r="J70" s="16" t="s">
        <v>457</v>
      </c>
      <c r="K70" s="16" t="str">
        <f t="shared" si="20"/>
        <v>{id:70020005},{id:70020006},{id:70020007}</v>
      </c>
      <c r="P70" s="16" t="s">
        <v>481</v>
      </c>
    </row>
    <row r="71" spans="1:16" x14ac:dyDescent="0.15">
      <c r="A71" s="16">
        <v>32</v>
      </c>
      <c r="B71" s="16" t="s">
        <v>427</v>
      </c>
      <c r="H71" s="16">
        <v>70000131</v>
      </c>
      <c r="I71" s="16" t="str">
        <f t="shared" si="21"/>
        <v>{id:70020005},{id:70020006},{id:70020007}</v>
      </c>
      <c r="J71" s="16" t="s">
        <v>457</v>
      </c>
      <c r="K71" s="16" t="str">
        <f t="shared" si="20"/>
        <v>{id:70020005},{id:70020006},{id:70020007}</v>
      </c>
      <c r="P71" s="16" t="s">
        <v>481</v>
      </c>
    </row>
    <row r="72" spans="1:16" x14ac:dyDescent="0.15">
      <c r="A72" s="16">
        <v>33</v>
      </c>
      <c r="B72" s="16" t="s">
        <v>427</v>
      </c>
      <c r="H72" s="16">
        <v>70000132</v>
      </c>
      <c r="I72" s="16" t="str">
        <f t="shared" si="21"/>
        <v>{id:70020005},{id:70020006},{id:70020007}</v>
      </c>
      <c r="J72" s="16" t="s">
        <v>457</v>
      </c>
      <c r="K72" s="16" t="str">
        <f t="shared" ref="K72:K89" si="25">VLOOKUP(B72,$T$15:$V$24,3,FALSE)</f>
        <v>{id:70020005},{id:70020006},{id:70020007}</v>
      </c>
      <c r="P72" s="16" t="s">
        <v>481</v>
      </c>
    </row>
    <row r="73" spans="1:16" x14ac:dyDescent="0.15">
      <c r="A73" s="16">
        <v>34</v>
      </c>
      <c r="B73" s="16" t="s">
        <v>427</v>
      </c>
      <c r="H73" s="16">
        <v>70000133</v>
      </c>
      <c r="I73" s="16" t="str">
        <f t="shared" si="21"/>
        <v>{id:70020005},{id:70020006},{id:70020007}</v>
      </c>
      <c r="J73" s="16" t="s">
        <v>457</v>
      </c>
      <c r="K73" s="16" t="str">
        <f t="shared" si="25"/>
        <v>{id:70020005},{id:70020006},{id:70020007}</v>
      </c>
      <c r="P73" s="16" t="s">
        <v>481</v>
      </c>
    </row>
    <row r="74" spans="1:16" x14ac:dyDescent="0.15">
      <c r="A74" s="16">
        <v>35</v>
      </c>
      <c r="B74" s="16" t="s">
        <v>427</v>
      </c>
      <c r="H74" s="16">
        <v>70000134</v>
      </c>
      <c r="I74" s="16" t="str">
        <f t="shared" si="21"/>
        <v>{id:70020005},{id:70020006},{id:70020007}</v>
      </c>
      <c r="J74" s="16" t="s">
        <v>457</v>
      </c>
      <c r="K74" s="16" t="str">
        <f t="shared" si="25"/>
        <v>{id:70020005},{id:70020006},{id:70020007}</v>
      </c>
      <c r="P74" s="16" t="s">
        <v>481</v>
      </c>
    </row>
    <row r="75" spans="1:16" x14ac:dyDescent="0.15">
      <c r="A75" s="16">
        <v>36</v>
      </c>
      <c r="B75" s="16" t="s">
        <v>428</v>
      </c>
      <c r="H75" s="16">
        <v>70000135</v>
      </c>
      <c r="I75" s="16" t="str">
        <f t="shared" si="21"/>
        <v>{id:70020006},{id:70020007},{id:70020008}</v>
      </c>
      <c r="J75" s="16" t="s">
        <v>457</v>
      </c>
      <c r="K75" s="16" t="str">
        <f t="shared" si="25"/>
        <v>{id:70020006},{id:70020007},{id:70020008}</v>
      </c>
      <c r="P75" s="16" t="s">
        <v>481</v>
      </c>
    </row>
    <row r="76" spans="1:16" x14ac:dyDescent="0.15">
      <c r="A76" s="16">
        <v>37</v>
      </c>
      <c r="B76" s="16" t="s">
        <v>428</v>
      </c>
      <c r="H76" s="16">
        <v>70000136</v>
      </c>
      <c r="I76" s="16" t="str">
        <f t="shared" si="21"/>
        <v>{id:70020006},{id:70020007},{id:70020008}</v>
      </c>
      <c r="J76" s="16" t="s">
        <v>457</v>
      </c>
      <c r="K76" s="16" t="str">
        <f t="shared" si="25"/>
        <v>{id:70020006},{id:70020007},{id:70020008}</v>
      </c>
      <c r="P76" s="16" t="s">
        <v>481</v>
      </c>
    </row>
    <row r="77" spans="1:16" x14ac:dyDescent="0.15">
      <c r="A77" s="16">
        <v>38</v>
      </c>
      <c r="B77" s="16" t="s">
        <v>428</v>
      </c>
      <c r="H77" s="16">
        <v>70000137</v>
      </c>
      <c r="I77" s="16" t="str">
        <f t="shared" si="21"/>
        <v>{id:70020006},{id:70020007},{id:70020008}</v>
      </c>
      <c r="J77" s="16" t="s">
        <v>457</v>
      </c>
      <c r="K77" s="16" t="str">
        <f t="shared" si="25"/>
        <v>{id:70020006},{id:70020007},{id:70020008}</v>
      </c>
      <c r="P77" s="16" t="s">
        <v>481</v>
      </c>
    </row>
    <row r="78" spans="1:16" x14ac:dyDescent="0.15">
      <c r="A78" s="16">
        <v>39</v>
      </c>
      <c r="B78" s="16" t="s">
        <v>428</v>
      </c>
      <c r="H78" s="16">
        <v>70000138</v>
      </c>
      <c r="I78" s="16" t="str">
        <f t="shared" si="21"/>
        <v>{id:70020006},{id:70020007},{id:70020008}</v>
      </c>
      <c r="J78" s="16" t="s">
        <v>457</v>
      </c>
      <c r="K78" s="16" t="str">
        <f t="shared" si="25"/>
        <v>{id:70020006},{id:70020007},{id:70020008}</v>
      </c>
      <c r="P78" s="16" t="s">
        <v>481</v>
      </c>
    </row>
    <row r="79" spans="1:16" x14ac:dyDescent="0.15">
      <c r="A79" s="16">
        <v>40</v>
      </c>
      <c r="B79" s="16" t="s">
        <v>428</v>
      </c>
      <c r="H79" s="16">
        <v>70000139</v>
      </c>
      <c r="I79" s="16" t="str">
        <f t="shared" si="21"/>
        <v>{id:70020006},{id:70020007},{id:70020008}</v>
      </c>
      <c r="J79" s="16" t="s">
        <v>457</v>
      </c>
      <c r="K79" s="16" t="str">
        <f t="shared" si="25"/>
        <v>{id:70020006},{id:70020007},{id:70020008}</v>
      </c>
      <c r="P79" s="16" t="s">
        <v>481</v>
      </c>
    </row>
    <row r="80" spans="1:16" x14ac:dyDescent="0.15">
      <c r="A80" s="16">
        <v>41</v>
      </c>
      <c r="B80" s="16" t="s">
        <v>429</v>
      </c>
      <c r="H80" s="16">
        <v>70000140</v>
      </c>
      <c r="I80" s="16" t="str">
        <f t="shared" si="21"/>
        <v>{id:70020007},{id:70020008},{id:70020009}</v>
      </c>
      <c r="J80" s="16" t="s">
        <v>457</v>
      </c>
      <c r="K80" s="16" t="str">
        <f t="shared" si="25"/>
        <v>{id:70020007},{id:70020008},{id:70020009}</v>
      </c>
      <c r="P80" s="16" t="s">
        <v>481</v>
      </c>
    </row>
    <row r="81" spans="1:16" x14ac:dyDescent="0.15">
      <c r="A81" s="16">
        <v>42</v>
      </c>
      <c r="B81" s="16" t="s">
        <v>429</v>
      </c>
      <c r="H81" s="16">
        <v>70000141</v>
      </c>
      <c r="I81" s="16" t="str">
        <f t="shared" si="21"/>
        <v>{id:70020007},{id:70020008},{id:70020009}</v>
      </c>
      <c r="J81" s="16" t="s">
        <v>457</v>
      </c>
      <c r="K81" s="16" t="str">
        <f t="shared" si="25"/>
        <v>{id:70020007},{id:70020008},{id:70020009}</v>
      </c>
      <c r="P81" s="16" t="s">
        <v>481</v>
      </c>
    </row>
    <row r="82" spans="1:16" x14ac:dyDescent="0.15">
      <c r="A82" s="16">
        <v>43</v>
      </c>
      <c r="B82" s="16" t="s">
        <v>429</v>
      </c>
      <c r="H82" s="16">
        <v>70000142</v>
      </c>
      <c r="I82" s="16" t="str">
        <f t="shared" si="21"/>
        <v>{id:70020007},{id:70020008},{id:70020009}</v>
      </c>
      <c r="J82" s="16" t="s">
        <v>457</v>
      </c>
      <c r="K82" s="16" t="str">
        <f t="shared" si="25"/>
        <v>{id:70020007},{id:70020008},{id:70020009}</v>
      </c>
      <c r="P82" s="16" t="s">
        <v>481</v>
      </c>
    </row>
    <row r="83" spans="1:16" x14ac:dyDescent="0.15">
      <c r="A83" s="16">
        <v>44</v>
      </c>
      <c r="B83" s="16" t="s">
        <v>429</v>
      </c>
      <c r="H83" s="16">
        <v>70000143</v>
      </c>
      <c r="I83" s="16" t="str">
        <f t="shared" si="21"/>
        <v>{id:70020007},{id:70020008},{id:70020009}</v>
      </c>
      <c r="J83" s="16" t="s">
        <v>457</v>
      </c>
      <c r="K83" s="16" t="str">
        <f t="shared" si="25"/>
        <v>{id:70020007},{id:70020008},{id:70020009}</v>
      </c>
      <c r="P83" s="16" t="s">
        <v>481</v>
      </c>
    </row>
    <row r="84" spans="1:16" x14ac:dyDescent="0.15">
      <c r="A84" s="16">
        <v>45</v>
      </c>
      <c r="B84" s="16" t="s">
        <v>429</v>
      </c>
      <c r="H84" s="16">
        <v>70000144</v>
      </c>
      <c r="I84" s="16" t="str">
        <f t="shared" si="21"/>
        <v>{id:70020007},{id:70020008},{id:70020009}</v>
      </c>
      <c r="J84" s="16" t="s">
        <v>457</v>
      </c>
      <c r="K84" s="16" t="str">
        <f t="shared" si="25"/>
        <v>{id:70020007},{id:70020008},{id:70020009}</v>
      </c>
      <c r="P84" s="16" t="s">
        <v>481</v>
      </c>
    </row>
    <row r="85" spans="1:16" x14ac:dyDescent="0.15">
      <c r="A85" s="16">
        <v>46</v>
      </c>
      <c r="B85" s="16" t="s">
        <v>430</v>
      </c>
      <c r="H85" s="16">
        <v>70000145</v>
      </c>
      <c r="I85" s="16" t="str">
        <f t="shared" si="21"/>
        <v>{id:70020008},{id:70020009},{id:70020010}</v>
      </c>
      <c r="J85" s="16" t="s">
        <v>457</v>
      </c>
      <c r="K85" s="16" t="str">
        <f t="shared" si="25"/>
        <v>{id:70020008},{id:70020009},{id:70020010}</v>
      </c>
      <c r="P85" s="16" t="s">
        <v>481</v>
      </c>
    </row>
    <row r="86" spans="1:16" x14ac:dyDescent="0.15">
      <c r="A86" s="16">
        <v>47</v>
      </c>
      <c r="B86" s="16" t="s">
        <v>430</v>
      </c>
      <c r="H86" s="16">
        <v>70000146</v>
      </c>
      <c r="I86" s="16" t="str">
        <f t="shared" si="21"/>
        <v>{id:70020008},{id:70020009},{id:70020010}</v>
      </c>
      <c r="J86" s="16" t="s">
        <v>457</v>
      </c>
      <c r="K86" s="16" t="str">
        <f t="shared" si="25"/>
        <v>{id:70020008},{id:70020009},{id:70020010}</v>
      </c>
      <c r="P86" s="16" t="s">
        <v>481</v>
      </c>
    </row>
    <row r="87" spans="1:16" x14ac:dyDescent="0.15">
      <c r="A87" s="16">
        <v>48</v>
      </c>
      <c r="B87" s="16" t="s">
        <v>430</v>
      </c>
      <c r="H87" s="16">
        <v>70000147</v>
      </c>
      <c r="I87" s="16" t="str">
        <f t="shared" si="21"/>
        <v>{id:70020008},{id:70020009},{id:70020010}</v>
      </c>
      <c r="J87" s="16" t="s">
        <v>457</v>
      </c>
      <c r="K87" s="16" t="str">
        <f t="shared" si="25"/>
        <v>{id:70020008},{id:70020009},{id:70020010}</v>
      </c>
      <c r="P87" s="16" t="s">
        <v>481</v>
      </c>
    </row>
    <row r="88" spans="1:16" x14ac:dyDescent="0.15">
      <c r="A88" s="16">
        <v>49</v>
      </c>
      <c r="B88" s="16" t="s">
        <v>430</v>
      </c>
      <c r="H88" s="16">
        <v>70000148</v>
      </c>
      <c r="I88" s="16" t="str">
        <f t="shared" si="21"/>
        <v>{id:70020008},{id:70020009},{id:70020010}</v>
      </c>
      <c r="J88" s="16" t="s">
        <v>457</v>
      </c>
      <c r="K88" s="16" t="str">
        <f t="shared" si="25"/>
        <v>{id:70020008},{id:70020009},{id:70020010}</v>
      </c>
      <c r="P88" s="16" t="s">
        <v>481</v>
      </c>
    </row>
    <row r="89" spans="1:16" x14ac:dyDescent="0.15">
      <c r="A89" s="16">
        <v>50</v>
      </c>
      <c r="B89" s="16" t="s">
        <v>430</v>
      </c>
      <c r="H89" s="16">
        <v>70000149</v>
      </c>
      <c r="I89" s="16" t="str">
        <f t="shared" si="21"/>
        <v>{id:70020008},{id:70020009},{id:70020010}</v>
      </c>
      <c r="J89" s="16" t="s">
        <v>457</v>
      </c>
      <c r="K89" s="16" t="str">
        <f t="shared" si="25"/>
        <v>{id:70020008},{id:70020009},{id:70020010}</v>
      </c>
      <c r="P89" s="16" t="s">
        <v>481</v>
      </c>
    </row>
    <row r="91" spans="1:16" x14ac:dyDescent="0.15">
      <c r="A91" s="36" t="s">
        <v>475</v>
      </c>
      <c r="B91" s="36"/>
      <c r="C91" s="36"/>
      <c r="D91" s="36"/>
      <c r="E91" s="36"/>
      <c r="F91" s="36"/>
    </row>
    <row r="92" spans="1:16" x14ac:dyDescent="0.15">
      <c r="A92" s="28" t="s">
        <v>468</v>
      </c>
      <c r="B92" s="28" t="s">
        <v>470</v>
      </c>
      <c r="C92" s="28" t="s">
        <v>471</v>
      </c>
      <c r="D92" s="28" t="s">
        <v>472</v>
      </c>
      <c r="E92" s="28" t="s">
        <v>473</v>
      </c>
      <c r="F92" s="28"/>
      <c r="H92" s="16" t="s">
        <v>479</v>
      </c>
      <c r="I92" s="16" t="s">
        <v>480</v>
      </c>
      <c r="K92" s="28" t="s">
        <v>470</v>
      </c>
      <c r="L92" s="28" t="s">
        <v>471</v>
      </c>
      <c r="M92" s="28" t="s">
        <v>472</v>
      </c>
      <c r="N92" s="28" t="s">
        <v>473</v>
      </c>
      <c r="O92" s="28"/>
      <c r="P92" s="28"/>
    </row>
    <row r="93" spans="1:16" x14ac:dyDescent="0.15">
      <c r="A93" s="16">
        <v>1</v>
      </c>
      <c r="B93" s="16" t="s">
        <v>431</v>
      </c>
      <c r="C93" s="16" t="s">
        <v>431</v>
      </c>
      <c r="D93" s="16" t="s">
        <v>431</v>
      </c>
      <c r="E93" s="16" t="s">
        <v>419</v>
      </c>
      <c r="H93" s="16">
        <v>70000200</v>
      </c>
      <c r="I93" s="16" t="str">
        <f>K93&amp;","&amp;L93&amp;","&amp;M93&amp;","&amp;N93</f>
        <v>{id:70003000},{id:70005000},{id:70004000},{id:70006000}</v>
      </c>
      <c r="J93" s="16" t="s">
        <v>457</v>
      </c>
      <c r="K93" s="16" t="str">
        <f t="shared" ref="K93:K124" si="26">"{id:"&amp;VLOOKUP(B93,$T$27:$U$32,2,FALSE)&amp;"}"</f>
        <v>{id:70003000}</v>
      </c>
      <c r="L93" s="16" t="str">
        <f t="shared" ref="L93:L124" si="27">"{id:"&amp;VLOOKUP(C93,$T$43:$U$48,2,FALSE)&amp;"}"</f>
        <v>{id:70005000}</v>
      </c>
      <c r="M93" s="16" t="str">
        <f t="shared" ref="M93:M124" si="28">"{id:"&amp;VLOOKUP(D93,$T$35:$U$40,2,FALSE)&amp;"}"</f>
        <v>{id:70004000}</v>
      </c>
      <c r="N93" s="16" t="str">
        <f t="shared" ref="N93:N124" si="29">"{id:"&amp;VLOOKUP(E93,$T$50:$U$50,2,FALSE)&amp;"}"</f>
        <v>{id:70006000}</v>
      </c>
    </row>
    <row r="94" spans="1:16" x14ac:dyDescent="0.15">
      <c r="A94" s="16">
        <v>2</v>
      </c>
      <c r="B94" s="16" t="s">
        <v>431</v>
      </c>
      <c r="C94" s="16" t="s">
        <v>431</v>
      </c>
      <c r="D94" s="16" t="s">
        <v>431</v>
      </c>
      <c r="E94" s="16" t="s">
        <v>419</v>
      </c>
      <c r="H94" s="16">
        <v>70000201</v>
      </c>
      <c r="I94" s="16" t="str">
        <f t="shared" ref="I94:I142" si="30">K94&amp;","&amp;L94&amp;","&amp;M94&amp;","&amp;N94</f>
        <v>{id:70003000},{id:70005000},{id:70004000},{id:70006000}</v>
      </c>
      <c r="J94" s="16" t="s">
        <v>457</v>
      </c>
      <c r="K94" s="16" t="str">
        <f t="shared" si="26"/>
        <v>{id:70003000}</v>
      </c>
      <c r="L94" s="16" t="str">
        <f t="shared" si="27"/>
        <v>{id:70005000}</v>
      </c>
      <c r="M94" s="16" t="str">
        <f t="shared" si="28"/>
        <v>{id:70004000}</v>
      </c>
      <c r="N94" s="16" t="str">
        <f t="shared" si="29"/>
        <v>{id:70006000}</v>
      </c>
    </row>
    <row r="95" spans="1:16" x14ac:dyDescent="0.15">
      <c r="A95" s="16">
        <v>3</v>
      </c>
      <c r="B95" s="16" t="s">
        <v>431</v>
      </c>
      <c r="C95" s="16" t="s">
        <v>431</v>
      </c>
      <c r="D95" s="16" t="s">
        <v>431</v>
      </c>
      <c r="E95" s="16" t="s">
        <v>419</v>
      </c>
      <c r="H95" s="16">
        <v>70000202</v>
      </c>
      <c r="I95" s="16" t="str">
        <f t="shared" si="30"/>
        <v>{id:70003000},{id:70005000},{id:70004000},{id:70006000}</v>
      </c>
      <c r="J95" s="16" t="s">
        <v>457</v>
      </c>
      <c r="K95" s="16" t="str">
        <f t="shared" si="26"/>
        <v>{id:70003000}</v>
      </c>
      <c r="L95" s="16" t="str">
        <f t="shared" si="27"/>
        <v>{id:70005000}</v>
      </c>
      <c r="M95" s="16" t="str">
        <f t="shared" si="28"/>
        <v>{id:70004000}</v>
      </c>
      <c r="N95" s="16" t="str">
        <f t="shared" si="29"/>
        <v>{id:70006000}</v>
      </c>
    </row>
    <row r="96" spans="1:16" x14ac:dyDescent="0.15">
      <c r="A96" s="16">
        <v>4</v>
      </c>
      <c r="B96" s="16" t="s">
        <v>431</v>
      </c>
      <c r="C96" s="16" t="s">
        <v>431</v>
      </c>
      <c r="D96" s="16" t="s">
        <v>431</v>
      </c>
      <c r="E96" s="16" t="s">
        <v>419</v>
      </c>
      <c r="H96" s="16">
        <v>70000203</v>
      </c>
      <c r="I96" s="16" t="str">
        <f t="shared" si="30"/>
        <v>{id:70003000},{id:70005000},{id:70004000},{id:70006000}</v>
      </c>
      <c r="J96" s="16" t="s">
        <v>457</v>
      </c>
      <c r="K96" s="16" t="str">
        <f t="shared" si="26"/>
        <v>{id:70003000}</v>
      </c>
      <c r="L96" s="16" t="str">
        <f t="shared" si="27"/>
        <v>{id:70005000}</v>
      </c>
      <c r="M96" s="16" t="str">
        <f t="shared" si="28"/>
        <v>{id:70004000}</v>
      </c>
      <c r="N96" s="16" t="str">
        <f t="shared" si="29"/>
        <v>{id:70006000}</v>
      </c>
    </row>
    <row r="97" spans="1:14" x14ac:dyDescent="0.15">
      <c r="A97" s="16">
        <v>5</v>
      </c>
      <c r="B97" s="16" t="s">
        <v>431</v>
      </c>
      <c r="C97" s="16" t="s">
        <v>431</v>
      </c>
      <c r="D97" s="16" t="s">
        <v>431</v>
      </c>
      <c r="E97" s="16" t="s">
        <v>419</v>
      </c>
      <c r="H97" s="16">
        <v>70000204</v>
      </c>
      <c r="I97" s="16" t="str">
        <f t="shared" si="30"/>
        <v>{id:70003000},{id:70005000},{id:70004000},{id:70006000}</v>
      </c>
      <c r="J97" s="16" t="s">
        <v>457</v>
      </c>
      <c r="K97" s="16" t="str">
        <f t="shared" si="26"/>
        <v>{id:70003000}</v>
      </c>
      <c r="L97" s="16" t="str">
        <f t="shared" si="27"/>
        <v>{id:70005000}</v>
      </c>
      <c r="M97" s="16" t="str">
        <f t="shared" si="28"/>
        <v>{id:70004000}</v>
      </c>
      <c r="N97" s="16" t="str">
        <f t="shared" si="29"/>
        <v>{id:70006000}</v>
      </c>
    </row>
    <row r="98" spans="1:14" x14ac:dyDescent="0.15">
      <c r="A98" s="16">
        <v>6</v>
      </c>
      <c r="B98" s="16" t="s">
        <v>431</v>
      </c>
      <c r="C98" s="16" t="s">
        <v>431</v>
      </c>
      <c r="D98" s="16" t="s">
        <v>431</v>
      </c>
      <c r="E98" s="16" t="s">
        <v>419</v>
      </c>
      <c r="H98" s="16">
        <v>70000205</v>
      </c>
      <c r="I98" s="16" t="str">
        <f t="shared" si="30"/>
        <v>{id:70003000},{id:70005000},{id:70004000},{id:70006000}</v>
      </c>
      <c r="J98" s="16" t="s">
        <v>457</v>
      </c>
      <c r="K98" s="16" t="str">
        <f t="shared" si="26"/>
        <v>{id:70003000}</v>
      </c>
      <c r="L98" s="16" t="str">
        <f t="shared" si="27"/>
        <v>{id:70005000}</v>
      </c>
      <c r="M98" s="16" t="str">
        <f t="shared" si="28"/>
        <v>{id:70004000}</v>
      </c>
      <c r="N98" s="16" t="str">
        <f t="shared" si="29"/>
        <v>{id:70006000}</v>
      </c>
    </row>
    <row r="99" spans="1:14" x14ac:dyDescent="0.15">
      <c r="A99" s="16">
        <v>7</v>
      </c>
      <c r="B99" s="16" t="s">
        <v>431</v>
      </c>
      <c r="C99" s="16" t="s">
        <v>431</v>
      </c>
      <c r="D99" s="16" t="s">
        <v>431</v>
      </c>
      <c r="E99" s="16" t="s">
        <v>419</v>
      </c>
      <c r="H99" s="16">
        <v>70000206</v>
      </c>
      <c r="I99" s="16" t="str">
        <f t="shared" si="30"/>
        <v>{id:70003000},{id:70005000},{id:70004000},{id:70006000}</v>
      </c>
      <c r="J99" s="16" t="s">
        <v>457</v>
      </c>
      <c r="K99" s="16" t="str">
        <f t="shared" si="26"/>
        <v>{id:70003000}</v>
      </c>
      <c r="L99" s="16" t="str">
        <f t="shared" si="27"/>
        <v>{id:70005000}</v>
      </c>
      <c r="M99" s="16" t="str">
        <f t="shared" si="28"/>
        <v>{id:70004000}</v>
      </c>
      <c r="N99" s="16" t="str">
        <f t="shared" si="29"/>
        <v>{id:70006000}</v>
      </c>
    </row>
    <row r="100" spans="1:14" x14ac:dyDescent="0.15">
      <c r="A100" s="16">
        <v>8</v>
      </c>
      <c r="B100" s="16" t="s">
        <v>431</v>
      </c>
      <c r="C100" s="16" t="s">
        <v>431</v>
      </c>
      <c r="D100" s="16" t="s">
        <v>431</v>
      </c>
      <c r="E100" s="16" t="s">
        <v>419</v>
      </c>
      <c r="H100" s="16">
        <v>70000207</v>
      </c>
      <c r="I100" s="16" t="str">
        <f t="shared" si="30"/>
        <v>{id:70003000},{id:70005000},{id:70004000},{id:70006000}</v>
      </c>
      <c r="J100" s="16" t="s">
        <v>457</v>
      </c>
      <c r="K100" s="16" t="str">
        <f t="shared" si="26"/>
        <v>{id:70003000}</v>
      </c>
      <c r="L100" s="16" t="str">
        <f t="shared" si="27"/>
        <v>{id:70005000}</v>
      </c>
      <c r="M100" s="16" t="str">
        <f t="shared" si="28"/>
        <v>{id:70004000}</v>
      </c>
      <c r="N100" s="16" t="str">
        <f t="shared" si="29"/>
        <v>{id:70006000}</v>
      </c>
    </row>
    <row r="101" spans="1:14" x14ac:dyDescent="0.15">
      <c r="A101" s="16">
        <v>9</v>
      </c>
      <c r="B101" s="16" t="s">
        <v>431</v>
      </c>
      <c r="C101" s="16" t="s">
        <v>431</v>
      </c>
      <c r="D101" s="16" t="s">
        <v>431</v>
      </c>
      <c r="E101" s="16" t="s">
        <v>419</v>
      </c>
      <c r="H101" s="16">
        <v>70000208</v>
      </c>
      <c r="I101" s="16" t="str">
        <f t="shared" si="30"/>
        <v>{id:70003000},{id:70005000},{id:70004000},{id:70006000}</v>
      </c>
      <c r="J101" s="16" t="s">
        <v>457</v>
      </c>
      <c r="K101" s="16" t="str">
        <f t="shared" si="26"/>
        <v>{id:70003000}</v>
      </c>
      <c r="L101" s="16" t="str">
        <f t="shared" si="27"/>
        <v>{id:70005000}</v>
      </c>
      <c r="M101" s="16" t="str">
        <f t="shared" si="28"/>
        <v>{id:70004000}</v>
      </c>
      <c r="N101" s="16" t="str">
        <f t="shared" si="29"/>
        <v>{id:70006000}</v>
      </c>
    </row>
    <row r="102" spans="1:14" x14ac:dyDescent="0.15">
      <c r="A102" s="16">
        <v>10</v>
      </c>
      <c r="B102" s="16" t="s">
        <v>431</v>
      </c>
      <c r="C102" s="16" t="s">
        <v>431</v>
      </c>
      <c r="D102" s="16" t="s">
        <v>431</v>
      </c>
      <c r="E102" s="16" t="s">
        <v>419</v>
      </c>
      <c r="H102" s="16">
        <v>70000209</v>
      </c>
      <c r="I102" s="16" t="str">
        <f t="shared" si="30"/>
        <v>{id:70003000},{id:70005000},{id:70004000},{id:70006000}</v>
      </c>
      <c r="J102" s="16" t="s">
        <v>457</v>
      </c>
      <c r="K102" s="16" t="str">
        <f t="shared" si="26"/>
        <v>{id:70003000}</v>
      </c>
      <c r="L102" s="16" t="str">
        <f t="shared" si="27"/>
        <v>{id:70005000}</v>
      </c>
      <c r="M102" s="16" t="str">
        <f t="shared" si="28"/>
        <v>{id:70004000}</v>
      </c>
      <c r="N102" s="16" t="str">
        <f t="shared" si="29"/>
        <v>{id:70006000}</v>
      </c>
    </row>
    <row r="103" spans="1:14" x14ac:dyDescent="0.15">
      <c r="A103" s="16">
        <v>11</v>
      </c>
      <c r="B103" s="16" t="s">
        <v>432</v>
      </c>
      <c r="C103" s="16" t="s">
        <v>432</v>
      </c>
      <c r="D103" s="16" t="s">
        <v>432</v>
      </c>
      <c r="E103" s="16" t="s">
        <v>419</v>
      </c>
      <c r="H103" s="16">
        <v>70000210</v>
      </c>
      <c r="I103" s="16" t="str">
        <f t="shared" si="30"/>
        <v>{id:70003001},{id:70005001},{id:70004001},{id:70006000}</v>
      </c>
      <c r="J103" s="16" t="s">
        <v>457</v>
      </c>
      <c r="K103" s="16" t="str">
        <f t="shared" si="26"/>
        <v>{id:70003001}</v>
      </c>
      <c r="L103" s="16" t="str">
        <f t="shared" si="27"/>
        <v>{id:70005001}</v>
      </c>
      <c r="M103" s="16" t="str">
        <f t="shared" si="28"/>
        <v>{id:70004001}</v>
      </c>
      <c r="N103" s="16" t="str">
        <f t="shared" si="29"/>
        <v>{id:70006000}</v>
      </c>
    </row>
    <row r="104" spans="1:14" x14ac:dyDescent="0.15">
      <c r="A104" s="16">
        <v>12</v>
      </c>
      <c r="B104" s="16" t="s">
        <v>432</v>
      </c>
      <c r="C104" s="16" t="s">
        <v>432</v>
      </c>
      <c r="D104" s="16" t="s">
        <v>432</v>
      </c>
      <c r="E104" s="16" t="s">
        <v>419</v>
      </c>
      <c r="H104" s="16">
        <v>70000211</v>
      </c>
      <c r="I104" s="16" t="str">
        <f t="shared" si="30"/>
        <v>{id:70003001},{id:70005001},{id:70004001},{id:70006000}</v>
      </c>
      <c r="J104" s="16" t="s">
        <v>457</v>
      </c>
      <c r="K104" s="16" t="str">
        <f t="shared" si="26"/>
        <v>{id:70003001}</v>
      </c>
      <c r="L104" s="16" t="str">
        <f t="shared" si="27"/>
        <v>{id:70005001}</v>
      </c>
      <c r="M104" s="16" t="str">
        <f t="shared" si="28"/>
        <v>{id:70004001}</v>
      </c>
      <c r="N104" s="16" t="str">
        <f t="shared" si="29"/>
        <v>{id:70006000}</v>
      </c>
    </row>
    <row r="105" spans="1:14" x14ac:dyDescent="0.15">
      <c r="A105" s="16">
        <v>13</v>
      </c>
      <c r="B105" s="16" t="s">
        <v>432</v>
      </c>
      <c r="C105" s="16" t="s">
        <v>432</v>
      </c>
      <c r="D105" s="16" t="s">
        <v>432</v>
      </c>
      <c r="E105" s="16" t="s">
        <v>419</v>
      </c>
      <c r="H105" s="16">
        <v>70000212</v>
      </c>
      <c r="I105" s="16" t="str">
        <f t="shared" si="30"/>
        <v>{id:70003001},{id:70005001},{id:70004001},{id:70006000}</v>
      </c>
      <c r="J105" s="16" t="s">
        <v>457</v>
      </c>
      <c r="K105" s="16" t="str">
        <f t="shared" si="26"/>
        <v>{id:70003001}</v>
      </c>
      <c r="L105" s="16" t="str">
        <f t="shared" si="27"/>
        <v>{id:70005001}</v>
      </c>
      <c r="M105" s="16" t="str">
        <f t="shared" si="28"/>
        <v>{id:70004001}</v>
      </c>
      <c r="N105" s="16" t="str">
        <f t="shared" si="29"/>
        <v>{id:70006000}</v>
      </c>
    </row>
    <row r="106" spans="1:14" x14ac:dyDescent="0.15">
      <c r="A106" s="16">
        <v>14</v>
      </c>
      <c r="B106" s="16" t="s">
        <v>432</v>
      </c>
      <c r="C106" s="16" t="s">
        <v>432</v>
      </c>
      <c r="D106" s="16" t="s">
        <v>432</v>
      </c>
      <c r="E106" s="16" t="s">
        <v>419</v>
      </c>
      <c r="H106" s="16">
        <v>70000213</v>
      </c>
      <c r="I106" s="16" t="str">
        <f t="shared" si="30"/>
        <v>{id:70003001},{id:70005001},{id:70004001},{id:70006000}</v>
      </c>
      <c r="J106" s="16" t="s">
        <v>457</v>
      </c>
      <c r="K106" s="16" t="str">
        <f t="shared" si="26"/>
        <v>{id:70003001}</v>
      </c>
      <c r="L106" s="16" t="str">
        <f t="shared" si="27"/>
        <v>{id:70005001}</v>
      </c>
      <c r="M106" s="16" t="str">
        <f t="shared" si="28"/>
        <v>{id:70004001}</v>
      </c>
      <c r="N106" s="16" t="str">
        <f t="shared" si="29"/>
        <v>{id:70006000}</v>
      </c>
    </row>
    <row r="107" spans="1:14" x14ac:dyDescent="0.15">
      <c r="A107" s="16">
        <v>15</v>
      </c>
      <c r="B107" s="16" t="s">
        <v>432</v>
      </c>
      <c r="C107" s="16" t="s">
        <v>432</v>
      </c>
      <c r="D107" s="16" t="s">
        <v>432</v>
      </c>
      <c r="E107" s="16" t="s">
        <v>419</v>
      </c>
      <c r="H107" s="16">
        <v>70000214</v>
      </c>
      <c r="I107" s="16" t="str">
        <f t="shared" si="30"/>
        <v>{id:70003001},{id:70005001},{id:70004001},{id:70006000}</v>
      </c>
      <c r="J107" s="16" t="s">
        <v>457</v>
      </c>
      <c r="K107" s="16" t="str">
        <f t="shared" si="26"/>
        <v>{id:70003001}</v>
      </c>
      <c r="L107" s="16" t="str">
        <f t="shared" si="27"/>
        <v>{id:70005001}</v>
      </c>
      <c r="M107" s="16" t="str">
        <f t="shared" si="28"/>
        <v>{id:70004001}</v>
      </c>
      <c r="N107" s="16" t="str">
        <f t="shared" si="29"/>
        <v>{id:70006000}</v>
      </c>
    </row>
    <row r="108" spans="1:14" x14ac:dyDescent="0.15">
      <c r="A108" s="16">
        <v>16</v>
      </c>
      <c r="B108" s="16" t="s">
        <v>432</v>
      </c>
      <c r="C108" s="16" t="s">
        <v>432</v>
      </c>
      <c r="D108" s="16" t="s">
        <v>432</v>
      </c>
      <c r="E108" s="16" t="s">
        <v>419</v>
      </c>
      <c r="H108" s="16">
        <v>70000215</v>
      </c>
      <c r="I108" s="16" t="str">
        <f t="shared" si="30"/>
        <v>{id:70003001},{id:70005001},{id:70004001},{id:70006000}</v>
      </c>
      <c r="J108" s="16" t="s">
        <v>457</v>
      </c>
      <c r="K108" s="16" t="str">
        <f t="shared" si="26"/>
        <v>{id:70003001}</v>
      </c>
      <c r="L108" s="16" t="str">
        <f t="shared" si="27"/>
        <v>{id:70005001}</v>
      </c>
      <c r="M108" s="16" t="str">
        <f t="shared" si="28"/>
        <v>{id:70004001}</v>
      </c>
      <c r="N108" s="16" t="str">
        <f t="shared" si="29"/>
        <v>{id:70006000}</v>
      </c>
    </row>
    <row r="109" spans="1:14" x14ac:dyDescent="0.15">
      <c r="A109" s="16">
        <v>17</v>
      </c>
      <c r="B109" s="16" t="s">
        <v>432</v>
      </c>
      <c r="C109" s="16" t="s">
        <v>432</v>
      </c>
      <c r="D109" s="16" t="s">
        <v>432</v>
      </c>
      <c r="E109" s="16" t="s">
        <v>419</v>
      </c>
      <c r="H109" s="16">
        <v>70000216</v>
      </c>
      <c r="I109" s="16" t="str">
        <f t="shared" si="30"/>
        <v>{id:70003001},{id:70005001},{id:70004001},{id:70006000}</v>
      </c>
      <c r="J109" s="16" t="s">
        <v>457</v>
      </c>
      <c r="K109" s="16" t="str">
        <f t="shared" si="26"/>
        <v>{id:70003001}</v>
      </c>
      <c r="L109" s="16" t="str">
        <f t="shared" si="27"/>
        <v>{id:70005001}</v>
      </c>
      <c r="M109" s="16" t="str">
        <f t="shared" si="28"/>
        <v>{id:70004001}</v>
      </c>
      <c r="N109" s="16" t="str">
        <f t="shared" si="29"/>
        <v>{id:70006000}</v>
      </c>
    </row>
    <row r="110" spans="1:14" x14ac:dyDescent="0.15">
      <c r="A110" s="16">
        <v>18</v>
      </c>
      <c r="B110" s="16" t="s">
        <v>432</v>
      </c>
      <c r="C110" s="16" t="s">
        <v>432</v>
      </c>
      <c r="D110" s="16" t="s">
        <v>432</v>
      </c>
      <c r="E110" s="16" t="s">
        <v>419</v>
      </c>
      <c r="H110" s="16">
        <v>70000217</v>
      </c>
      <c r="I110" s="16" t="str">
        <f t="shared" si="30"/>
        <v>{id:70003001},{id:70005001},{id:70004001},{id:70006000}</v>
      </c>
      <c r="J110" s="16" t="s">
        <v>457</v>
      </c>
      <c r="K110" s="16" t="str">
        <f t="shared" si="26"/>
        <v>{id:70003001}</v>
      </c>
      <c r="L110" s="16" t="str">
        <f t="shared" si="27"/>
        <v>{id:70005001}</v>
      </c>
      <c r="M110" s="16" t="str">
        <f t="shared" si="28"/>
        <v>{id:70004001}</v>
      </c>
      <c r="N110" s="16" t="str">
        <f t="shared" si="29"/>
        <v>{id:70006000}</v>
      </c>
    </row>
    <row r="111" spans="1:14" x14ac:dyDescent="0.15">
      <c r="A111" s="16">
        <v>19</v>
      </c>
      <c r="B111" s="16" t="s">
        <v>432</v>
      </c>
      <c r="C111" s="16" t="s">
        <v>432</v>
      </c>
      <c r="D111" s="16" t="s">
        <v>432</v>
      </c>
      <c r="E111" s="16" t="s">
        <v>419</v>
      </c>
      <c r="H111" s="16">
        <v>70000218</v>
      </c>
      <c r="I111" s="16" t="str">
        <f t="shared" si="30"/>
        <v>{id:70003001},{id:70005001},{id:70004001},{id:70006000}</v>
      </c>
      <c r="J111" s="16" t="s">
        <v>457</v>
      </c>
      <c r="K111" s="16" t="str">
        <f t="shared" si="26"/>
        <v>{id:70003001}</v>
      </c>
      <c r="L111" s="16" t="str">
        <f t="shared" si="27"/>
        <v>{id:70005001}</v>
      </c>
      <c r="M111" s="16" t="str">
        <f t="shared" si="28"/>
        <v>{id:70004001}</v>
      </c>
      <c r="N111" s="16" t="str">
        <f t="shared" si="29"/>
        <v>{id:70006000}</v>
      </c>
    </row>
    <row r="112" spans="1:14" x14ac:dyDescent="0.15">
      <c r="A112" s="16">
        <v>20</v>
      </c>
      <c r="B112" s="16" t="s">
        <v>432</v>
      </c>
      <c r="C112" s="16" t="s">
        <v>432</v>
      </c>
      <c r="D112" s="16" t="s">
        <v>432</v>
      </c>
      <c r="E112" s="16" t="s">
        <v>419</v>
      </c>
      <c r="H112" s="16">
        <v>70000219</v>
      </c>
      <c r="I112" s="16" t="str">
        <f t="shared" si="30"/>
        <v>{id:70003001},{id:70005001},{id:70004001},{id:70006000}</v>
      </c>
      <c r="J112" s="16" t="s">
        <v>457</v>
      </c>
      <c r="K112" s="16" t="str">
        <f t="shared" si="26"/>
        <v>{id:70003001}</v>
      </c>
      <c r="L112" s="16" t="str">
        <f t="shared" si="27"/>
        <v>{id:70005001}</v>
      </c>
      <c r="M112" s="16" t="str">
        <f t="shared" si="28"/>
        <v>{id:70004001}</v>
      </c>
      <c r="N112" s="16" t="str">
        <f t="shared" si="29"/>
        <v>{id:70006000}</v>
      </c>
    </row>
    <row r="113" spans="1:14" x14ac:dyDescent="0.15">
      <c r="A113" s="16">
        <v>21</v>
      </c>
      <c r="B113" s="16" t="s">
        <v>433</v>
      </c>
      <c r="C113" s="16" t="s">
        <v>433</v>
      </c>
      <c r="D113" s="16" t="s">
        <v>433</v>
      </c>
      <c r="E113" s="16" t="s">
        <v>419</v>
      </c>
      <c r="H113" s="16">
        <v>70000220</v>
      </c>
      <c r="I113" s="16" t="str">
        <f t="shared" si="30"/>
        <v>{id:70003002},{id:70005002},{id:70004002},{id:70006000}</v>
      </c>
      <c r="J113" s="16" t="s">
        <v>457</v>
      </c>
      <c r="K113" s="16" t="str">
        <f t="shared" si="26"/>
        <v>{id:70003002}</v>
      </c>
      <c r="L113" s="16" t="str">
        <f t="shared" si="27"/>
        <v>{id:70005002}</v>
      </c>
      <c r="M113" s="16" t="str">
        <f t="shared" si="28"/>
        <v>{id:70004002}</v>
      </c>
      <c r="N113" s="16" t="str">
        <f t="shared" si="29"/>
        <v>{id:70006000}</v>
      </c>
    </row>
    <row r="114" spans="1:14" x14ac:dyDescent="0.15">
      <c r="A114" s="16">
        <v>22</v>
      </c>
      <c r="B114" s="16" t="s">
        <v>433</v>
      </c>
      <c r="C114" s="16" t="s">
        <v>433</v>
      </c>
      <c r="D114" s="16" t="s">
        <v>433</v>
      </c>
      <c r="E114" s="16" t="s">
        <v>419</v>
      </c>
      <c r="H114" s="16">
        <v>70000221</v>
      </c>
      <c r="I114" s="16" t="str">
        <f t="shared" si="30"/>
        <v>{id:70003002},{id:70005002},{id:70004002},{id:70006000}</v>
      </c>
      <c r="J114" s="16" t="s">
        <v>457</v>
      </c>
      <c r="K114" s="16" t="str">
        <f t="shared" si="26"/>
        <v>{id:70003002}</v>
      </c>
      <c r="L114" s="16" t="str">
        <f t="shared" si="27"/>
        <v>{id:70005002}</v>
      </c>
      <c r="M114" s="16" t="str">
        <f t="shared" si="28"/>
        <v>{id:70004002}</v>
      </c>
      <c r="N114" s="16" t="str">
        <f t="shared" si="29"/>
        <v>{id:70006000}</v>
      </c>
    </row>
    <row r="115" spans="1:14" x14ac:dyDescent="0.15">
      <c r="A115" s="16">
        <v>23</v>
      </c>
      <c r="B115" s="16" t="s">
        <v>433</v>
      </c>
      <c r="C115" s="16" t="s">
        <v>433</v>
      </c>
      <c r="D115" s="16" t="s">
        <v>433</v>
      </c>
      <c r="E115" s="16" t="s">
        <v>419</v>
      </c>
      <c r="H115" s="16">
        <v>70000222</v>
      </c>
      <c r="I115" s="16" t="str">
        <f t="shared" si="30"/>
        <v>{id:70003002},{id:70005002},{id:70004002},{id:70006000}</v>
      </c>
      <c r="J115" s="16" t="s">
        <v>457</v>
      </c>
      <c r="K115" s="16" t="str">
        <f t="shared" si="26"/>
        <v>{id:70003002}</v>
      </c>
      <c r="L115" s="16" t="str">
        <f t="shared" si="27"/>
        <v>{id:70005002}</v>
      </c>
      <c r="M115" s="16" t="str">
        <f t="shared" si="28"/>
        <v>{id:70004002}</v>
      </c>
      <c r="N115" s="16" t="str">
        <f t="shared" si="29"/>
        <v>{id:70006000}</v>
      </c>
    </row>
    <row r="116" spans="1:14" x14ac:dyDescent="0.15">
      <c r="A116" s="16">
        <v>24</v>
      </c>
      <c r="B116" s="16" t="s">
        <v>433</v>
      </c>
      <c r="C116" s="16" t="s">
        <v>433</v>
      </c>
      <c r="D116" s="16" t="s">
        <v>433</v>
      </c>
      <c r="E116" s="16" t="s">
        <v>419</v>
      </c>
      <c r="H116" s="16">
        <v>70000223</v>
      </c>
      <c r="I116" s="16" t="str">
        <f t="shared" si="30"/>
        <v>{id:70003002},{id:70005002},{id:70004002},{id:70006000}</v>
      </c>
      <c r="J116" s="16" t="s">
        <v>457</v>
      </c>
      <c r="K116" s="16" t="str">
        <f t="shared" si="26"/>
        <v>{id:70003002}</v>
      </c>
      <c r="L116" s="16" t="str">
        <f t="shared" si="27"/>
        <v>{id:70005002}</v>
      </c>
      <c r="M116" s="16" t="str">
        <f t="shared" si="28"/>
        <v>{id:70004002}</v>
      </c>
      <c r="N116" s="16" t="str">
        <f t="shared" si="29"/>
        <v>{id:70006000}</v>
      </c>
    </row>
    <row r="117" spans="1:14" x14ac:dyDescent="0.15">
      <c r="A117" s="16">
        <v>25</v>
      </c>
      <c r="B117" s="16" t="s">
        <v>433</v>
      </c>
      <c r="C117" s="16" t="s">
        <v>433</v>
      </c>
      <c r="D117" s="16" t="s">
        <v>433</v>
      </c>
      <c r="E117" s="16" t="s">
        <v>419</v>
      </c>
      <c r="H117" s="16">
        <v>70000224</v>
      </c>
      <c r="I117" s="16" t="str">
        <f t="shared" si="30"/>
        <v>{id:70003002},{id:70005002},{id:70004002},{id:70006000}</v>
      </c>
      <c r="J117" s="16" t="s">
        <v>457</v>
      </c>
      <c r="K117" s="16" t="str">
        <f t="shared" si="26"/>
        <v>{id:70003002}</v>
      </c>
      <c r="L117" s="16" t="str">
        <f t="shared" si="27"/>
        <v>{id:70005002}</v>
      </c>
      <c r="M117" s="16" t="str">
        <f t="shared" si="28"/>
        <v>{id:70004002}</v>
      </c>
      <c r="N117" s="16" t="str">
        <f t="shared" si="29"/>
        <v>{id:70006000}</v>
      </c>
    </row>
    <row r="118" spans="1:14" x14ac:dyDescent="0.15">
      <c r="A118" s="16">
        <v>26</v>
      </c>
      <c r="B118" s="16" t="s">
        <v>433</v>
      </c>
      <c r="C118" s="16" t="s">
        <v>433</v>
      </c>
      <c r="D118" s="16" t="s">
        <v>433</v>
      </c>
      <c r="E118" s="16" t="s">
        <v>419</v>
      </c>
      <c r="H118" s="16">
        <v>70000225</v>
      </c>
      <c r="I118" s="16" t="str">
        <f t="shared" si="30"/>
        <v>{id:70003002},{id:70005002},{id:70004002},{id:70006000}</v>
      </c>
      <c r="J118" s="16" t="s">
        <v>457</v>
      </c>
      <c r="K118" s="16" t="str">
        <f t="shared" si="26"/>
        <v>{id:70003002}</v>
      </c>
      <c r="L118" s="16" t="str">
        <f t="shared" si="27"/>
        <v>{id:70005002}</v>
      </c>
      <c r="M118" s="16" t="str">
        <f t="shared" si="28"/>
        <v>{id:70004002}</v>
      </c>
      <c r="N118" s="16" t="str">
        <f t="shared" si="29"/>
        <v>{id:70006000}</v>
      </c>
    </row>
    <row r="119" spans="1:14" x14ac:dyDescent="0.15">
      <c r="A119" s="16">
        <v>27</v>
      </c>
      <c r="B119" s="16" t="s">
        <v>433</v>
      </c>
      <c r="C119" s="16" t="s">
        <v>433</v>
      </c>
      <c r="D119" s="16" t="s">
        <v>433</v>
      </c>
      <c r="E119" s="16" t="s">
        <v>419</v>
      </c>
      <c r="H119" s="16">
        <v>70000226</v>
      </c>
      <c r="I119" s="16" t="str">
        <f t="shared" si="30"/>
        <v>{id:70003002},{id:70005002},{id:70004002},{id:70006000}</v>
      </c>
      <c r="J119" s="16" t="s">
        <v>457</v>
      </c>
      <c r="K119" s="16" t="str">
        <f t="shared" si="26"/>
        <v>{id:70003002}</v>
      </c>
      <c r="L119" s="16" t="str">
        <f t="shared" si="27"/>
        <v>{id:70005002}</v>
      </c>
      <c r="M119" s="16" t="str">
        <f t="shared" si="28"/>
        <v>{id:70004002}</v>
      </c>
      <c r="N119" s="16" t="str">
        <f t="shared" si="29"/>
        <v>{id:70006000}</v>
      </c>
    </row>
    <row r="120" spans="1:14" x14ac:dyDescent="0.15">
      <c r="A120" s="16">
        <v>28</v>
      </c>
      <c r="B120" s="16" t="s">
        <v>433</v>
      </c>
      <c r="C120" s="16" t="s">
        <v>433</v>
      </c>
      <c r="D120" s="16" t="s">
        <v>433</v>
      </c>
      <c r="E120" s="16" t="s">
        <v>419</v>
      </c>
      <c r="H120" s="16">
        <v>70000227</v>
      </c>
      <c r="I120" s="16" t="str">
        <f t="shared" si="30"/>
        <v>{id:70003002},{id:70005002},{id:70004002},{id:70006000}</v>
      </c>
      <c r="J120" s="16" t="s">
        <v>457</v>
      </c>
      <c r="K120" s="16" t="str">
        <f t="shared" si="26"/>
        <v>{id:70003002}</v>
      </c>
      <c r="L120" s="16" t="str">
        <f t="shared" si="27"/>
        <v>{id:70005002}</v>
      </c>
      <c r="M120" s="16" t="str">
        <f t="shared" si="28"/>
        <v>{id:70004002}</v>
      </c>
      <c r="N120" s="16" t="str">
        <f t="shared" si="29"/>
        <v>{id:70006000}</v>
      </c>
    </row>
    <row r="121" spans="1:14" x14ac:dyDescent="0.15">
      <c r="A121" s="16">
        <v>29</v>
      </c>
      <c r="B121" s="16" t="s">
        <v>433</v>
      </c>
      <c r="C121" s="16" t="s">
        <v>433</v>
      </c>
      <c r="D121" s="16" t="s">
        <v>433</v>
      </c>
      <c r="E121" s="16" t="s">
        <v>419</v>
      </c>
      <c r="H121" s="16">
        <v>70000228</v>
      </c>
      <c r="I121" s="16" t="str">
        <f t="shared" si="30"/>
        <v>{id:70003002},{id:70005002},{id:70004002},{id:70006000}</v>
      </c>
      <c r="J121" s="16" t="s">
        <v>457</v>
      </c>
      <c r="K121" s="16" t="str">
        <f t="shared" si="26"/>
        <v>{id:70003002}</v>
      </c>
      <c r="L121" s="16" t="str">
        <f t="shared" si="27"/>
        <v>{id:70005002}</v>
      </c>
      <c r="M121" s="16" t="str">
        <f t="shared" si="28"/>
        <v>{id:70004002}</v>
      </c>
      <c r="N121" s="16" t="str">
        <f t="shared" si="29"/>
        <v>{id:70006000}</v>
      </c>
    </row>
    <row r="122" spans="1:14" x14ac:dyDescent="0.15">
      <c r="A122" s="16">
        <v>30</v>
      </c>
      <c r="B122" s="16" t="s">
        <v>433</v>
      </c>
      <c r="C122" s="16" t="s">
        <v>433</v>
      </c>
      <c r="D122" s="16" t="s">
        <v>433</v>
      </c>
      <c r="E122" s="16" t="s">
        <v>419</v>
      </c>
      <c r="H122" s="16">
        <v>70000229</v>
      </c>
      <c r="I122" s="16" t="str">
        <f t="shared" si="30"/>
        <v>{id:70003002},{id:70005002},{id:70004002},{id:70006000}</v>
      </c>
      <c r="J122" s="16" t="s">
        <v>457</v>
      </c>
      <c r="K122" s="16" t="str">
        <f t="shared" si="26"/>
        <v>{id:70003002}</v>
      </c>
      <c r="L122" s="16" t="str">
        <f t="shared" si="27"/>
        <v>{id:70005002}</v>
      </c>
      <c r="M122" s="16" t="str">
        <f t="shared" si="28"/>
        <v>{id:70004002}</v>
      </c>
      <c r="N122" s="16" t="str">
        <f t="shared" si="29"/>
        <v>{id:70006000}</v>
      </c>
    </row>
    <row r="123" spans="1:14" x14ac:dyDescent="0.15">
      <c r="A123" s="16">
        <v>31</v>
      </c>
      <c r="B123" s="16" t="s">
        <v>435</v>
      </c>
      <c r="C123" s="16" t="s">
        <v>435</v>
      </c>
      <c r="D123" s="16" t="s">
        <v>435</v>
      </c>
      <c r="E123" s="16" t="s">
        <v>419</v>
      </c>
      <c r="H123" s="16">
        <v>70000230</v>
      </c>
      <c r="I123" s="16" t="str">
        <f t="shared" si="30"/>
        <v>{id:70003004},{id:70005004},{id:70004004},{id:70006000}</v>
      </c>
      <c r="J123" s="16" t="s">
        <v>457</v>
      </c>
      <c r="K123" s="16" t="str">
        <f t="shared" si="26"/>
        <v>{id:70003004}</v>
      </c>
      <c r="L123" s="16" t="str">
        <f t="shared" si="27"/>
        <v>{id:70005004}</v>
      </c>
      <c r="M123" s="16" t="str">
        <f t="shared" si="28"/>
        <v>{id:70004004}</v>
      </c>
      <c r="N123" s="16" t="str">
        <f t="shared" si="29"/>
        <v>{id:70006000}</v>
      </c>
    </row>
    <row r="124" spans="1:14" x14ac:dyDescent="0.15">
      <c r="A124" s="16">
        <v>32</v>
      </c>
      <c r="B124" s="16" t="s">
        <v>435</v>
      </c>
      <c r="C124" s="16" t="s">
        <v>435</v>
      </c>
      <c r="D124" s="16" t="s">
        <v>435</v>
      </c>
      <c r="E124" s="16" t="s">
        <v>419</v>
      </c>
      <c r="H124" s="16">
        <v>70000231</v>
      </c>
      <c r="I124" s="16" t="str">
        <f t="shared" si="30"/>
        <v>{id:70003004},{id:70005004},{id:70004004},{id:70006000}</v>
      </c>
      <c r="J124" s="16" t="s">
        <v>457</v>
      </c>
      <c r="K124" s="16" t="str">
        <f t="shared" si="26"/>
        <v>{id:70003004}</v>
      </c>
      <c r="L124" s="16" t="str">
        <f t="shared" si="27"/>
        <v>{id:70005004}</v>
      </c>
      <c r="M124" s="16" t="str">
        <f t="shared" si="28"/>
        <v>{id:70004004}</v>
      </c>
      <c r="N124" s="16" t="str">
        <f t="shared" si="29"/>
        <v>{id:70006000}</v>
      </c>
    </row>
    <row r="125" spans="1:14" x14ac:dyDescent="0.15">
      <c r="A125" s="16">
        <v>33</v>
      </c>
      <c r="B125" s="16" t="s">
        <v>435</v>
      </c>
      <c r="C125" s="16" t="s">
        <v>435</v>
      </c>
      <c r="D125" s="16" t="s">
        <v>435</v>
      </c>
      <c r="E125" s="16" t="s">
        <v>419</v>
      </c>
      <c r="H125" s="16">
        <v>70000232</v>
      </c>
      <c r="I125" s="16" t="str">
        <f t="shared" si="30"/>
        <v>{id:70003004},{id:70005004},{id:70004004},{id:70006000}</v>
      </c>
      <c r="J125" s="16" t="s">
        <v>457</v>
      </c>
      <c r="K125" s="16" t="str">
        <f t="shared" ref="K125:K142" si="31">"{id:"&amp;VLOOKUP(B125,$T$27:$U$32,2,FALSE)&amp;"}"</f>
        <v>{id:70003004}</v>
      </c>
      <c r="L125" s="16" t="str">
        <f t="shared" ref="L125:L142" si="32">"{id:"&amp;VLOOKUP(C125,$T$43:$U$48,2,FALSE)&amp;"}"</f>
        <v>{id:70005004}</v>
      </c>
      <c r="M125" s="16" t="str">
        <f t="shared" ref="M125:M142" si="33">"{id:"&amp;VLOOKUP(D125,$T$35:$U$40,2,FALSE)&amp;"}"</f>
        <v>{id:70004004}</v>
      </c>
      <c r="N125" s="16" t="str">
        <f t="shared" ref="N125:N142" si="34">"{id:"&amp;VLOOKUP(E125,$T$50:$U$50,2,FALSE)&amp;"}"</f>
        <v>{id:70006000}</v>
      </c>
    </row>
    <row r="126" spans="1:14" x14ac:dyDescent="0.15">
      <c r="A126" s="16">
        <v>34</v>
      </c>
      <c r="B126" s="16" t="s">
        <v>435</v>
      </c>
      <c r="C126" s="16" t="s">
        <v>435</v>
      </c>
      <c r="D126" s="16" t="s">
        <v>435</v>
      </c>
      <c r="E126" s="16" t="s">
        <v>419</v>
      </c>
      <c r="H126" s="16">
        <v>70000233</v>
      </c>
      <c r="I126" s="16" t="str">
        <f t="shared" si="30"/>
        <v>{id:70003004},{id:70005004},{id:70004004},{id:70006000}</v>
      </c>
      <c r="J126" s="16" t="s">
        <v>457</v>
      </c>
      <c r="K126" s="16" t="str">
        <f t="shared" si="31"/>
        <v>{id:70003004}</v>
      </c>
      <c r="L126" s="16" t="str">
        <f t="shared" si="32"/>
        <v>{id:70005004}</v>
      </c>
      <c r="M126" s="16" t="str">
        <f t="shared" si="33"/>
        <v>{id:70004004}</v>
      </c>
      <c r="N126" s="16" t="str">
        <f t="shared" si="34"/>
        <v>{id:70006000}</v>
      </c>
    </row>
    <row r="127" spans="1:14" x14ac:dyDescent="0.15">
      <c r="A127" s="16">
        <v>35</v>
      </c>
      <c r="B127" s="16" t="s">
        <v>435</v>
      </c>
      <c r="C127" s="16" t="s">
        <v>435</v>
      </c>
      <c r="D127" s="16" t="s">
        <v>435</v>
      </c>
      <c r="E127" s="16" t="s">
        <v>419</v>
      </c>
      <c r="H127" s="16">
        <v>70000234</v>
      </c>
      <c r="I127" s="16" t="str">
        <f t="shared" si="30"/>
        <v>{id:70003004},{id:70005004},{id:70004004},{id:70006000}</v>
      </c>
      <c r="J127" s="16" t="s">
        <v>457</v>
      </c>
      <c r="K127" s="16" t="str">
        <f t="shared" si="31"/>
        <v>{id:70003004}</v>
      </c>
      <c r="L127" s="16" t="str">
        <f t="shared" si="32"/>
        <v>{id:70005004}</v>
      </c>
      <c r="M127" s="16" t="str">
        <f t="shared" si="33"/>
        <v>{id:70004004}</v>
      </c>
      <c r="N127" s="16" t="str">
        <f t="shared" si="34"/>
        <v>{id:70006000}</v>
      </c>
    </row>
    <row r="128" spans="1:14" x14ac:dyDescent="0.15">
      <c r="A128" s="16">
        <v>36</v>
      </c>
      <c r="B128" s="16" t="s">
        <v>435</v>
      </c>
      <c r="C128" s="16" t="s">
        <v>435</v>
      </c>
      <c r="D128" s="16" t="s">
        <v>435</v>
      </c>
      <c r="E128" s="16" t="s">
        <v>419</v>
      </c>
      <c r="H128" s="16">
        <v>70000235</v>
      </c>
      <c r="I128" s="16" t="str">
        <f t="shared" si="30"/>
        <v>{id:70003004},{id:70005004},{id:70004004},{id:70006000}</v>
      </c>
      <c r="J128" s="16" t="s">
        <v>457</v>
      </c>
      <c r="K128" s="16" t="str">
        <f t="shared" si="31"/>
        <v>{id:70003004}</v>
      </c>
      <c r="L128" s="16" t="str">
        <f t="shared" si="32"/>
        <v>{id:70005004}</v>
      </c>
      <c r="M128" s="16" t="str">
        <f t="shared" si="33"/>
        <v>{id:70004004}</v>
      </c>
      <c r="N128" s="16" t="str">
        <f t="shared" si="34"/>
        <v>{id:70006000}</v>
      </c>
    </row>
    <row r="129" spans="1:14" x14ac:dyDescent="0.15">
      <c r="A129" s="16">
        <v>37</v>
      </c>
      <c r="B129" s="16" t="s">
        <v>435</v>
      </c>
      <c r="C129" s="16" t="s">
        <v>435</v>
      </c>
      <c r="D129" s="16" t="s">
        <v>435</v>
      </c>
      <c r="E129" s="16" t="s">
        <v>419</v>
      </c>
      <c r="H129" s="16">
        <v>70000236</v>
      </c>
      <c r="I129" s="16" t="str">
        <f t="shared" si="30"/>
        <v>{id:70003004},{id:70005004},{id:70004004},{id:70006000}</v>
      </c>
      <c r="J129" s="16" t="s">
        <v>457</v>
      </c>
      <c r="K129" s="16" t="str">
        <f t="shared" si="31"/>
        <v>{id:70003004}</v>
      </c>
      <c r="L129" s="16" t="str">
        <f t="shared" si="32"/>
        <v>{id:70005004}</v>
      </c>
      <c r="M129" s="16" t="str">
        <f t="shared" si="33"/>
        <v>{id:70004004}</v>
      </c>
      <c r="N129" s="16" t="str">
        <f t="shared" si="34"/>
        <v>{id:70006000}</v>
      </c>
    </row>
    <row r="130" spans="1:14" x14ac:dyDescent="0.15">
      <c r="A130" s="16">
        <v>38</v>
      </c>
      <c r="B130" s="16" t="s">
        <v>435</v>
      </c>
      <c r="C130" s="16" t="s">
        <v>435</v>
      </c>
      <c r="D130" s="16" t="s">
        <v>435</v>
      </c>
      <c r="E130" s="16" t="s">
        <v>419</v>
      </c>
      <c r="H130" s="16">
        <v>70000237</v>
      </c>
      <c r="I130" s="16" t="str">
        <f t="shared" si="30"/>
        <v>{id:70003004},{id:70005004},{id:70004004},{id:70006000}</v>
      </c>
      <c r="J130" s="16" t="s">
        <v>457</v>
      </c>
      <c r="K130" s="16" t="str">
        <f t="shared" si="31"/>
        <v>{id:70003004}</v>
      </c>
      <c r="L130" s="16" t="str">
        <f t="shared" si="32"/>
        <v>{id:70005004}</v>
      </c>
      <c r="M130" s="16" t="str">
        <f t="shared" si="33"/>
        <v>{id:70004004}</v>
      </c>
      <c r="N130" s="16" t="str">
        <f t="shared" si="34"/>
        <v>{id:70006000}</v>
      </c>
    </row>
    <row r="131" spans="1:14" x14ac:dyDescent="0.15">
      <c r="A131" s="16">
        <v>39</v>
      </c>
      <c r="B131" s="16" t="s">
        <v>435</v>
      </c>
      <c r="C131" s="16" t="s">
        <v>435</v>
      </c>
      <c r="D131" s="16" t="s">
        <v>435</v>
      </c>
      <c r="E131" s="16" t="s">
        <v>419</v>
      </c>
      <c r="H131" s="16">
        <v>70000238</v>
      </c>
      <c r="I131" s="16" t="str">
        <f t="shared" si="30"/>
        <v>{id:70003004},{id:70005004},{id:70004004},{id:70006000}</v>
      </c>
      <c r="J131" s="16" t="s">
        <v>457</v>
      </c>
      <c r="K131" s="16" t="str">
        <f t="shared" si="31"/>
        <v>{id:70003004}</v>
      </c>
      <c r="L131" s="16" t="str">
        <f t="shared" si="32"/>
        <v>{id:70005004}</v>
      </c>
      <c r="M131" s="16" t="str">
        <f t="shared" si="33"/>
        <v>{id:70004004}</v>
      </c>
      <c r="N131" s="16" t="str">
        <f t="shared" si="34"/>
        <v>{id:70006000}</v>
      </c>
    </row>
    <row r="132" spans="1:14" x14ac:dyDescent="0.15">
      <c r="A132" s="16">
        <v>40</v>
      </c>
      <c r="B132" s="16" t="s">
        <v>435</v>
      </c>
      <c r="C132" s="16" t="s">
        <v>435</v>
      </c>
      <c r="D132" s="16" t="s">
        <v>435</v>
      </c>
      <c r="E132" s="16" t="s">
        <v>419</v>
      </c>
      <c r="H132" s="16">
        <v>70000239</v>
      </c>
      <c r="I132" s="16" t="str">
        <f t="shared" si="30"/>
        <v>{id:70003004},{id:70005004},{id:70004004},{id:70006000}</v>
      </c>
      <c r="J132" s="16" t="s">
        <v>457</v>
      </c>
      <c r="K132" s="16" t="str">
        <f t="shared" si="31"/>
        <v>{id:70003004}</v>
      </c>
      <c r="L132" s="16" t="str">
        <f t="shared" si="32"/>
        <v>{id:70005004}</v>
      </c>
      <c r="M132" s="16" t="str">
        <f t="shared" si="33"/>
        <v>{id:70004004}</v>
      </c>
      <c r="N132" s="16" t="str">
        <f t="shared" si="34"/>
        <v>{id:70006000}</v>
      </c>
    </row>
    <row r="133" spans="1:14" x14ac:dyDescent="0.15">
      <c r="A133" s="16">
        <v>41</v>
      </c>
      <c r="B133" s="16" t="s">
        <v>436</v>
      </c>
      <c r="C133" s="16" t="s">
        <v>436</v>
      </c>
      <c r="D133" s="16" t="s">
        <v>436</v>
      </c>
      <c r="E133" s="16" t="s">
        <v>419</v>
      </c>
      <c r="H133" s="16">
        <v>70000240</v>
      </c>
      <c r="I133" s="16" t="str">
        <f t="shared" si="30"/>
        <v>{id:70003005},{id:70005005},{id:70004005},{id:70006000}</v>
      </c>
      <c r="J133" s="16" t="s">
        <v>457</v>
      </c>
      <c r="K133" s="16" t="str">
        <f t="shared" si="31"/>
        <v>{id:70003005}</v>
      </c>
      <c r="L133" s="16" t="str">
        <f t="shared" si="32"/>
        <v>{id:70005005}</v>
      </c>
      <c r="M133" s="16" t="str">
        <f t="shared" si="33"/>
        <v>{id:70004005}</v>
      </c>
      <c r="N133" s="16" t="str">
        <f t="shared" si="34"/>
        <v>{id:70006000}</v>
      </c>
    </row>
    <row r="134" spans="1:14" x14ac:dyDescent="0.15">
      <c r="A134" s="16">
        <v>42</v>
      </c>
      <c r="B134" s="16" t="s">
        <v>436</v>
      </c>
      <c r="C134" s="16" t="s">
        <v>436</v>
      </c>
      <c r="D134" s="16" t="s">
        <v>436</v>
      </c>
      <c r="E134" s="16" t="s">
        <v>419</v>
      </c>
      <c r="H134" s="16">
        <v>70000241</v>
      </c>
      <c r="I134" s="16" t="str">
        <f t="shared" si="30"/>
        <v>{id:70003005},{id:70005005},{id:70004005},{id:70006000}</v>
      </c>
      <c r="J134" s="16" t="s">
        <v>457</v>
      </c>
      <c r="K134" s="16" t="str">
        <f t="shared" si="31"/>
        <v>{id:70003005}</v>
      </c>
      <c r="L134" s="16" t="str">
        <f t="shared" si="32"/>
        <v>{id:70005005}</v>
      </c>
      <c r="M134" s="16" t="str">
        <f t="shared" si="33"/>
        <v>{id:70004005}</v>
      </c>
      <c r="N134" s="16" t="str">
        <f t="shared" si="34"/>
        <v>{id:70006000}</v>
      </c>
    </row>
    <row r="135" spans="1:14" x14ac:dyDescent="0.15">
      <c r="A135" s="16">
        <v>43</v>
      </c>
      <c r="B135" s="16" t="s">
        <v>436</v>
      </c>
      <c r="C135" s="16" t="s">
        <v>436</v>
      </c>
      <c r="D135" s="16" t="s">
        <v>436</v>
      </c>
      <c r="E135" s="16" t="s">
        <v>419</v>
      </c>
      <c r="H135" s="16">
        <v>70000242</v>
      </c>
      <c r="I135" s="16" t="str">
        <f t="shared" si="30"/>
        <v>{id:70003005},{id:70005005},{id:70004005},{id:70006000}</v>
      </c>
      <c r="J135" s="16" t="s">
        <v>457</v>
      </c>
      <c r="K135" s="16" t="str">
        <f t="shared" si="31"/>
        <v>{id:70003005}</v>
      </c>
      <c r="L135" s="16" t="str">
        <f t="shared" si="32"/>
        <v>{id:70005005}</v>
      </c>
      <c r="M135" s="16" t="str">
        <f t="shared" si="33"/>
        <v>{id:70004005}</v>
      </c>
      <c r="N135" s="16" t="str">
        <f t="shared" si="34"/>
        <v>{id:70006000}</v>
      </c>
    </row>
    <row r="136" spans="1:14" x14ac:dyDescent="0.15">
      <c r="A136" s="16">
        <v>44</v>
      </c>
      <c r="B136" s="16" t="s">
        <v>436</v>
      </c>
      <c r="C136" s="16" t="s">
        <v>436</v>
      </c>
      <c r="D136" s="16" t="s">
        <v>436</v>
      </c>
      <c r="E136" s="16" t="s">
        <v>419</v>
      </c>
      <c r="H136" s="16">
        <v>70000243</v>
      </c>
      <c r="I136" s="16" t="str">
        <f t="shared" si="30"/>
        <v>{id:70003005},{id:70005005},{id:70004005},{id:70006000}</v>
      </c>
      <c r="J136" s="16" t="s">
        <v>457</v>
      </c>
      <c r="K136" s="16" t="str">
        <f t="shared" si="31"/>
        <v>{id:70003005}</v>
      </c>
      <c r="L136" s="16" t="str">
        <f t="shared" si="32"/>
        <v>{id:70005005}</v>
      </c>
      <c r="M136" s="16" t="str">
        <f t="shared" si="33"/>
        <v>{id:70004005}</v>
      </c>
      <c r="N136" s="16" t="str">
        <f t="shared" si="34"/>
        <v>{id:70006000}</v>
      </c>
    </row>
    <row r="137" spans="1:14" x14ac:dyDescent="0.15">
      <c r="A137" s="16">
        <v>45</v>
      </c>
      <c r="B137" s="16" t="s">
        <v>436</v>
      </c>
      <c r="C137" s="16" t="s">
        <v>436</v>
      </c>
      <c r="D137" s="16" t="s">
        <v>436</v>
      </c>
      <c r="E137" s="16" t="s">
        <v>419</v>
      </c>
      <c r="H137" s="16">
        <v>70000244</v>
      </c>
      <c r="I137" s="16" t="str">
        <f t="shared" si="30"/>
        <v>{id:70003005},{id:70005005},{id:70004005},{id:70006000}</v>
      </c>
      <c r="J137" s="16" t="s">
        <v>457</v>
      </c>
      <c r="K137" s="16" t="str">
        <f t="shared" si="31"/>
        <v>{id:70003005}</v>
      </c>
      <c r="L137" s="16" t="str">
        <f t="shared" si="32"/>
        <v>{id:70005005}</v>
      </c>
      <c r="M137" s="16" t="str">
        <f t="shared" si="33"/>
        <v>{id:70004005}</v>
      </c>
      <c r="N137" s="16" t="str">
        <f t="shared" si="34"/>
        <v>{id:70006000}</v>
      </c>
    </row>
    <row r="138" spans="1:14" x14ac:dyDescent="0.15">
      <c r="A138" s="16">
        <v>46</v>
      </c>
      <c r="B138" s="16" t="s">
        <v>436</v>
      </c>
      <c r="C138" s="16" t="s">
        <v>436</v>
      </c>
      <c r="D138" s="16" t="s">
        <v>436</v>
      </c>
      <c r="E138" s="16" t="s">
        <v>419</v>
      </c>
      <c r="H138" s="16">
        <v>70000245</v>
      </c>
      <c r="I138" s="16" t="str">
        <f t="shared" si="30"/>
        <v>{id:70003005},{id:70005005},{id:70004005},{id:70006000}</v>
      </c>
      <c r="J138" s="16" t="s">
        <v>457</v>
      </c>
      <c r="K138" s="16" t="str">
        <f t="shared" si="31"/>
        <v>{id:70003005}</v>
      </c>
      <c r="L138" s="16" t="str">
        <f t="shared" si="32"/>
        <v>{id:70005005}</v>
      </c>
      <c r="M138" s="16" t="str">
        <f t="shared" si="33"/>
        <v>{id:70004005}</v>
      </c>
      <c r="N138" s="16" t="str">
        <f t="shared" si="34"/>
        <v>{id:70006000}</v>
      </c>
    </row>
    <row r="139" spans="1:14" x14ac:dyDescent="0.15">
      <c r="A139" s="16">
        <v>47</v>
      </c>
      <c r="B139" s="16" t="s">
        <v>436</v>
      </c>
      <c r="C139" s="16" t="s">
        <v>436</v>
      </c>
      <c r="D139" s="16" t="s">
        <v>436</v>
      </c>
      <c r="E139" s="16" t="s">
        <v>419</v>
      </c>
      <c r="H139" s="16">
        <v>70000246</v>
      </c>
      <c r="I139" s="16" t="str">
        <f t="shared" si="30"/>
        <v>{id:70003005},{id:70005005},{id:70004005},{id:70006000}</v>
      </c>
      <c r="J139" s="16" t="s">
        <v>457</v>
      </c>
      <c r="K139" s="16" t="str">
        <f t="shared" si="31"/>
        <v>{id:70003005}</v>
      </c>
      <c r="L139" s="16" t="str">
        <f t="shared" si="32"/>
        <v>{id:70005005}</v>
      </c>
      <c r="M139" s="16" t="str">
        <f t="shared" si="33"/>
        <v>{id:70004005}</v>
      </c>
      <c r="N139" s="16" t="str">
        <f t="shared" si="34"/>
        <v>{id:70006000}</v>
      </c>
    </row>
    <row r="140" spans="1:14" x14ac:dyDescent="0.15">
      <c r="A140" s="16">
        <v>48</v>
      </c>
      <c r="B140" s="16" t="s">
        <v>436</v>
      </c>
      <c r="C140" s="16" t="s">
        <v>436</v>
      </c>
      <c r="D140" s="16" t="s">
        <v>436</v>
      </c>
      <c r="E140" s="16" t="s">
        <v>419</v>
      </c>
      <c r="H140" s="16">
        <v>70000247</v>
      </c>
      <c r="I140" s="16" t="str">
        <f t="shared" si="30"/>
        <v>{id:70003005},{id:70005005},{id:70004005},{id:70006000}</v>
      </c>
      <c r="J140" s="16" t="s">
        <v>457</v>
      </c>
      <c r="K140" s="16" t="str">
        <f t="shared" si="31"/>
        <v>{id:70003005}</v>
      </c>
      <c r="L140" s="16" t="str">
        <f t="shared" si="32"/>
        <v>{id:70005005}</v>
      </c>
      <c r="M140" s="16" t="str">
        <f t="shared" si="33"/>
        <v>{id:70004005}</v>
      </c>
      <c r="N140" s="16" t="str">
        <f t="shared" si="34"/>
        <v>{id:70006000}</v>
      </c>
    </row>
    <row r="141" spans="1:14" x14ac:dyDescent="0.15">
      <c r="A141" s="16">
        <v>49</v>
      </c>
      <c r="B141" s="16" t="s">
        <v>436</v>
      </c>
      <c r="C141" s="16" t="s">
        <v>436</v>
      </c>
      <c r="D141" s="16" t="s">
        <v>436</v>
      </c>
      <c r="E141" s="16" t="s">
        <v>419</v>
      </c>
      <c r="H141" s="16">
        <v>70000248</v>
      </c>
      <c r="I141" s="16" t="str">
        <f t="shared" si="30"/>
        <v>{id:70003005},{id:70005005},{id:70004005},{id:70006000}</v>
      </c>
      <c r="J141" s="16" t="s">
        <v>457</v>
      </c>
      <c r="K141" s="16" t="str">
        <f t="shared" si="31"/>
        <v>{id:70003005}</v>
      </c>
      <c r="L141" s="16" t="str">
        <f t="shared" si="32"/>
        <v>{id:70005005}</v>
      </c>
      <c r="M141" s="16" t="str">
        <f t="shared" si="33"/>
        <v>{id:70004005}</v>
      </c>
      <c r="N141" s="16" t="str">
        <f t="shared" si="34"/>
        <v>{id:70006000}</v>
      </c>
    </row>
    <row r="142" spans="1:14" x14ac:dyDescent="0.15">
      <c r="A142" s="16">
        <v>50</v>
      </c>
      <c r="B142" s="16" t="s">
        <v>436</v>
      </c>
      <c r="C142" s="16" t="s">
        <v>436</v>
      </c>
      <c r="D142" s="16" t="s">
        <v>436</v>
      </c>
      <c r="E142" s="16" t="s">
        <v>419</v>
      </c>
      <c r="H142" s="16">
        <v>70000249</v>
      </c>
      <c r="I142" s="16" t="str">
        <f t="shared" si="30"/>
        <v>{id:70003005},{id:70005005},{id:70004005},{id:70006000}</v>
      </c>
      <c r="J142" s="16" t="s">
        <v>457</v>
      </c>
      <c r="K142" s="16" t="str">
        <f t="shared" si="31"/>
        <v>{id:70003005}</v>
      </c>
      <c r="L142" s="16" t="str">
        <f t="shared" si="32"/>
        <v>{id:70005005}</v>
      </c>
      <c r="M142" s="16" t="str">
        <f t="shared" si="33"/>
        <v>{id:70004005}</v>
      </c>
      <c r="N142" s="16" t="str">
        <f t="shared" si="34"/>
        <v>{id:70006000}</v>
      </c>
    </row>
    <row r="144" spans="1:14" x14ac:dyDescent="0.15">
      <c r="A144" s="36" t="s">
        <v>476</v>
      </c>
      <c r="B144" s="36"/>
      <c r="C144" s="36"/>
      <c r="D144" s="36"/>
      <c r="E144" s="36"/>
      <c r="F144" s="36"/>
    </row>
    <row r="145" spans="1:16" x14ac:dyDescent="0.15">
      <c r="A145" s="28" t="s">
        <v>482</v>
      </c>
      <c r="B145" s="28" t="s">
        <v>464</v>
      </c>
      <c r="C145" s="28" t="s">
        <v>466</v>
      </c>
      <c r="D145" s="28"/>
      <c r="E145" s="28"/>
      <c r="F145" s="28"/>
      <c r="H145" s="16" t="s">
        <v>479</v>
      </c>
      <c r="I145" s="16" t="s">
        <v>480</v>
      </c>
      <c r="K145" s="28" t="s">
        <v>464</v>
      </c>
      <c r="L145" s="28" t="s">
        <v>466</v>
      </c>
      <c r="M145" s="28"/>
      <c r="N145" s="28"/>
      <c r="O145" s="28"/>
      <c r="P145" s="28"/>
    </row>
    <row r="146" spans="1:16" x14ac:dyDescent="0.15">
      <c r="A146" s="16">
        <v>1</v>
      </c>
      <c r="B146" s="16" t="s">
        <v>431</v>
      </c>
      <c r="C146" s="16" t="s">
        <v>431</v>
      </c>
      <c r="H146" s="16">
        <v>70000300</v>
      </c>
      <c r="I146" s="16" t="str">
        <f>K146&amp;","&amp;L146</f>
        <v>{id:70003000},{id:70004000}</v>
      </c>
      <c r="J146" s="16" t="s">
        <v>457</v>
      </c>
      <c r="K146" s="16" t="str">
        <f t="shared" ref="K146:K170" si="35">"{id:"&amp;VLOOKUP(B146,$T$27:$U$32,2,FALSE)&amp;"}"</f>
        <v>{id:70003000}</v>
      </c>
      <c r="L146" s="16" t="str">
        <f t="shared" ref="L146:L170" si="36">"{id:"&amp;VLOOKUP(C146,$T$35:$U$40,2,FALSE)&amp;"}"</f>
        <v>{id:70004000}</v>
      </c>
    </row>
    <row r="147" spans="1:16" x14ac:dyDescent="0.15">
      <c r="A147" s="16">
        <v>2</v>
      </c>
      <c r="B147" s="16" t="s">
        <v>431</v>
      </c>
      <c r="C147" s="16" t="s">
        <v>431</v>
      </c>
      <c r="H147" s="16">
        <v>70000301</v>
      </c>
      <c r="I147" s="16" t="str">
        <f t="shared" ref="I147:I170" si="37">K147&amp;","&amp;L147</f>
        <v>{id:70003000},{id:70004000}</v>
      </c>
      <c r="J147" s="16" t="s">
        <v>457</v>
      </c>
      <c r="K147" s="16" t="str">
        <f t="shared" si="35"/>
        <v>{id:70003000}</v>
      </c>
      <c r="L147" s="16" t="str">
        <f t="shared" si="36"/>
        <v>{id:70004000}</v>
      </c>
    </row>
    <row r="148" spans="1:16" x14ac:dyDescent="0.15">
      <c r="A148" s="16">
        <v>3</v>
      </c>
      <c r="B148" s="16" t="s">
        <v>431</v>
      </c>
      <c r="C148" s="16" t="s">
        <v>431</v>
      </c>
      <c r="H148" s="16">
        <v>70000302</v>
      </c>
      <c r="I148" s="16" t="str">
        <f t="shared" si="37"/>
        <v>{id:70003000},{id:70004000}</v>
      </c>
      <c r="J148" s="16" t="s">
        <v>457</v>
      </c>
      <c r="K148" s="16" t="str">
        <f t="shared" si="35"/>
        <v>{id:70003000}</v>
      </c>
      <c r="L148" s="16" t="str">
        <f t="shared" si="36"/>
        <v>{id:70004000}</v>
      </c>
    </row>
    <row r="149" spans="1:16" x14ac:dyDescent="0.15">
      <c r="A149" s="16">
        <v>4</v>
      </c>
      <c r="B149" s="16" t="s">
        <v>431</v>
      </c>
      <c r="C149" s="16" t="s">
        <v>431</v>
      </c>
      <c r="H149" s="16">
        <v>70000303</v>
      </c>
      <c r="I149" s="16" t="str">
        <f t="shared" si="37"/>
        <v>{id:70003000},{id:70004000}</v>
      </c>
      <c r="J149" s="16" t="s">
        <v>457</v>
      </c>
      <c r="K149" s="16" t="str">
        <f t="shared" si="35"/>
        <v>{id:70003000}</v>
      </c>
      <c r="L149" s="16" t="str">
        <f t="shared" si="36"/>
        <v>{id:70004000}</v>
      </c>
    </row>
    <row r="150" spans="1:16" x14ac:dyDescent="0.15">
      <c r="A150" s="16">
        <v>5</v>
      </c>
      <c r="B150" s="16" t="s">
        <v>432</v>
      </c>
      <c r="C150" s="16" t="s">
        <v>432</v>
      </c>
      <c r="H150" s="16">
        <v>70000304</v>
      </c>
      <c r="I150" s="16" t="str">
        <f t="shared" si="37"/>
        <v>{id:70003001},{id:70004001}</v>
      </c>
      <c r="J150" s="16" t="s">
        <v>457</v>
      </c>
      <c r="K150" s="16" t="str">
        <f t="shared" si="35"/>
        <v>{id:70003001}</v>
      </c>
      <c r="L150" s="16" t="str">
        <f t="shared" si="36"/>
        <v>{id:70004001}</v>
      </c>
    </row>
    <row r="151" spans="1:16" x14ac:dyDescent="0.15">
      <c r="A151" s="16">
        <v>6</v>
      </c>
      <c r="B151" s="16" t="s">
        <v>432</v>
      </c>
      <c r="C151" s="16" t="s">
        <v>432</v>
      </c>
      <c r="H151" s="16">
        <v>70000305</v>
      </c>
      <c r="I151" s="16" t="str">
        <f t="shared" si="37"/>
        <v>{id:70003001},{id:70004001}</v>
      </c>
      <c r="J151" s="16" t="s">
        <v>457</v>
      </c>
      <c r="K151" s="16" t="str">
        <f t="shared" si="35"/>
        <v>{id:70003001}</v>
      </c>
      <c r="L151" s="16" t="str">
        <f t="shared" si="36"/>
        <v>{id:70004001}</v>
      </c>
    </row>
    <row r="152" spans="1:16" x14ac:dyDescent="0.15">
      <c r="A152" s="16">
        <v>7</v>
      </c>
      <c r="B152" s="16" t="s">
        <v>432</v>
      </c>
      <c r="C152" s="16" t="s">
        <v>432</v>
      </c>
      <c r="H152" s="16">
        <v>70000306</v>
      </c>
      <c r="I152" s="16" t="str">
        <f t="shared" si="37"/>
        <v>{id:70003001},{id:70004001}</v>
      </c>
      <c r="J152" s="16" t="s">
        <v>457</v>
      </c>
      <c r="K152" s="16" t="str">
        <f t="shared" si="35"/>
        <v>{id:70003001}</v>
      </c>
      <c r="L152" s="16" t="str">
        <f t="shared" si="36"/>
        <v>{id:70004001}</v>
      </c>
    </row>
    <row r="153" spans="1:16" x14ac:dyDescent="0.15">
      <c r="A153" s="16">
        <v>8</v>
      </c>
      <c r="B153" s="16" t="s">
        <v>432</v>
      </c>
      <c r="C153" s="16" t="s">
        <v>432</v>
      </c>
      <c r="H153" s="16">
        <v>70000307</v>
      </c>
      <c r="I153" s="16" t="str">
        <f t="shared" si="37"/>
        <v>{id:70003001},{id:70004001}</v>
      </c>
      <c r="J153" s="16" t="s">
        <v>457</v>
      </c>
      <c r="K153" s="16" t="str">
        <f t="shared" si="35"/>
        <v>{id:70003001}</v>
      </c>
      <c r="L153" s="16" t="str">
        <f t="shared" si="36"/>
        <v>{id:70004001}</v>
      </c>
    </row>
    <row r="154" spans="1:16" x14ac:dyDescent="0.15">
      <c r="A154" s="16">
        <v>9</v>
      </c>
      <c r="B154" s="16" t="s">
        <v>432</v>
      </c>
      <c r="C154" s="16" t="s">
        <v>432</v>
      </c>
      <c r="H154" s="16">
        <v>70000308</v>
      </c>
      <c r="I154" s="16" t="str">
        <f t="shared" si="37"/>
        <v>{id:70003001},{id:70004001}</v>
      </c>
      <c r="J154" s="16" t="s">
        <v>457</v>
      </c>
      <c r="K154" s="16" t="str">
        <f t="shared" si="35"/>
        <v>{id:70003001}</v>
      </c>
      <c r="L154" s="16" t="str">
        <f t="shared" si="36"/>
        <v>{id:70004001}</v>
      </c>
    </row>
    <row r="155" spans="1:16" x14ac:dyDescent="0.15">
      <c r="A155" s="16">
        <v>10</v>
      </c>
      <c r="B155" s="16" t="s">
        <v>433</v>
      </c>
      <c r="C155" s="16" t="s">
        <v>433</v>
      </c>
      <c r="H155" s="16">
        <v>70000309</v>
      </c>
      <c r="I155" s="16" t="str">
        <f t="shared" si="37"/>
        <v>{id:70003002},{id:70004002}</v>
      </c>
      <c r="J155" s="16" t="s">
        <v>457</v>
      </c>
      <c r="K155" s="16" t="str">
        <f t="shared" si="35"/>
        <v>{id:70003002}</v>
      </c>
      <c r="L155" s="16" t="str">
        <f t="shared" si="36"/>
        <v>{id:70004002}</v>
      </c>
    </row>
    <row r="156" spans="1:16" x14ac:dyDescent="0.15">
      <c r="A156" s="16">
        <v>11</v>
      </c>
      <c r="B156" s="16" t="s">
        <v>433</v>
      </c>
      <c r="C156" s="16" t="s">
        <v>433</v>
      </c>
      <c r="H156" s="16">
        <v>70000310</v>
      </c>
      <c r="I156" s="16" t="str">
        <f t="shared" si="37"/>
        <v>{id:70003002},{id:70004002}</v>
      </c>
      <c r="J156" s="16" t="s">
        <v>457</v>
      </c>
      <c r="K156" s="16" t="str">
        <f t="shared" si="35"/>
        <v>{id:70003002}</v>
      </c>
      <c r="L156" s="16" t="str">
        <f t="shared" si="36"/>
        <v>{id:70004002}</v>
      </c>
    </row>
    <row r="157" spans="1:16" x14ac:dyDescent="0.15">
      <c r="A157" s="16">
        <v>12</v>
      </c>
      <c r="B157" s="16" t="s">
        <v>433</v>
      </c>
      <c r="C157" s="16" t="s">
        <v>433</v>
      </c>
      <c r="H157" s="16">
        <v>70000311</v>
      </c>
      <c r="I157" s="16" t="str">
        <f t="shared" si="37"/>
        <v>{id:70003002},{id:70004002}</v>
      </c>
      <c r="J157" s="16" t="s">
        <v>457</v>
      </c>
      <c r="K157" s="16" t="str">
        <f t="shared" si="35"/>
        <v>{id:70003002}</v>
      </c>
      <c r="L157" s="16" t="str">
        <f t="shared" si="36"/>
        <v>{id:70004002}</v>
      </c>
    </row>
    <row r="158" spans="1:16" x14ac:dyDescent="0.15">
      <c r="A158" s="16">
        <v>13</v>
      </c>
      <c r="B158" s="16" t="s">
        <v>434</v>
      </c>
      <c r="C158" s="16" t="s">
        <v>434</v>
      </c>
      <c r="H158" s="16">
        <v>70000312</v>
      </c>
      <c r="I158" s="16" t="str">
        <f t="shared" si="37"/>
        <v>{id:70003003},{id:70004003}</v>
      </c>
      <c r="J158" s="16" t="s">
        <v>457</v>
      </c>
      <c r="K158" s="16" t="str">
        <f t="shared" si="35"/>
        <v>{id:70003003}</v>
      </c>
      <c r="L158" s="16" t="str">
        <f t="shared" si="36"/>
        <v>{id:70004003}</v>
      </c>
    </row>
    <row r="159" spans="1:16" x14ac:dyDescent="0.15">
      <c r="A159" s="16">
        <v>14</v>
      </c>
      <c r="B159" s="16" t="s">
        <v>434</v>
      </c>
      <c r="C159" s="16" t="s">
        <v>434</v>
      </c>
      <c r="H159" s="16">
        <v>70000313</v>
      </c>
      <c r="I159" s="16" t="str">
        <f t="shared" si="37"/>
        <v>{id:70003003},{id:70004003}</v>
      </c>
      <c r="J159" s="16" t="s">
        <v>457</v>
      </c>
      <c r="K159" s="16" t="str">
        <f t="shared" si="35"/>
        <v>{id:70003003}</v>
      </c>
      <c r="L159" s="16" t="str">
        <f t="shared" si="36"/>
        <v>{id:70004003}</v>
      </c>
    </row>
    <row r="160" spans="1:16" x14ac:dyDescent="0.15">
      <c r="A160" s="16">
        <v>15</v>
      </c>
      <c r="B160" s="16" t="s">
        <v>434</v>
      </c>
      <c r="C160" s="16" t="s">
        <v>434</v>
      </c>
      <c r="H160" s="16">
        <v>70000314</v>
      </c>
      <c r="I160" s="16" t="str">
        <f t="shared" si="37"/>
        <v>{id:70003003},{id:70004003}</v>
      </c>
      <c r="J160" s="16" t="s">
        <v>457</v>
      </c>
      <c r="K160" s="16" t="str">
        <f t="shared" si="35"/>
        <v>{id:70003003}</v>
      </c>
      <c r="L160" s="16" t="str">
        <f t="shared" si="36"/>
        <v>{id:70004003}</v>
      </c>
    </row>
    <row r="161" spans="1:15" x14ac:dyDescent="0.15">
      <c r="A161" s="16">
        <v>16</v>
      </c>
      <c r="B161" s="16" t="s">
        <v>435</v>
      </c>
      <c r="C161" s="16" t="s">
        <v>435</v>
      </c>
      <c r="H161" s="16">
        <v>70000315</v>
      </c>
      <c r="I161" s="16" t="str">
        <f t="shared" si="37"/>
        <v>{id:70003004},{id:70004004}</v>
      </c>
      <c r="J161" s="16" t="s">
        <v>457</v>
      </c>
      <c r="K161" s="16" t="str">
        <f t="shared" si="35"/>
        <v>{id:70003004}</v>
      </c>
      <c r="L161" s="16" t="str">
        <f t="shared" si="36"/>
        <v>{id:70004004}</v>
      </c>
    </row>
    <row r="162" spans="1:15" x14ac:dyDescent="0.15">
      <c r="A162" s="16">
        <v>17</v>
      </c>
      <c r="B162" s="16" t="s">
        <v>435</v>
      </c>
      <c r="C162" s="16" t="s">
        <v>435</v>
      </c>
      <c r="H162" s="16">
        <v>70000316</v>
      </c>
      <c r="I162" s="16" t="str">
        <f t="shared" si="37"/>
        <v>{id:70003004},{id:70004004}</v>
      </c>
      <c r="J162" s="16" t="s">
        <v>457</v>
      </c>
      <c r="K162" s="16" t="str">
        <f t="shared" si="35"/>
        <v>{id:70003004}</v>
      </c>
      <c r="L162" s="16" t="str">
        <f t="shared" si="36"/>
        <v>{id:70004004}</v>
      </c>
    </row>
    <row r="163" spans="1:15" x14ac:dyDescent="0.15">
      <c r="A163" s="16">
        <v>18</v>
      </c>
      <c r="B163" s="16" t="s">
        <v>435</v>
      </c>
      <c r="C163" s="16" t="s">
        <v>435</v>
      </c>
      <c r="H163" s="16">
        <v>70000317</v>
      </c>
      <c r="I163" s="16" t="str">
        <f t="shared" si="37"/>
        <v>{id:70003004},{id:70004004}</v>
      </c>
      <c r="J163" s="16" t="s">
        <v>457</v>
      </c>
      <c r="K163" s="16" t="str">
        <f t="shared" si="35"/>
        <v>{id:70003004}</v>
      </c>
      <c r="L163" s="16" t="str">
        <f t="shared" si="36"/>
        <v>{id:70004004}</v>
      </c>
    </row>
    <row r="164" spans="1:15" x14ac:dyDescent="0.15">
      <c r="A164" s="16">
        <v>19</v>
      </c>
      <c r="B164" s="16" t="s">
        <v>435</v>
      </c>
      <c r="C164" s="16" t="s">
        <v>435</v>
      </c>
      <c r="H164" s="16">
        <v>70000318</v>
      </c>
      <c r="I164" s="16" t="str">
        <f t="shared" si="37"/>
        <v>{id:70003004},{id:70004004}</v>
      </c>
      <c r="J164" s="16" t="s">
        <v>457</v>
      </c>
      <c r="K164" s="16" t="str">
        <f t="shared" si="35"/>
        <v>{id:70003004}</v>
      </c>
      <c r="L164" s="16" t="str">
        <f t="shared" si="36"/>
        <v>{id:70004004}</v>
      </c>
    </row>
    <row r="165" spans="1:15" x14ac:dyDescent="0.15">
      <c r="A165" s="16">
        <v>20</v>
      </c>
      <c r="B165" s="16" t="s">
        <v>436</v>
      </c>
      <c r="C165" s="16" t="s">
        <v>436</v>
      </c>
      <c r="H165" s="16">
        <v>70000319</v>
      </c>
      <c r="I165" s="16" t="str">
        <f t="shared" si="37"/>
        <v>{id:70003005},{id:70004005}</v>
      </c>
      <c r="J165" s="16" t="s">
        <v>457</v>
      </c>
      <c r="K165" s="16" t="str">
        <f t="shared" si="35"/>
        <v>{id:70003005}</v>
      </c>
      <c r="L165" s="16" t="str">
        <f t="shared" si="36"/>
        <v>{id:70004005}</v>
      </c>
    </row>
    <row r="166" spans="1:15" x14ac:dyDescent="0.15">
      <c r="A166" s="16">
        <v>21</v>
      </c>
      <c r="B166" s="16" t="s">
        <v>436</v>
      </c>
      <c r="C166" s="16" t="s">
        <v>436</v>
      </c>
      <c r="H166" s="16">
        <v>70000320</v>
      </c>
      <c r="I166" s="16" t="str">
        <f t="shared" si="37"/>
        <v>{id:70003005},{id:70004005}</v>
      </c>
      <c r="J166" s="16" t="s">
        <v>457</v>
      </c>
      <c r="K166" s="16" t="str">
        <f t="shared" si="35"/>
        <v>{id:70003005}</v>
      </c>
      <c r="L166" s="16" t="str">
        <f t="shared" si="36"/>
        <v>{id:70004005}</v>
      </c>
    </row>
    <row r="167" spans="1:15" x14ac:dyDescent="0.15">
      <c r="A167" s="16">
        <v>22</v>
      </c>
      <c r="B167" s="16" t="s">
        <v>436</v>
      </c>
      <c r="C167" s="16" t="s">
        <v>436</v>
      </c>
      <c r="H167" s="16">
        <v>70000321</v>
      </c>
      <c r="I167" s="16" t="str">
        <f t="shared" si="37"/>
        <v>{id:70003005},{id:70004005}</v>
      </c>
      <c r="J167" s="16" t="s">
        <v>457</v>
      </c>
      <c r="K167" s="16" t="str">
        <f t="shared" si="35"/>
        <v>{id:70003005}</v>
      </c>
      <c r="L167" s="16" t="str">
        <f t="shared" si="36"/>
        <v>{id:70004005}</v>
      </c>
    </row>
    <row r="168" spans="1:15" x14ac:dyDescent="0.15">
      <c r="A168" s="16">
        <v>23</v>
      </c>
      <c r="B168" s="16" t="s">
        <v>436</v>
      </c>
      <c r="C168" s="16" t="s">
        <v>436</v>
      </c>
      <c r="H168" s="16">
        <v>70000322</v>
      </c>
      <c r="I168" s="16" t="str">
        <f t="shared" si="37"/>
        <v>{id:70003005},{id:70004005}</v>
      </c>
      <c r="J168" s="16" t="s">
        <v>457</v>
      </c>
      <c r="K168" s="16" t="str">
        <f t="shared" si="35"/>
        <v>{id:70003005}</v>
      </c>
      <c r="L168" s="16" t="str">
        <f t="shared" si="36"/>
        <v>{id:70004005}</v>
      </c>
    </row>
    <row r="169" spans="1:15" x14ac:dyDescent="0.15">
      <c r="A169" s="16">
        <v>24</v>
      </c>
      <c r="B169" s="16" t="s">
        <v>436</v>
      </c>
      <c r="C169" s="16" t="s">
        <v>436</v>
      </c>
      <c r="H169" s="16">
        <v>70000323</v>
      </c>
      <c r="I169" s="16" t="str">
        <f t="shared" si="37"/>
        <v>{id:70003005},{id:70004005}</v>
      </c>
      <c r="J169" s="16" t="s">
        <v>457</v>
      </c>
      <c r="K169" s="16" t="str">
        <f t="shared" si="35"/>
        <v>{id:70003005}</v>
      </c>
      <c r="L169" s="16" t="str">
        <f t="shared" si="36"/>
        <v>{id:70004005}</v>
      </c>
    </row>
    <row r="170" spans="1:15" x14ac:dyDescent="0.15">
      <c r="A170" s="16">
        <v>25</v>
      </c>
      <c r="B170" s="16" t="s">
        <v>436</v>
      </c>
      <c r="C170" s="16" t="s">
        <v>436</v>
      </c>
      <c r="H170" s="16">
        <v>70000324</v>
      </c>
      <c r="I170" s="16" t="str">
        <f t="shared" si="37"/>
        <v>{id:70003005},{id:70004005}</v>
      </c>
      <c r="J170" s="16" t="s">
        <v>457</v>
      </c>
      <c r="K170" s="16" t="str">
        <f t="shared" si="35"/>
        <v>{id:70003005}</v>
      </c>
      <c r="L170" s="16" t="str">
        <f t="shared" si="36"/>
        <v>{id:70004005}</v>
      </c>
    </row>
    <row r="172" spans="1:15" x14ac:dyDescent="0.15">
      <c r="A172" s="36" t="s">
        <v>485</v>
      </c>
      <c r="B172" s="36"/>
      <c r="C172" s="36"/>
      <c r="D172" s="36"/>
      <c r="E172" s="36"/>
      <c r="F172" s="36"/>
    </row>
    <row r="173" spans="1:15" x14ac:dyDescent="0.15">
      <c r="A173" s="28" t="s">
        <v>482</v>
      </c>
      <c r="B173" s="28" t="s">
        <v>463</v>
      </c>
      <c r="C173" s="28"/>
      <c r="D173" s="28"/>
      <c r="E173" s="28"/>
      <c r="F173" s="28"/>
      <c r="H173" s="16" t="s">
        <v>479</v>
      </c>
      <c r="I173" s="16" t="s">
        <v>480</v>
      </c>
      <c r="K173" s="28" t="s">
        <v>463</v>
      </c>
      <c r="L173" s="28"/>
      <c r="M173" s="28"/>
      <c r="N173" s="28"/>
      <c r="O173" s="28"/>
    </row>
    <row r="174" spans="1:15" x14ac:dyDescent="0.15">
      <c r="A174" s="16">
        <v>1</v>
      </c>
      <c r="B174" s="16" t="s">
        <v>421</v>
      </c>
      <c r="H174" s="16">
        <v>70000400</v>
      </c>
      <c r="I174" s="16" t="str">
        <f>K174</f>
        <v>{id:70002000}</v>
      </c>
      <c r="J174" s="16" t="s">
        <v>457</v>
      </c>
      <c r="K174" s="16" t="str">
        <f>"{id:"&amp;VLOOKUP(B174,$T$15:$U$24,2,FALSE)&amp;"}"</f>
        <v>{id:70002000}</v>
      </c>
    </row>
    <row r="175" spans="1:15" x14ac:dyDescent="0.15">
      <c r="A175" s="16">
        <v>2</v>
      </c>
      <c r="B175" s="16" t="s">
        <v>421</v>
      </c>
      <c r="H175" s="16">
        <v>70000401</v>
      </c>
      <c r="I175" s="16" t="str">
        <f t="shared" ref="I175:I198" si="38">K175</f>
        <v>{id:70002000}</v>
      </c>
      <c r="J175" s="16" t="s">
        <v>457</v>
      </c>
      <c r="K175" s="16" t="str">
        <f t="shared" ref="K175:K198" si="39">"{id:"&amp;VLOOKUP(B175,$T$15:$U$24,2,FALSE)&amp;"}"</f>
        <v>{id:70002000}</v>
      </c>
    </row>
    <row r="176" spans="1:15" x14ac:dyDescent="0.15">
      <c r="A176" s="16">
        <v>3</v>
      </c>
      <c r="B176" s="16" t="s">
        <v>422</v>
      </c>
      <c r="H176" s="16">
        <v>70000402</v>
      </c>
      <c r="I176" s="16" t="str">
        <f t="shared" si="38"/>
        <v>{id:70002001}</v>
      </c>
      <c r="J176" s="16" t="s">
        <v>457</v>
      </c>
      <c r="K176" s="16" t="str">
        <f t="shared" si="39"/>
        <v>{id:70002001}</v>
      </c>
    </row>
    <row r="177" spans="1:11" x14ac:dyDescent="0.15">
      <c r="A177" s="16">
        <v>4</v>
      </c>
      <c r="B177" s="16" t="s">
        <v>422</v>
      </c>
      <c r="H177" s="16">
        <v>70000403</v>
      </c>
      <c r="I177" s="16" t="str">
        <f t="shared" si="38"/>
        <v>{id:70002001}</v>
      </c>
      <c r="J177" s="16" t="s">
        <v>457</v>
      </c>
      <c r="K177" s="16" t="str">
        <f t="shared" si="39"/>
        <v>{id:70002001}</v>
      </c>
    </row>
    <row r="178" spans="1:11" x14ac:dyDescent="0.15">
      <c r="A178" s="16">
        <v>5</v>
      </c>
      <c r="B178" s="16" t="s">
        <v>423</v>
      </c>
      <c r="H178" s="16">
        <v>70000404</v>
      </c>
      <c r="I178" s="16" t="str">
        <f t="shared" si="38"/>
        <v>{id:70002002}</v>
      </c>
      <c r="J178" s="16" t="s">
        <v>457</v>
      </c>
      <c r="K178" s="16" t="str">
        <f t="shared" si="39"/>
        <v>{id:70002002}</v>
      </c>
    </row>
    <row r="179" spans="1:11" x14ac:dyDescent="0.15">
      <c r="A179" s="16">
        <v>6</v>
      </c>
      <c r="B179" s="16" t="s">
        <v>423</v>
      </c>
      <c r="H179" s="16">
        <v>70000405</v>
      </c>
      <c r="I179" s="16" t="str">
        <f t="shared" si="38"/>
        <v>{id:70002002}</v>
      </c>
      <c r="J179" s="16" t="s">
        <v>457</v>
      </c>
      <c r="K179" s="16" t="str">
        <f t="shared" si="39"/>
        <v>{id:70002002}</v>
      </c>
    </row>
    <row r="180" spans="1:11" x14ac:dyDescent="0.15">
      <c r="A180" s="16">
        <v>7</v>
      </c>
      <c r="B180" s="16" t="s">
        <v>423</v>
      </c>
      <c r="H180" s="16">
        <v>70000406</v>
      </c>
      <c r="I180" s="16" t="str">
        <f t="shared" si="38"/>
        <v>{id:70002002}</v>
      </c>
      <c r="J180" s="16" t="s">
        <v>457</v>
      </c>
      <c r="K180" s="16" t="str">
        <f t="shared" si="39"/>
        <v>{id:70002002}</v>
      </c>
    </row>
    <row r="181" spans="1:11" x14ac:dyDescent="0.15">
      <c r="A181" s="16">
        <v>8</v>
      </c>
      <c r="B181" s="16" t="s">
        <v>424</v>
      </c>
      <c r="H181" s="16">
        <v>70000407</v>
      </c>
      <c r="I181" s="16" t="str">
        <f t="shared" si="38"/>
        <v>{id:70002003}</v>
      </c>
      <c r="J181" s="16" t="s">
        <v>457</v>
      </c>
      <c r="K181" s="16" t="str">
        <f t="shared" si="39"/>
        <v>{id:70002003}</v>
      </c>
    </row>
    <row r="182" spans="1:11" x14ac:dyDescent="0.15">
      <c r="A182" s="16">
        <v>9</v>
      </c>
      <c r="B182" s="16" t="s">
        <v>424</v>
      </c>
      <c r="H182" s="16">
        <v>70000408</v>
      </c>
      <c r="I182" s="16" t="str">
        <f t="shared" si="38"/>
        <v>{id:70002003}</v>
      </c>
      <c r="J182" s="16" t="s">
        <v>457</v>
      </c>
      <c r="K182" s="16" t="str">
        <f t="shared" si="39"/>
        <v>{id:70002003}</v>
      </c>
    </row>
    <row r="183" spans="1:11" x14ac:dyDescent="0.15">
      <c r="A183" s="16">
        <v>10</v>
      </c>
      <c r="B183" s="16" t="s">
        <v>425</v>
      </c>
      <c r="H183" s="16">
        <v>70000409</v>
      </c>
      <c r="I183" s="16" t="str">
        <f t="shared" si="38"/>
        <v>{id:70002004}</v>
      </c>
      <c r="J183" s="16" t="s">
        <v>457</v>
      </c>
      <c r="K183" s="16" t="str">
        <f t="shared" si="39"/>
        <v>{id:70002004}</v>
      </c>
    </row>
    <row r="184" spans="1:11" x14ac:dyDescent="0.15">
      <c r="A184" s="16">
        <v>11</v>
      </c>
      <c r="B184" s="16" t="s">
        <v>425</v>
      </c>
      <c r="H184" s="16">
        <v>70000410</v>
      </c>
      <c r="I184" s="16" t="str">
        <f t="shared" si="38"/>
        <v>{id:70002004}</v>
      </c>
      <c r="J184" s="16" t="s">
        <v>457</v>
      </c>
      <c r="K184" s="16" t="str">
        <f t="shared" si="39"/>
        <v>{id:70002004}</v>
      </c>
    </row>
    <row r="185" spans="1:11" x14ac:dyDescent="0.15">
      <c r="A185" s="16">
        <v>12</v>
      </c>
      <c r="B185" s="16" t="s">
        <v>425</v>
      </c>
      <c r="H185" s="16">
        <v>70000411</v>
      </c>
      <c r="I185" s="16" t="str">
        <f t="shared" si="38"/>
        <v>{id:70002004}</v>
      </c>
      <c r="J185" s="16" t="s">
        <v>457</v>
      </c>
      <c r="K185" s="16" t="str">
        <f t="shared" si="39"/>
        <v>{id:70002004}</v>
      </c>
    </row>
    <row r="186" spans="1:11" x14ac:dyDescent="0.15">
      <c r="A186" s="16">
        <v>13</v>
      </c>
      <c r="B186" s="16" t="s">
        <v>426</v>
      </c>
      <c r="H186" s="16">
        <v>70000412</v>
      </c>
      <c r="I186" s="16" t="str">
        <f t="shared" si="38"/>
        <v>{id:70002005}</v>
      </c>
      <c r="J186" s="16" t="s">
        <v>457</v>
      </c>
      <c r="K186" s="16" t="str">
        <f t="shared" si="39"/>
        <v>{id:70002005}</v>
      </c>
    </row>
    <row r="187" spans="1:11" x14ac:dyDescent="0.15">
      <c r="A187" s="16">
        <v>14</v>
      </c>
      <c r="B187" s="16" t="s">
        <v>426</v>
      </c>
      <c r="H187" s="16">
        <v>70000413</v>
      </c>
      <c r="I187" s="16" t="str">
        <f t="shared" si="38"/>
        <v>{id:70002005}</v>
      </c>
      <c r="J187" s="16" t="s">
        <v>457</v>
      </c>
      <c r="K187" s="16" t="str">
        <f t="shared" si="39"/>
        <v>{id:70002005}</v>
      </c>
    </row>
    <row r="188" spans="1:11" x14ac:dyDescent="0.15">
      <c r="A188" s="16">
        <v>15</v>
      </c>
      <c r="B188" s="16" t="s">
        <v>426</v>
      </c>
      <c r="H188" s="16">
        <v>70000414</v>
      </c>
      <c r="I188" s="16" t="str">
        <f t="shared" si="38"/>
        <v>{id:70002005}</v>
      </c>
      <c r="J188" s="16" t="s">
        <v>457</v>
      </c>
      <c r="K188" s="16" t="str">
        <f t="shared" si="39"/>
        <v>{id:70002005}</v>
      </c>
    </row>
    <row r="189" spans="1:11" x14ac:dyDescent="0.15">
      <c r="A189" s="16">
        <v>16</v>
      </c>
      <c r="B189" s="16" t="s">
        <v>427</v>
      </c>
      <c r="H189" s="16">
        <v>70000415</v>
      </c>
      <c r="I189" s="16" t="str">
        <f t="shared" si="38"/>
        <v>{id:70002006}</v>
      </c>
      <c r="J189" s="16" t="s">
        <v>457</v>
      </c>
      <c r="K189" s="16" t="str">
        <f t="shared" si="39"/>
        <v>{id:70002006}</v>
      </c>
    </row>
    <row r="190" spans="1:11" x14ac:dyDescent="0.15">
      <c r="A190" s="16">
        <v>17</v>
      </c>
      <c r="B190" s="16" t="s">
        <v>427</v>
      </c>
      <c r="H190" s="16">
        <v>70000416</v>
      </c>
      <c r="I190" s="16" t="str">
        <f t="shared" si="38"/>
        <v>{id:70002006}</v>
      </c>
      <c r="J190" s="16" t="s">
        <v>457</v>
      </c>
      <c r="K190" s="16" t="str">
        <f t="shared" si="39"/>
        <v>{id:70002006}</v>
      </c>
    </row>
    <row r="191" spans="1:11" x14ac:dyDescent="0.15">
      <c r="A191" s="16">
        <v>18</v>
      </c>
      <c r="B191" s="16" t="s">
        <v>428</v>
      </c>
      <c r="H191" s="16">
        <v>70000417</v>
      </c>
      <c r="I191" s="16" t="str">
        <f t="shared" si="38"/>
        <v>{id:70002007}</v>
      </c>
      <c r="J191" s="16" t="s">
        <v>457</v>
      </c>
      <c r="K191" s="16" t="str">
        <f t="shared" si="39"/>
        <v>{id:70002007}</v>
      </c>
    </row>
    <row r="192" spans="1:11" x14ac:dyDescent="0.15">
      <c r="A192" s="16">
        <v>19</v>
      </c>
      <c r="B192" s="16" t="s">
        <v>428</v>
      </c>
      <c r="H192" s="16">
        <v>70000418</v>
      </c>
      <c r="I192" s="16" t="str">
        <f t="shared" si="38"/>
        <v>{id:70002007}</v>
      </c>
      <c r="J192" s="16" t="s">
        <v>457</v>
      </c>
      <c r="K192" s="16" t="str">
        <f t="shared" si="39"/>
        <v>{id:70002007}</v>
      </c>
    </row>
    <row r="193" spans="1:12" x14ac:dyDescent="0.15">
      <c r="A193" s="16">
        <v>20</v>
      </c>
      <c r="B193" s="16" t="s">
        <v>429</v>
      </c>
      <c r="H193" s="16">
        <v>70000419</v>
      </c>
      <c r="I193" s="16" t="str">
        <f t="shared" si="38"/>
        <v>{id:70002008}</v>
      </c>
      <c r="J193" s="16" t="s">
        <v>457</v>
      </c>
      <c r="K193" s="16" t="str">
        <f t="shared" si="39"/>
        <v>{id:70002008}</v>
      </c>
    </row>
    <row r="194" spans="1:12" x14ac:dyDescent="0.15">
      <c r="A194" s="16">
        <v>21</v>
      </c>
      <c r="B194" s="16" t="s">
        <v>429</v>
      </c>
      <c r="H194" s="16">
        <v>70000420</v>
      </c>
      <c r="I194" s="16" t="str">
        <f t="shared" si="38"/>
        <v>{id:70002008}</v>
      </c>
      <c r="J194" s="16" t="s">
        <v>457</v>
      </c>
      <c r="K194" s="16" t="str">
        <f t="shared" si="39"/>
        <v>{id:70002008}</v>
      </c>
    </row>
    <row r="195" spans="1:12" x14ac:dyDescent="0.15">
      <c r="A195" s="16">
        <v>22</v>
      </c>
      <c r="B195" s="16" t="s">
        <v>429</v>
      </c>
      <c r="H195" s="16">
        <v>70000421</v>
      </c>
      <c r="I195" s="16" t="str">
        <f t="shared" si="38"/>
        <v>{id:70002008}</v>
      </c>
      <c r="J195" s="16" t="s">
        <v>457</v>
      </c>
      <c r="K195" s="16" t="str">
        <f t="shared" si="39"/>
        <v>{id:70002008}</v>
      </c>
    </row>
    <row r="196" spans="1:12" x14ac:dyDescent="0.15">
      <c r="A196" s="16">
        <v>23</v>
      </c>
      <c r="B196" s="16" t="s">
        <v>430</v>
      </c>
      <c r="H196" s="16">
        <v>70000422</v>
      </c>
      <c r="I196" s="16" t="str">
        <f t="shared" si="38"/>
        <v>{id:70002009}</v>
      </c>
      <c r="J196" s="16" t="s">
        <v>457</v>
      </c>
      <c r="K196" s="16" t="str">
        <f t="shared" si="39"/>
        <v>{id:70002009}</v>
      </c>
    </row>
    <row r="197" spans="1:12" x14ac:dyDescent="0.15">
      <c r="A197" s="16">
        <v>24</v>
      </c>
      <c r="B197" s="16" t="s">
        <v>430</v>
      </c>
      <c r="H197" s="16">
        <v>70000423</v>
      </c>
      <c r="I197" s="16" t="str">
        <f t="shared" si="38"/>
        <v>{id:70002009}</v>
      </c>
      <c r="J197" s="16" t="s">
        <v>457</v>
      </c>
      <c r="K197" s="16" t="str">
        <f t="shared" si="39"/>
        <v>{id:70002009}</v>
      </c>
    </row>
    <row r="198" spans="1:12" x14ac:dyDescent="0.15">
      <c r="A198" s="16">
        <v>25</v>
      </c>
      <c r="B198" s="16" t="s">
        <v>430</v>
      </c>
      <c r="H198" s="16">
        <v>70000424</v>
      </c>
      <c r="I198" s="16" t="str">
        <f t="shared" si="38"/>
        <v>{id:70002009}</v>
      </c>
      <c r="J198" s="16" t="s">
        <v>457</v>
      </c>
      <c r="K198" s="16" t="str">
        <f t="shared" si="39"/>
        <v>{id:70002009}</v>
      </c>
    </row>
    <row r="200" spans="1:12" x14ac:dyDescent="0.15">
      <c r="A200" s="36" t="s">
        <v>486</v>
      </c>
      <c r="B200" s="36"/>
      <c r="C200" s="36"/>
      <c r="D200" s="36"/>
      <c r="E200" s="36"/>
      <c r="F200" s="36"/>
    </row>
    <row r="201" spans="1:12" x14ac:dyDescent="0.15">
      <c r="A201" s="28" t="s">
        <v>596</v>
      </c>
      <c r="B201" s="28" t="s">
        <v>465</v>
      </c>
      <c r="C201" s="28"/>
      <c r="D201" s="28"/>
      <c r="E201" s="28"/>
      <c r="F201" s="28"/>
      <c r="H201" s="16" t="s">
        <v>479</v>
      </c>
      <c r="I201" s="16" t="s">
        <v>480</v>
      </c>
      <c r="K201" s="28" t="s">
        <v>585</v>
      </c>
      <c r="L201" s="28"/>
    </row>
    <row r="202" spans="1:12" x14ac:dyDescent="0.15">
      <c r="A202" s="16">
        <v>1</v>
      </c>
      <c r="B202" s="16" t="s">
        <v>431</v>
      </c>
      <c r="H202" s="16">
        <v>70000500</v>
      </c>
      <c r="I202" s="16" t="str">
        <f>K202</f>
        <v>{id:70005000}</v>
      </c>
      <c r="J202" s="16" t="s">
        <v>457</v>
      </c>
      <c r="K202" s="16" t="str">
        <f t="shared" ref="K202:K226" si="40">"{id:"&amp;VLOOKUP(B202,$T$43:$U$48,2,FALSE)&amp;"}"</f>
        <v>{id:70005000}</v>
      </c>
    </row>
    <row r="203" spans="1:12" x14ac:dyDescent="0.15">
      <c r="A203" s="16">
        <v>2</v>
      </c>
      <c r="B203" s="16" t="s">
        <v>431</v>
      </c>
      <c r="H203" s="16">
        <v>70000501</v>
      </c>
      <c r="I203" s="16" t="str">
        <f t="shared" ref="I203:I226" si="41">K203</f>
        <v>{id:70005000}</v>
      </c>
      <c r="J203" s="16" t="s">
        <v>457</v>
      </c>
      <c r="K203" s="16" t="str">
        <f t="shared" si="40"/>
        <v>{id:70005000}</v>
      </c>
    </row>
    <row r="204" spans="1:12" x14ac:dyDescent="0.15">
      <c r="A204" s="16">
        <v>3</v>
      </c>
      <c r="B204" s="16" t="s">
        <v>431</v>
      </c>
      <c r="H204" s="16">
        <v>70000502</v>
      </c>
      <c r="I204" s="16" t="str">
        <f t="shared" si="41"/>
        <v>{id:70005000}</v>
      </c>
      <c r="J204" s="16" t="s">
        <v>457</v>
      </c>
      <c r="K204" s="16" t="str">
        <f t="shared" si="40"/>
        <v>{id:70005000}</v>
      </c>
    </row>
    <row r="205" spans="1:12" x14ac:dyDescent="0.15">
      <c r="A205" s="16">
        <v>4</v>
      </c>
      <c r="B205" s="16" t="s">
        <v>431</v>
      </c>
      <c r="H205" s="16">
        <v>70000503</v>
      </c>
      <c r="I205" s="16" t="str">
        <f t="shared" si="41"/>
        <v>{id:70005000}</v>
      </c>
      <c r="J205" s="16" t="s">
        <v>457</v>
      </c>
      <c r="K205" s="16" t="str">
        <f t="shared" si="40"/>
        <v>{id:70005000}</v>
      </c>
    </row>
    <row r="206" spans="1:12" x14ac:dyDescent="0.15">
      <c r="A206" s="16">
        <v>5</v>
      </c>
      <c r="B206" s="16" t="s">
        <v>432</v>
      </c>
      <c r="H206" s="16">
        <v>70000504</v>
      </c>
      <c r="I206" s="16" t="str">
        <f t="shared" si="41"/>
        <v>{id:70005001}</v>
      </c>
      <c r="J206" s="16" t="s">
        <v>457</v>
      </c>
      <c r="K206" s="16" t="str">
        <f t="shared" si="40"/>
        <v>{id:70005001}</v>
      </c>
    </row>
    <row r="207" spans="1:12" x14ac:dyDescent="0.15">
      <c r="A207" s="16">
        <v>6</v>
      </c>
      <c r="B207" s="16" t="s">
        <v>432</v>
      </c>
      <c r="H207" s="16">
        <v>70000505</v>
      </c>
      <c r="I207" s="16" t="str">
        <f t="shared" si="41"/>
        <v>{id:70005001}</v>
      </c>
      <c r="J207" s="16" t="s">
        <v>457</v>
      </c>
      <c r="K207" s="16" t="str">
        <f t="shared" si="40"/>
        <v>{id:70005001}</v>
      </c>
    </row>
    <row r="208" spans="1:12" x14ac:dyDescent="0.15">
      <c r="A208" s="16">
        <v>7</v>
      </c>
      <c r="B208" s="16" t="s">
        <v>432</v>
      </c>
      <c r="H208" s="16">
        <v>70000506</v>
      </c>
      <c r="I208" s="16" t="str">
        <f t="shared" si="41"/>
        <v>{id:70005001}</v>
      </c>
      <c r="J208" s="16" t="s">
        <v>457</v>
      </c>
      <c r="K208" s="16" t="str">
        <f t="shared" si="40"/>
        <v>{id:70005001}</v>
      </c>
    </row>
    <row r="209" spans="1:11" x14ac:dyDescent="0.15">
      <c r="A209" s="16">
        <v>8</v>
      </c>
      <c r="B209" s="16" t="s">
        <v>432</v>
      </c>
      <c r="H209" s="16">
        <v>70000507</v>
      </c>
      <c r="I209" s="16" t="str">
        <f t="shared" si="41"/>
        <v>{id:70005001}</v>
      </c>
      <c r="J209" s="16" t="s">
        <v>457</v>
      </c>
      <c r="K209" s="16" t="str">
        <f t="shared" si="40"/>
        <v>{id:70005001}</v>
      </c>
    </row>
    <row r="210" spans="1:11" x14ac:dyDescent="0.15">
      <c r="A210" s="16">
        <v>9</v>
      </c>
      <c r="B210" s="16" t="s">
        <v>432</v>
      </c>
      <c r="H210" s="16">
        <v>70000508</v>
      </c>
      <c r="I210" s="16" t="str">
        <f t="shared" si="41"/>
        <v>{id:70005001}</v>
      </c>
      <c r="J210" s="16" t="s">
        <v>457</v>
      </c>
      <c r="K210" s="16" t="str">
        <f t="shared" si="40"/>
        <v>{id:70005001}</v>
      </c>
    </row>
    <row r="211" spans="1:11" x14ac:dyDescent="0.15">
      <c r="A211" s="16">
        <v>10</v>
      </c>
      <c r="B211" s="16" t="s">
        <v>433</v>
      </c>
      <c r="H211" s="16">
        <v>70000509</v>
      </c>
      <c r="I211" s="16" t="str">
        <f t="shared" si="41"/>
        <v>{id:70005002}</v>
      </c>
      <c r="J211" s="16" t="s">
        <v>457</v>
      </c>
      <c r="K211" s="16" t="str">
        <f t="shared" si="40"/>
        <v>{id:70005002}</v>
      </c>
    </row>
    <row r="212" spans="1:11" x14ac:dyDescent="0.15">
      <c r="A212" s="16">
        <v>11</v>
      </c>
      <c r="B212" s="16" t="s">
        <v>433</v>
      </c>
      <c r="H212" s="16">
        <v>70000510</v>
      </c>
      <c r="I212" s="16" t="str">
        <f t="shared" si="41"/>
        <v>{id:70005002}</v>
      </c>
      <c r="J212" s="16" t="s">
        <v>457</v>
      </c>
      <c r="K212" s="16" t="str">
        <f t="shared" si="40"/>
        <v>{id:70005002}</v>
      </c>
    </row>
    <row r="213" spans="1:11" x14ac:dyDescent="0.15">
      <c r="A213" s="16">
        <v>12</v>
      </c>
      <c r="B213" s="16" t="s">
        <v>433</v>
      </c>
      <c r="H213" s="16">
        <v>70000511</v>
      </c>
      <c r="I213" s="16" t="str">
        <f t="shared" si="41"/>
        <v>{id:70005002}</v>
      </c>
      <c r="J213" s="16" t="s">
        <v>457</v>
      </c>
      <c r="K213" s="16" t="str">
        <f t="shared" si="40"/>
        <v>{id:70005002}</v>
      </c>
    </row>
    <row r="214" spans="1:11" x14ac:dyDescent="0.15">
      <c r="A214" s="16">
        <v>13</v>
      </c>
      <c r="B214" s="16" t="s">
        <v>434</v>
      </c>
      <c r="H214" s="16">
        <v>70000512</v>
      </c>
      <c r="I214" s="16" t="str">
        <f t="shared" si="41"/>
        <v>{id:70005003}</v>
      </c>
      <c r="J214" s="16" t="s">
        <v>457</v>
      </c>
      <c r="K214" s="16" t="str">
        <f t="shared" si="40"/>
        <v>{id:70005003}</v>
      </c>
    </row>
    <row r="215" spans="1:11" x14ac:dyDescent="0.15">
      <c r="A215" s="16">
        <v>14</v>
      </c>
      <c r="B215" s="16" t="s">
        <v>434</v>
      </c>
      <c r="H215" s="16">
        <v>70000513</v>
      </c>
      <c r="I215" s="16" t="str">
        <f t="shared" si="41"/>
        <v>{id:70005003}</v>
      </c>
      <c r="J215" s="16" t="s">
        <v>457</v>
      </c>
      <c r="K215" s="16" t="str">
        <f t="shared" si="40"/>
        <v>{id:70005003}</v>
      </c>
    </row>
    <row r="216" spans="1:11" x14ac:dyDescent="0.15">
      <c r="A216" s="16">
        <v>15</v>
      </c>
      <c r="B216" s="16" t="s">
        <v>434</v>
      </c>
      <c r="H216" s="16">
        <v>70000514</v>
      </c>
      <c r="I216" s="16" t="str">
        <f t="shared" si="41"/>
        <v>{id:70005003}</v>
      </c>
      <c r="J216" s="16" t="s">
        <v>457</v>
      </c>
      <c r="K216" s="16" t="str">
        <f t="shared" si="40"/>
        <v>{id:70005003}</v>
      </c>
    </row>
    <row r="217" spans="1:11" x14ac:dyDescent="0.15">
      <c r="A217" s="16">
        <v>16</v>
      </c>
      <c r="B217" s="16" t="s">
        <v>435</v>
      </c>
      <c r="H217" s="16">
        <v>70000515</v>
      </c>
      <c r="I217" s="16" t="str">
        <f t="shared" si="41"/>
        <v>{id:70005004}</v>
      </c>
      <c r="J217" s="16" t="s">
        <v>457</v>
      </c>
      <c r="K217" s="16" t="str">
        <f t="shared" si="40"/>
        <v>{id:70005004}</v>
      </c>
    </row>
    <row r="218" spans="1:11" x14ac:dyDescent="0.15">
      <c r="A218" s="16">
        <v>17</v>
      </c>
      <c r="B218" s="16" t="s">
        <v>435</v>
      </c>
      <c r="H218" s="16">
        <v>70000516</v>
      </c>
      <c r="I218" s="16" t="str">
        <f t="shared" si="41"/>
        <v>{id:70005004}</v>
      </c>
      <c r="J218" s="16" t="s">
        <v>457</v>
      </c>
      <c r="K218" s="16" t="str">
        <f t="shared" si="40"/>
        <v>{id:70005004}</v>
      </c>
    </row>
    <row r="219" spans="1:11" x14ac:dyDescent="0.15">
      <c r="A219" s="16">
        <v>18</v>
      </c>
      <c r="B219" s="16" t="s">
        <v>435</v>
      </c>
      <c r="H219" s="16">
        <v>70000517</v>
      </c>
      <c r="I219" s="16" t="str">
        <f t="shared" si="41"/>
        <v>{id:70005004}</v>
      </c>
      <c r="J219" s="16" t="s">
        <v>457</v>
      </c>
      <c r="K219" s="16" t="str">
        <f t="shared" si="40"/>
        <v>{id:70005004}</v>
      </c>
    </row>
    <row r="220" spans="1:11" x14ac:dyDescent="0.15">
      <c r="A220" s="16">
        <v>19</v>
      </c>
      <c r="B220" s="16" t="s">
        <v>435</v>
      </c>
      <c r="H220" s="16">
        <v>70000518</v>
      </c>
      <c r="I220" s="16" t="str">
        <f t="shared" si="41"/>
        <v>{id:70005004}</v>
      </c>
      <c r="J220" s="16" t="s">
        <v>457</v>
      </c>
      <c r="K220" s="16" t="str">
        <f t="shared" si="40"/>
        <v>{id:70005004}</v>
      </c>
    </row>
    <row r="221" spans="1:11" x14ac:dyDescent="0.15">
      <c r="A221" s="16">
        <v>20</v>
      </c>
      <c r="B221" s="16" t="s">
        <v>436</v>
      </c>
      <c r="H221" s="16">
        <v>70000519</v>
      </c>
      <c r="I221" s="16" t="str">
        <f t="shared" si="41"/>
        <v>{id:70005005}</v>
      </c>
      <c r="J221" s="16" t="s">
        <v>457</v>
      </c>
      <c r="K221" s="16" t="str">
        <f t="shared" si="40"/>
        <v>{id:70005005}</v>
      </c>
    </row>
    <row r="222" spans="1:11" x14ac:dyDescent="0.15">
      <c r="A222" s="16">
        <v>21</v>
      </c>
      <c r="B222" s="16" t="s">
        <v>436</v>
      </c>
      <c r="H222" s="16">
        <v>70000520</v>
      </c>
      <c r="I222" s="16" t="str">
        <f t="shared" si="41"/>
        <v>{id:70005005}</v>
      </c>
      <c r="J222" s="16" t="s">
        <v>457</v>
      </c>
      <c r="K222" s="16" t="str">
        <f t="shared" si="40"/>
        <v>{id:70005005}</v>
      </c>
    </row>
    <row r="223" spans="1:11" x14ac:dyDescent="0.15">
      <c r="A223" s="16">
        <v>22</v>
      </c>
      <c r="B223" s="16" t="s">
        <v>436</v>
      </c>
      <c r="H223" s="16">
        <v>70000521</v>
      </c>
      <c r="I223" s="16" t="str">
        <f t="shared" si="41"/>
        <v>{id:70005005}</v>
      </c>
      <c r="J223" s="16" t="s">
        <v>457</v>
      </c>
      <c r="K223" s="16" t="str">
        <f t="shared" si="40"/>
        <v>{id:70005005}</v>
      </c>
    </row>
    <row r="224" spans="1:11" x14ac:dyDescent="0.15">
      <c r="A224" s="16">
        <v>23</v>
      </c>
      <c r="B224" s="16" t="s">
        <v>436</v>
      </c>
      <c r="H224" s="16">
        <v>70000522</v>
      </c>
      <c r="I224" s="16" t="str">
        <f t="shared" si="41"/>
        <v>{id:70005005}</v>
      </c>
      <c r="J224" s="16" t="s">
        <v>457</v>
      </c>
      <c r="K224" s="16" t="str">
        <f t="shared" si="40"/>
        <v>{id:70005005}</v>
      </c>
    </row>
    <row r="225" spans="1:16" x14ac:dyDescent="0.15">
      <c r="A225" s="16">
        <v>24</v>
      </c>
      <c r="B225" s="16" t="s">
        <v>436</v>
      </c>
      <c r="H225" s="16">
        <v>70000523</v>
      </c>
      <c r="I225" s="16" t="str">
        <f t="shared" si="41"/>
        <v>{id:70005005}</v>
      </c>
      <c r="J225" s="16" t="s">
        <v>457</v>
      </c>
      <c r="K225" s="16" t="str">
        <f t="shared" si="40"/>
        <v>{id:70005005}</v>
      </c>
    </row>
    <row r="226" spans="1:16" x14ac:dyDescent="0.15">
      <c r="A226" s="16">
        <v>25</v>
      </c>
      <c r="B226" s="16" t="s">
        <v>436</v>
      </c>
      <c r="H226" s="16">
        <v>70000524</v>
      </c>
      <c r="I226" s="16" t="str">
        <f t="shared" si="41"/>
        <v>{id:70005005}</v>
      </c>
      <c r="J226" s="16" t="s">
        <v>457</v>
      </c>
      <c r="K226" s="16" t="str">
        <f t="shared" si="40"/>
        <v>{id:70005005}</v>
      </c>
    </row>
    <row r="228" spans="1:16" x14ac:dyDescent="0.15">
      <c r="A228" s="36" t="s">
        <v>597</v>
      </c>
      <c r="B228" s="36"/>
      <c r="C228" s="36"/>
      <c r="D228" s="36"/>
      <c r="E228" s="36"/>
      <c r="F228" s="36"/>
      <c r="K228" s="16">
        <v>1500</v>
      </c>
      <c r="L228" s="16">
        <v>3500</v>
      </c>
      <c r="M228" s="16">
        <v>1000</v>
      </c>
      <c r="N228" s="16">
        <v>3500</v>
      </c>
      <c r="O228" s="16">
        <v>500</v>
      </c>
    </row>
    <row r="229" spans="1:16" x14ac:dyDescent="0.15">
      <c r="A229" s="28" t="s">
        <v>596</v>
      </c>
      <c r="B229" s="28" t="s">
        <v>463</v>
      </c>
      <c r="C229" s="28" t="s">
        <v>464</v>
      </c>
      <c r="D229" s="28" t="s">
        <v>465</v>
      </c>
      <c r="E229" s="28" t="s">
        <v>466</v>
      </c>
      <c r="F229" s="28" t="s">
        <v>467</v>
      </c>
      <c r="H229" s="16" t="s">
        <v>479</v>
      </c>
      <c r="I229" s="16" t="s">
        <v>480</v>
      </c>
      <c r="K229" s="28" t="s">
        <v>463</v>
      </c>
      <c r="L229" s="28" t="s">
        <v>464</v>
      </c>
      <c r="M229" s="28" t="s">
        <v>465</v>
      </c>
      <c r="N229" s="28" t="s">
        <v>466</v>
      </c>
      <c r="O229" s="28" t="s">
        <v>467</v>
      </c>
    </row>
    <row r="230" spans="1:16" x14ac:dyDescent="0.15">
      <c r="A230" s="16">
        <v>1</v>
      </c>
      <c r="B230" s="16" t="s">
        <v>421</v>
      </c>
      <c r="C230" s="16" t="s">
        <v>431</v>
      </c>
      <c r="D230" s="16" t="s">
        <v>431</v>
      </c>
      <c r="E230" s="16" t="s">
        <v>431</v>
      </c>
      <c r="F230" s="16" t="s">
        <v>419</v>
      </c>
      <c r="H230" s="16">
        <v>70000600</v>
      </c>
      <c r="I230" s="16" t="str">
        <f>K230&amp;","&amp;L230&amp;","&amp;M230&amp;","&amp;N230&amp;","&amp;O230</f>
        <v>{id:70002000,odds:1500},{id:70003000,odds:3500},{id:70005000,odds:1000},{id:70004000,odds:3500},{id:70006000,odds:500}</v>
      </c>
      <c r="J230" s="16" t="s">
        <v>457</v>
      </c>
      <c r="K230" s="16" t="str">
        <f>"{id:"&amp;VLOOKUP(B230,$T$15:$U$24,2,FALSE)&amp;",odds:"&amp;$K$228&amp;"}"</f>
        <v>{id:70002000,odds:1500}</v>
      </c>
      <c r="L230" s="16" t="str">
        <f>"{id:"&amp;VLOOKUP(C230,$T$27:$U$32,2,FALSE)&amp;",odds:"&amp;$L$228&amp;"}"</f>
        <v>{id:70003000,odds:3500}</v>
      </c>
      <c r="M230" s="16" t="str">
        <f>"{id:"&amp;VLOOKUP(D230,$T$43:$U$48,2,FALSE)&amp;",odds:"&amp;$M$228&amp;"}"</f>
        <v>{id:70005000,odds:1000}</v>
      </c>
      <c r="N230" s="16" t="str">
        <f>"{id:"&amp;VLOOKUP(E230,$T$35:$U$40,2,FALSE)&amp;",odds:"&amp;$N$228&amp;"}"</f>
        <v>{id:70004000,odds:3500}</v>
      </c>
      <c r="O230" s="16" t="str">
        <f>"{id:"&amp;VLOOKUP(F230,$T$50:$U$50,2,FALSE)&amp;",odds:"&amp;$O$228&amp;"}"</f>
        <v>{id:70006000,odds:500}</v>
      </c>
      <c r="P230" s="16" t="s">
        <v>481</v>
      </c>
    </row>
    <row r="231" spans="1:16" x14ac:dyDescent="0.15">
      <c r="A231" s="16">
        <v>2</v>
      </c>
      <c r="B231" s="16" t="s">
        <v>421</v>
      </c>
      <c r="C231" s="16" t="s">
        <v>431</v>
      </c>
      <c r="D231" s="16" t="s">
        <v>431</v>
      </c>
      <c r="E231" s="16" t="s">
        <v>431</v>
      </c>
      <c r="F231" s="16" t="s">
        <v>419</v>
      </c>
      <c r="H231" s="16">
        <v>70000601</v>
      </c>
      <c r="I231" s="16" t="str">
        <f t="shared" ref="I231:I254" si="42">K231&amp;","&amp;L231&amp;","&amp;M231&amp;","&amp;N231&amp;","&amp;O231</f>
        <v>{id:70002000,odds:1500},{id:70003000,odds:3500},{id:70005000,odds:1000},{id:70004000,odds:3500},{id:70006000,odds:500}</v>
      </c>
      <c r="J231" s="16" t="s">
        <v>457</v>
      </c>
      <c r="K231" s="16" t="str">
        <f t="shared" ref="K231:K254" si="43">"{id:"&amp;VLOOKUP(B231,$T$15:$U$24,2,FALSE)&amp;",odds:"&amp;$K$228&amp;"}"</f>
        <v>{id:70002000,odds:1500}</v>
      </c>
      <c r="L231" s="16" t="str">
        <f t="shared" ref="L231:L254" si="44">"{id:"&amp;VLOOKUP(C231,$T$27:$U$32,2,FALSE)&amp;",odds:"&amp;$L$228&amp;"}"</f>
        <v>{id:70003000,odds:3500}</v>
      </c>
      <c r="M231" s="16" t="str">
        <f t="shared" ref="M231:M254" si="45">"{id:"&amp;VLOOKUP(D231,$T$43:$U$48,2,FALSE)&amp;",odds:"&amp;$M$228&amp;"}"</f>
        <v>{id:70005000,odds:1000}</v>
      </c>
      <c r="N231" s="16" t="str">
        <f t="shared" ref="N231:N254" si="46">"{id:"&amp;VLOOKUP(E231,$T$35:$U$40,2,FALSE)&amp;",odds:"&amp;$N$228&amp;"}"</f>
        <v>{id:70004000,odds:3500}</v>
      </c>
      <c r="O231" s="16" t="str">
        <f t="shared" ref="O231:O254" si="47">"{id:"&amp;VLOOKUP(F231,$T$50:$U$50,2,FALSE)&amp;",odds:"&amp;$O$228&amp;"}"</f>
        <v>{id:70006000,odds:500}</v>
      </c>
      <c r="P231" s="16" t="s">
        <v>481</v>
      </c>
    </row>
    <row r="232" spans="1:16" x14ac:dyDescent="0.15">
      <c r="A232" s="16">
        <v>3</v>
      </c>
      <c r="B232" s="16" t="s">
        <v>422</v>
      </c>
      <c r="C232" s="16" t="s">
        <v>431</v>
      </c>
      <c r="D232" s="16" t="s">
        <v>431</v>
      </c>
      <c r="E232" s="16" t="s">
        <v>431</v>
      </c>
      <c r="F232" s="16" t="s">
        <v>419</v>
      </c>
      <c r="H232" s="16">
        <v>70000602</v>
      </c>
      <c r="I232" s="16" t="str">
        <f t="shared" si="42"/>
        <v>{id:70002001,odds:1500},{id:70003000,odds:3500},{id:70005000,odds:1000},{id:70004000,odds:3500},{id:70006000,odds:500}</v>
      </c>
      <c r="J232" s="16" t="s">
        <v>457</v>
      </c>
      <c r="K232" s="16" t="str">
        <f t="shared" si="43"/>
        <v>{id:70002001,odds:1500}</v>
      </c>
      <c r="L232" s="16" t="str">
        <f t="shared" si="44"/>
        <v>{id:70003000,odds:3500}</v>
      </c>
      <c r="M232" s="16" t="str">
        <f t="shared" si="45"/>
        <v>{id:70005000,odds:1000}</v>
      </c>
      <c r="N232" s="16" t="str">
        <f t="shared" si="46"/>
        <v>{id:70004000,odds:3500}</v>
      </c>
      <c r="O232" s="16" t="str">
        <f t="shared" si="47"/>
        <v>{id:70006000,odds:500}</v>
      </c>
      <c r="P232" s="16" t="s">
        <v>481</v>
      </c>
    </row>
    <row r="233" spans="1:16" x14ac:dyDescent="0.15">
      <c r="A233" s="16">
        <v>4</v>
      </c>
      <c r="B233" s="16" t="s">
        <v>422</v>
      </c>
      <c r="C233" s="16" t="s">
        <v>431</v>
      </c>
      <c r="D233" s="16" t="s">
        <v>431</v>
      </c>
      <c r="E233" s="16" t="s">
        <v>431</v>
      </c>
      <c r="F233" s="16" t="s">
        <v>419</v>
      </c>
      <c r="H233" s="16">
        <v>70000603</v>
      </c>
      <c r="I233" s="16" t="str">
        <f t="shared" si="42"/>
        <v>{id:70002001,odds:1500},{id:70003000,odds:3500},{id:70005000,odds:1000},{id:70004000,odds:3500},{id:70006000,odds:500}</v>
      </c>
      <c r="J233" s="16" t="s">
        <v>457</v>
      </c>
      <c r="K233" s="16" t="str">
        <f t="shared" si="43"/>
        <v>{id:70002001,odds:1500}</v>
      </c>
      <c r="L233" s="16" t="str">
        <f t="shared" si="44"/>
        <v>{id:70003000,odds:3500}</v>
      </c>
      <c r="M233" s="16" t="str">
        <f t="shared" si="45"/>
        <v>{id:70005000,odds:1000}</v>
      </c>
      <c r="N233" s="16" t="str">
        <f t="shared" si="46"/>
        <v>{id:70004000,odds:3500}</v>
      </c>
      <c r="O233" s="16" t="str">
        <f t="shared" si="47"/>
        <v>{id:70006000,odds:500}</v>
      </c>
      <c r="P233" s="16" t="s">
        <v>481</v>
      </c>
    </row>
    <row r="234" spans="1:16" x14ac:dyDescent="0.15">
      <c r="A234" s="16">
        <v>5</v>
      </c>
      <c r="B234" s="16" t="s">
        <v>423</v>
      </c>
      <c r="C234" s="16" t="s">
        <v>432</v>
      </c>
      <c r="D234" s="16" t="s">
        <v>432</v>
      </c>
      <c r="E234" s="16" t="s">
        <v>432</v>
      </c>
      <c r="F234" s="16" t="s">
        <v>419</v>
      </c>
      <c r="H234" s="16">
        <v>70000604</v>
      </c>
      <c r="I234" s="16" t="str">
        <f t="shared" si="42"/>
        <v>{id:70002002,odds:1500},{id:70003001,odds:3500},{id:70005001,odds:1000},{id:70004001,odds:3500},{id:70006000,odds:500}</v>
      </c>
      <c r="J234" s="16" t="s">
        <v>457</v>
      </c>
      <c r="K234" s="16" t="str">
        <f t="shared" si="43"/>
        <v>{id:70002002,odds:1500}</v>
      </c>
      <c r="L234" s="16" t="str">
        <f t="shared" si="44"/>
        <v>{id:70003001,odds:3500}</v>
      </c>
      <c r="M234" s="16" t="str">
        <f t="shared" si="45"/>
        <v>{id:70005001,odds:1000}</v>
      </c>
      <c r="N234" s="16" t="str">
        <f t="shared" si="46"/>
        <v>{id:70004001,odds:3500}</v>
      </c>
      <c r="O234" s="16" t="str">
        <f t="shared" si="47"/>
        <v>{id:70006000,odds:500}</v>
      </c>
      <c r="P234" s="16" t="s">
        <v>481</v>
      </c>
    </row>
    <row r="235" spans="1:16" x14ac:dyDescent="0.15">
      <c r="A235" s="16">
        <v>6</v>
      </c>
      <c r="B235" s="16" t="s">
        <v>423</v>
      </c>
      <c r="C235" s="16" t="s">
        <v>432</v>
      </c>
      <c r="D235" s="16" t="s">
        <v>432</v>
      </c>
      <c r="E235" s="16" t="s">
        <v>432</v>
      </c>
      <c r="F235" s="16" t="s">
        <v>419</v>
      </c>
      <c r="H235" s="16">
        <v>70000605</v>
      </c>
      <c r="I235" s="16" t="str">
        <f t="shared" si="42"/>
        <v>{id:70002002,odds:1500},{id:70003001,odds:3500},{id:70005001,odds:1000},{id:70004001,odds:3500},{id:70006000,odds:500}</v>
      </c>
      <c r="J235" s="16" t="s">
        <v>457</v>
      </c>
      <c r="K235" s="16" t="str">
        <f t="shared" si="43"/>
        <v>{id:70002002,odds:1500}</v>
      </c>
      <c r="L235" s="16" t="str">
        <f t="shared" si="44"/>
        <v>{id:70003001,odds:3500}</v>
      </c>
      <c r="M235" s="16" t="str">
        <f t="shared" si="45"/>
        <v>{id:70005001,odds:1000}</v>
      </c>
      <c r="N235" s="16" t="str">
        <f t="shared" si="46"/>
        <v>{id:70004001,odds:3500}</v>
      </c>
      <c r="O235" s="16" t="str">
        <f t="shared" si="47"/>
        <v>{id:70006000,odds:500}</v>
      </c>
      <c r="P235" s="16" t="s">
        <v>481</v>
      </c>
    </row>
    <row r="236" spans="1:16" x14ac:dyDescent="0.15">
      <c r="A236" s="16">
        <v>7</v>
      </c>
      <c r="B236" s="16" t="s">
        <v>423</v>
      </c>
      <c r="C236" s="16" t="s">
        <v>432</v>
      </c>
      <c r="D236" s="16" t="s">
        <v>432</v>
      </c>
      <c r="E236" s="16" t="s">
        <v>432</v>
      </c>
      <c r="F236" s="16" t="s">
        <v>419</v>
      </c>
      <c r="H236" s="16">
        <v>70000606</v>
      </c>
      <c r="I236" s="16" t="str">
        <f t="shared" si="42"/>
        <v>{id:70002002,odds:1500},{id:70003001,odds:3500},{id:70005001,odds:1000},{id:70004001,odds:3500},{id:70006000,odds:500}</v>
      </c>
      <c r="J236" s="16" t="s">
        <v>457</v>
      </c>
      <c r="K236" s="16" t="str">
        <f t="shared" si="43"/>
        <v>{id:70002002,odds:1500}</v>
      </c>
      <c r="L236" s="16" t="str">
        <f t="shared" si="44"/>
        <v>{id:70003001,odds:3500}</v>
      </c>
      <c r="M236" s="16" t="str">
        <f t="shared" si="45"/>
        <v>{id:70005001,odds:1000}</v>
      </c>
      <c r="N236" s="16" t="str">
        <f t="shared" si="46"/>
        <v>{id:70004001,odds:3500}</v>
      </c>
      <c r="O236" s="16" t="str">
        <f t="shared" si="47"/>
        <v>{id:70006000,odds:500}</v>
      </c>
      <c r="P236" s="16" t="s">
        <v>481</v>
      </c>
    </row>
    <row r="237" spans="1:16" x14ac:dyDescent="0.15">
      <c r="A237" s="16">
        <v>8</v>
      </c>
      <c r="B237" s="16" t="s">
        <v>424</v>
      </c>
      <c r="C237" s="16" t="s">
        <v>432</v>
      </c>
      <c r="D237" s="16" t="s">
        <v>432</v>
      </c>
      <c r="E237" s="16" t="s">
        <v>432</v>
      </c>
      <c r="F237" s="16" t="s">
        <v>419</v>
      </c>
      <c r="H237" s="16">
        <v>70000607</v>
      </c>
      <c r="I237" s="16" t="str">
        <f t="shared" si="42"/>
        <v>{id:70002003,odds:1500},{id:70003001,odds:3500},{id:70005001,odds:1000},{id:70004001,odds:3500},{id:70006000,odds:500}</v>
      </c>
      <c r="J237" s="16" t="s">
        <v>457</v>
      </c>
      <c r="K237" s="16" t="str">
        <f t="shared" si="43"/>
        <v>{id:70002003,odds:1500}</v>
      </c>
      <c r="L237" s="16" t="str">
        <f t="shared" si="44"/>
        <v>{id:70003001,odds:3500}</v>
      </c>
      <c r="M237" s="16" t="str">
        <f t="shared" si="45"/>
        <v>{id:70005001,odds:1000}</v>
      </c>
      <c r="N237" s="16" t="str">
        <f t="shared" si="46"/>
        <v>{id:70004001,odds:3500}</v>
      </c>
      <c r="O237" s="16" t="str">
        <f t="shared" si="47"/>
        <v>{id:70006000,odds:500}</v>
      </c>
      <c r="P237" s="16" t="s">
        <v>481</v>
      </c>
    </row>
    <row r="238" spans="1:16" x14ac:dyDescent="0.15">
      <c r="A238" s="16">
        <v>9</v>
      </c>
      <c r="B238" s="16" t="s">
        <v>424</v>
      </c>
      <c r="C238" s="16" t="s">
        <v>432</v>
      </c>
      <c r="D238" s="16" t="s">
        <v>432</v>
      </c>
      <c r="E238" s="16" t="s">
        <v>432</v>
      </c>
      <c r="F238" s="16" t="s">
        <v>419</v>
      </c>
      <c r="H238" s="16">
        <v>70000608</v>
      </c>
      <c r="I238" s="16" t="str">
        <f t="shared" si="42"/>
        <v>{id:70002003,odds:1500},{id:70003001,odds:3500},{id:70005001,odds:1000},{id:70004001,odds:3500},{id:70006000,odds:500}</v>
      </c>
      <c r="J238" s="16" t="s">
        <v>457</v>
      </c>
      <c r="K238" s="16" t="str">
        <f t="shared" si="43"/>
        <v>{id:70002003,odds:1500}</v>
      </c>
      <c r="L238" s="16" t="str">
        <f t="shared" si="44"/>
        <v>{id:70003001,odds:3500}</v>
      </c>
      <c r="M238" s="16" t="str">
        <f t="shared" si="45"/>
        <v>{id:70005001,odds:1000}</v>
      </c>
      <c r="N238" s="16" t="str">
        <f t="shared" si="46"/>
        <v>{id:70004001,odds:3500}</v>
      </c>
      <c r="O238" s="16" t="str">
        <f t="shared" si="47"/>
        <v>{id:70006000,odds:500}</v>
      </c>
      <c r="P238" s="16" t="s">
        <v>481</v>
      </c>
    </row>
    <row r="239" spans="1:16" x14ac:dyDescent="0.15">
      <c r="A239" s="16">
        <v>10</v>
      </c>
      <c r="B239" s="16" t="s">
        <v>425</v>
      </c>
      <c r="C239" s="16" t="s">
        <v>433</v>
      </c>
      <c r="D239" s="16" t="s">
        <v>433</v>
      </c>
      <c r="E239" s="16" t="s">
        <v>433</v>
      </c>
      <c r="F239" s="16" t="s">
        <v>419</v>
      </c>
      <c r="H239" s="16">
        <v>70000609</v>
      </c>
      <c r="I239" s="16" t="str">
        <f t="shared" si="42"/>
        <v>{id:70002004,odds:1500},{id:70003002,odds:3500},{id:70005002,odds:1000},{id:70004002,odds:3500},{id:70006000,odds:500}</v>
      </c>
      <c r="J239" s="16" t="s">
        <v>457</v>
      </c>
      <c r="K239" s="16" t="str">
        <f t="shared" si="43"/>
        <v>{id:70002004,odds:1500}</v>
      </c>
      <c r="L239" s="16" t="str">
        <f t="shared" si="44"/>
        <v>{id:70003002,odds:3500}</v>
      </c>
      <c r="M239" s="16" t="str">
        <f t="shared" si="45"/>
        <v>{id:70005002,odds:1000}</v>
      </c>
      <c r="N239" s="16" t="str">
        <f t="shared" si="46"/>
        <v>{id:70004002,odds:3500}</v>
      </c>
      <c r="O239" s="16" t="str">
        <f t="shared" si="47"/>
        <v>{id:70006000,odds:500}</v>
      </c>
      <c r="P239" s="16" t="s">
        <v>481</v>
      </c>
    </row>
    <row r="240" spans="1:16" x14ac:dyDescent="0.15">
      <c r="A240" s="16">
        <v>11</v>
      </c>
      <c r="B240" s="16" t="s">
        <v>425</v>
      </c>
      <c r="C240" s="16" t="s">
        <v>433</v>
      </c>
      <c r="D240" s="16" t="s">
        <v>433</v>
      </c>
      <c r="E240" s="16" t="s">
        <v>433</v>
      </c>
      <c r="F240" s="16" t="s">
        <v>419</v>
      </c>
      <c r="H240" s="16">
        <v>70000610</v>
      </c>
      <c r="I240" s="16" t="str">
        <f t="shared" si="42"/>
        <v>{id:70002004,odds:1500},{id:70003002,odds:3500},{id:70005002,odds:1000},{id:70004002,odds:3500},{id:70006000,odds:500}</v>
      </c>
      <c r="J240" s="16" t="s">
        <v>457</v>
      </c>
      <c r="K240" s="16" t="str">
        <f t="shared" si="43"/>
        <v>{id:70002004,odds:1500}</v>
      </c>
      <c r="L240" s="16" t="str">
        <f t="shared" si="44"/>
        <v>{id:70003002,odds:3500}</v>
      </c>
      <c r="M240" s="16" t="str">
        <f t="shared" si="45"/>
        <v>{id:70005002,odds:1000}</v>
      </c>
      <c r="N240" s="16" t="str">
        <f t="shared" si="46"/>
        <v>{id:70004002,odds:3500}</v>
      </c>
      <c r="O240" s="16" t="str">
        <f t="shared" si="47"/>
        <v>{id:70006000,odds:500}</v>
      </c>
      <c r="P240" s="16" t="s">
        <v>481</v>
      </c>
    </row>
    <row r="241" spans="1:16" x14ac:dyDescent="0.15">
      <c r="A241" s="16">
        <v>12</v>
      </c>
      <c r="B241" s="16" t="s">
        <v>425</v>
      </c>
      <c r="C241" s="16" t="s">
        <v>433</v>
      </c>
      <c r="D241" s="16" t="s">
        <v>433</v>
      </c>
      <c r="E241" s="16" t="s">
        <v>433</v>
      </c>
      <c r="F241" s="16" t="s">
        <v>419</v>
      </c>
      <c r="H241" s="16">
        <v>70000611</v>
      </c>
      <c r="I241" s="16" t="str">
        <f t="shared" si="42"/>
        <v>{id:70002004,odds:1500},{id:70003002,odds:3500},{id:70005002,odds:1000},{id:70004002,odds:3500},{id:70006000,odds:500}</v>
      </c>
      <c r="J241" s="16" t="s">
        <v>457</v>
      </c>
      <c r="K241" s="16" t="str">
        <f t="shared" si="43"/>
        <v>{id:70002004,odds:1500}</v>
      </c>
      <c r="L241" s="16" t="str">
        <f t="shared" si="44"/>
        <v>{id:70003002,odds:3500}</v>
      </c>
      <c r="M241" s="16" t="str">
        <f t="shared" si="45"/>
        <v>{id:70005002,odds:1000}</v>
      </c>
      <c r="N241" s="16" t="str">
        <f t="shared" si="46"/>
        <v>{id:70004002,odds:3500}</v>
      </c>
      <c r="O241" s="16" t="str">
        <f t="shared" si="47"/>
        <v>{id:70006000,odds:500}</v>
      </c>
      <c r="P241" s="16" t="s">
        <v>481</v>
      </c>
    </row>
    <row r="242" spans="1:16" x14ac:dyDescent="0.15">
      <c r="A242" s="16">
        <v>13</v>
      </c>
      <c r="B242" s="16" t="s">
        <v>426</v>
      </c>
      <c r="C242" s="16" t="s">
        <v>434</v>
      </c>
      <c r="D242" s="16" t="s">
        <v>434</v>
      </c>
      <c r="E242" s="16" t="s">
        <v>434</v>
      </c>
      <c r="F242" s="16" t="s">
        <v>419</v>
      </c>
      <c r="H242" s="16">
        <v>70000612</v>
      </c>
      <c r="I242" s="16" t="str">
        <f t="shared" si="42"/>
        <v>{id:70002005,odds:1500},{id:70003003,odds:3500},{id:70005003,odds:1000},{id:70004003,odds:3500},{id:70006000,odds:500}</v>
      </c>
      <c r="J242" s="16" t="s">
        <v>457</v>
      </c>
      <c r="K242" s="16" t="str">
        <f t="shared" si="43"/>
        <v>{id:70002005,odds:1500}</v>
      </c>
      <c r="L242" s="16" t="str">
        <f t="shared" si="44"/>
        <v>{id:70003003,odds:3500}</v>
      </c>
      <c r="M242" s="16" t="str">
        <f t="shared" si="45"/>
        <v>{id:70005003,odds:1000}</v>
      </c>
      <c r="N242" s="16" t="str">
        <f t="shared" si="46"/>
        <v>{id:70004003,odds:3500}</v>
      </c>
      <c r="O242" s="16" t="str">
        <f t="shared" si="47"/>
        <v>{id:70006000,odds:500}</v>
      </c>
      <c r="P242" s="16" t="s">
        <v>481</v>
      </c>
    </row>
    <row r="243" spans="1:16" x14ac:dyDescent="0.15">
      <c r="A243" s="16">
        <v>14</v>
      </c>
      <c r="B243" s="16" t="s">
        <v>426</v>
      </c>
      <c r="C243" s="16" t="s">
        <v>434</v>
      </c>
      <c r="D243" s="16" t="s">
        <v>434</v>
      </c>
      <c r="E243" s="16" t="s">
        <v>434</v>
      </c>
      <c r="F243" s="16" t="s">
        <v>419</v>
      </c>
      <c r="H243" s="16">
        <v>70000613</v>
      </c>
      <c r="I243" s="16" t="str">
        <f t="shared" si="42"/>
        <v>{id:70002005,odds:1500},{id:70003003,odds:3500},{id:70005003,odds:1000},{id:70004003,odds:3500},{id:70006000,odds:500}</v>
      </c>
      <c r="J243" s="16" t="s">
        <v>457</v>
      </c>
      <c r="K243" s="16" t="str">
        <f t="shared" si="43"/>
        <v>{id:70002005,odds:1500}</v>
      </c>
      <c r="L243" s="16" t="str">
        <f t="shared" si="44"/>
        <v>{id:70003003,odds:3500}</v>
      </c>
      <c r="M243" s="16" t="str">
        <f t="shared" si="45"/>
        <v>{id:70005003,odds:1000}</v>
      </c>
      <c r="N243" s="16" t="str">
        <f t="shared" si="46"/>
        <v>{id:70004003,odds:3500}</v>
      </c>
      <c r="O243" s="16" t="str">
        <f t="shared" si="47"/>
        <v>{id:70006000,odds:500}</v>
      </c>
      <c r="P243" s="16" t="s">
        <v>481</v>
      </c>
    </row>
    <row r="244" spans="1:16" x14ac:dyDescent="0.15">
      <c r="A244" s="16">
        <v>15</v>
      </c>
      <c r="B244" s="16" t="s">
        <v>426</v>
      </c>
      <c r="C244" s="16" t="s">
        <v>434</v>
      </c>
      <c r="D244" s="16" t="s">
        <v>434</v>
      </c>
      <c r="E244" s="16" t="s">
        <v>434</v>
      </c>
      <c r="F244" s="16" t="s">
        <v>419</v>
      </c>
      <c r="H244" s="16">
        <v>70000614</v>
      </c>
      <c r="I244" s="16" t="str">
        <f t="shared" si="42"/>
        <v>{id:70002005,odds:1500},{id:70003003,odds:3500},{id:70005003,odds:1000},{id:70004003,odds:3500},{id:70006000,odds:500}</v>
      </c>
      <c r="J244" s="16" t="s">
        <v>457</v>
      </c>
      <c r="K244" s="16" t="str">
        <f t="shared" si="43"/>
        <v>{id:70002005,odds:1500}</v>
      </c>
      <c r="L244" s="16" t="str">
        <f t="shared" si="44"/>
        <v>{id:70003003,odds:3500}</v>
      </c>
      <c r="M244" s="16" t="str">
        <f t="shared" si="45"/>
        <v>{id:70005003,odds:1000}</v>
      </c>
      <c r="N244" s="16" t="str">
        <f t="shared" si="46"/>
        <v>{id:70004003,odds:3500}</v>
      </c>
      <c r="O244" s="16" t="str">
        <f t="shared" si="47"/>
        <v>{id:70006000,odds:500}</v>
      </c>
      <c r="P244" s="16" t="s">
        <v>481</v>
      </c>
    </row>
    <row r="245" spans="1:16" x14ac:dyDescent="0.15">
      <c r="A245" s="16">
        <v>16</v>
      </c>
      <c r="B245" s="16" t="s">
        <v>427</v>
      </c>
      <c r="C245" s="16" t="s">
        <v>435</v>
      </c>
      <c r="D245" s="16" t="s">
        <v>435</v>
      </c>
      <c r="E245" s="16" t="s">
        <v>435</v>
      </c>
      <c r="F245" s="16" t="s">
        <v>419</v>
      </c>
      <c r="H245" s="16">
        <v>70000615</v>
      </c>
      <c r="I245" s="16" t="str">
        <f t="shared" si="42"/>
        <v>{id:70002006,odds:1500},{id:70003004,odds:3500},{id:70005004,odds:1000},{id:70004004,odds:3500},{id:70006000,odds:500}</v>
      </c>
      <c r="J245" s="16" t="s">
        <v>457</v>
      </c>
      <c r="K245" s="16" t="str">
        <f t="shared" si="43"/>
        <v>{id:70002006,odds:1500}</v>
      </c>
      <c r="L245" s="16" t="str">
        <f t="shared" si="44"/>
        <v>{id:70003004,odds:3500}</v>
      </c>
      <c r="M245" s="16" t="str">
        <f t="shared" si="45"/>
        <v>{id:70005004,odds:1000}</v>
      </c>
      <c r="N245" s="16" t="str">
        <f t="shared" si="46"/>
        <v>{id:70004004,odds:3500}</v>
      </c>
      <c r="O245" s="16" t="str">
        <f t="shared" si="47"/>
        <v>{id:70006000,odds:500}</v>
      </c>
      <c r="P245" s="16" t="s">
        <v>481</v>
      </c>
    </row>
    <row r="246" spans="1:16" x14ac:dyDescent="0.15">
      <c r="A246" s="16">
        <v>17</v>
      </c>
      <c r="B246" s="16" t="s">
        <v>427</v>
      </c>
      <c r="C246" s="16" t="s">
        <v>435</v>
      </c>
      <c r="D246" s="16" t="s">
        <v>435</v>
      </c>
      <c r="E246" s="16" t="s">
        <v>435</v>
      </c>
      <c r="F246" s="16" t="s">
        <v>419</v>
      </c>
      <c r="H246" s="16">
        <v>70000616</v>
      </c>
      <c r="I246" s="16" t="str">
        <f t="shared" si="42"/>
        <v>{id:70002006,odds:1500},{id:70003004,odds:3500},{id:70005004,odds:1000},{id:70004004,odds:3500},{id:70006000,odds:500}</v>
      </c>
      <c r="J246" s="16" t="s">
        <v>457</v>
      </c>
      <c r="K246" s="16" t="str">
        <f t="shared" si="43"/>
        <v>{id:70002006,odds:1500}</v>
      </c>
      <c r="L246" s="16" t="str">
        <f t="shared" si="44"/>
        <v>{id:70003004,odds:3500}</v>
      </c>
      <c r="M246" s="16" t="str">
        <f t="shared" si="45"/>
        <v>{id:70005004,odds:1000}</v>
      </c>
      <c r="N246" s="16" t="str">
        <f t="shared" si="46"/>
        <v>{id:70004004,odds:3500}</v>
      </c>
      <c r="O246" s="16" t="str">
        <f t="shared" si="47"/>
        <v>{id:70006000,odds:500}</v>
      </c>
      <c r="P246" s="16" t="s">
        <v>481</v>
      </c>
    </row>
    <row r="247" spans="1:16" x14ac:dyDescent="0.15">
      <c r="A247" s="16">
        <v>18</v>
      </c>
      <c r="B247" s="16" t="s">
        <v>428</v>
      </c>
      <c r="C247" s="16" t="s">
        <v>435</v>
      </c>
      <c r="D247" s="16" t="s">
        <v>435</v>
      </c>
      <c r="E247" s="16" t="s">
        <v>435</v>
      </c>
      <c r="F247" s="16" t="s">
        <v>419</v>
      </c>
      <c r="H247" s="16">
        <v>70000617</v>
      </c>
      <c r="I247" s="16" t="str">
        <f t="shared" si="42"/>
        <v>{id:70002007,odds:1500},{id:70003004,odds:3500},{id:70005004,odds:1000},{id:70004004,odds:3500},{id:70006000,odds:500}</v>
      </c>
      <c r="J247" s="16" t="s">
        <v>457</v>
      </c>
      <c r="K247" s="16" t="str">
        <f t="shared" si="43"/>
        <v>{id:70002007,odds:1500}</v>
      </c>
      <c r="L247" s="16" t="str">
        <f t="shared" si="44"/>
        <v>{id:70003004,odds:3500}</v>
      </c>
      <c r="M247" s="16" t="str">
        <f t="shared" si="45"/>
        <v>{id:70005004,odds:1000}</v>
      </c>
      <c r="N247" s="16" t="str">
        <f t="shared" si="46"/>
        <v>{id:70004004,odds:3500}</v>
      </c>
      <c r="O247" s="16" t="str">
        <f t="shared" si="47"/>
        <v>{id:70006000,odds:500}</v>
      </c>
      <c r="P247" s="16" t="s">
        <v>481</v>
      </c>
    </row>
    <row r="248" spans="1:16" x14ac:dyDescent="0.15">
      <c r="A248" s="16">
        <v>19</v>
      </c>
      <c r="B248" s="16" t="s">
        <v>428</v>
      </c>
      <c r="C248" s="16" t="s">
        <v>435</v>
      </c>
      <c r="D248" s="16" t="s">
        <v>435</v>
      </c>
      <c r="E248" s="16" t="s">
        <v>435</v>
      </c>
      <c r="F248" s="16" t="s">
        <v>419</v>
      </c>
      <c r="H248" s="16">
        <v>70000618</v>
      </c>
      <c r="I248" s="16" t="str">
        <f t="shared" si="42"/>
        <v>{id:70002007,odds:1500},{id:70003004,odds:3500},{id:70005004,odds:1000},{id:70004004,odds:3500},{id:70006000,odds:500}</v>
      </c>
      <c r="J248" s="16" t="s">
        <v>457</v>
      </c>
      <c r="K248" s="16" t="str">
        <f t="shared" si="43"/>
        <v>{id:70002007,odds:1500}</v>
      </c>
      <c r="L248" s="16" t="str">
        <f t="shared" si="44"/>
        <v>{id:70003004,odds:3500}</v>
      </c>
      <c r="M248" s="16" t="str">
        <f t="shared" si="45"/>
        <v>{id:70005004,odds:1000}</v>
      </c>
      <c r="N248" s="16" t="str">
        <f t="shared" si="46"/>
        <v>{id:70004004,odds:3500}</v>
      </c>
      <c r="O248" s="16" t="str">
        <f t="shared" si="47"/>
        <v>{id:70006000,odds:500}</v>
      </c>
      <c r="P248" s="16" t="s">
        <v>481</v>
      </c>
    </row>
    <row r="249" spans="1:16" x14ac:dyDescent="0.15">
      <c r="A249" s="16">
        <v>20</v>
      </c>
      <c r="B249" s="16" t="s">
        <v>429</v>
      </c>
      <c r="C249" s="16" t="s">
        <v>436</v>
      </c>
      <c r="D249" s="16" t="s">
        <v>436</v>
      </c>
      <c r="E249" s="16" t="s">
        <v>436</v>
      </c>
      <c r="F249" s="16" t="s">
        <v>419</v>
      </c>
      <c r="H249" s="16">
        <v>70000619</v>
      </c>
      <c r="I249" s="16" t="str">
        <f t="shared" si="42"/>
        <v>{id:70002008,odds:1500},{id:70003005,odds:3500},{id:70005005,odds:1000},{id:70004005,odds:3500},{id:70006000,odds:500}</v>
      </c>
      <c r="J249" s="16" t="s">
        <v>457</v>
      </c>
      <c r="K249" s="16" t="str">
        <f t="shared" si="43"/>
        <v>{id:70002008,odds:1500}</v>
      </c>
      <c r="L249" s="16" t="str">
        <f t="shared" si="44"/>
        <v>{id:70003005,odds:3500}</v>
      </c>
      <c r="M249" s="16" t="str">
        <f t="shared" si="45"/>
        <v>{id:70005005,odds:1000}</v>
      </c>
      <c r="N249" s="16" t="str">
        <f t="shared" si="46"/>
        <v>{id:70004005,odds:3500}</v>
      </c>
      <c r="O249" s="16" t="str">
        <f t="shared" si="47"/>
        <v>{id:70006000,odds:500}</v>
      </c>
      <c r="P249" s="16" t="s">
        <v>481</v>
      </c>
    </row>
    <row r="250" spans="1:16" x14ac:dyDescent="0.15">
      <c r="A250" s="16">
        <v>21</v>
      </c>
      <c r="B250" s="16" t="s">
        <v>429</v>
      </c>
      <c r="C250" s="16" t="s">
        <v>436</v>
      </c>
      <c r="D250" s="16" t="s">
        <v>436</v>
      </c>
      <c r="E250" s="16" t="s">
        <v>436</v>
      </c>
      <c r="F250" s="16" t="s">
        <v>419</v>
      </c>
      <c r="H250" s="16">
        <v>70000620</v>
      </c>
      <c r="I250" s="16" t="str">
        <f t="shared" si="42"/>
        <v>{id:70002008,odds:1500},{id:70003005,odds:3500},{id:70005005,odds:1000},{id:70004005,odds:3500},{id:70006000,odds:500}</v>
      </c>
      <c r="J250" s="16" t="s">
        <v>457</v>
      </c>
      <c r="K250" s="16" t="str">
        <f t="shared" si="43"/>
        <v>{id:70002008,odds:1500}</v>
      </c>
      <c r="L250" s="16" t="str">
        <f t="shared" si="44"/>
        <v>{id:70003005,odds:3500}</v>
      </c>
      <c r="M250" s="16" t="str">
        <f t="shared" si="45"/>
        <v>{id:70005005,odds:1000}</v>
      </c>
      <c r="N250" s="16" t="str">
        <f t="shared" si="46"/>
        <v>{id:70004005,odds:3500}</v>
      </c>
      <c r="O250" s="16" t="str">
        <f t="shared" si="47"/>
        <v>{id:70006000,odds:500}</v>
      </c>
      <c r="P250" s="16" t="s">
        <v>481</v>
      </c>
    </row>
    <row r="251" spans="1:16" x14ac:dyDescent="0.15">
      <c r="A251" s="16">
        <v>22</v>
      </c>
      <c r="B251" s="16" t="s">
        <v>429</v>
      </c>
      <c r="C251" s="16" t="s">
        <v>436</v>
      </c>
      <c r="D251" s="16" t="s">
        <v>436</v>
      </c>
      <c r="E251" s="16" t="s">
        <v>436</v>
      </c>
      <c r="F251" s="16" t="s">
        <v>419</v>
      </c>
      <c r="H251" s="16">
        <v>70000621</v>
      </c>
      <c r="I251" s="16" t="str">
        <f t="shared" si="42"/>
        <v>{id:70002008,odds:1500},{id:70003005,odds:3500},{id:70005005,odds:1000},{id:70004005,odds:3500},{id:70006000,odds:500}</v>
      </c>
      <c r="J251" s="16" t="s">
        <v>457</v>
      </c>
      <c r="K251" s="16" t="str">
        <f t="shared" si="43"/>
        <v>{id:70002008,odds:1500}</v>
      </c>
      <c r="L251" s="16" t="str">
        <f t="shared" si="44"/>
        <v>{id:70003005,odds:3500}</v>
      </c>
      <c r="M251" s="16" t="str">
        <f t="shared" si="45"/>
        <v>{id:70005005,odds:1000}</v>
      </c>
      <c r="N251" s="16" t="str">
        <f t="shared" si="46"/>
        <v>{id:70004005,odds:3500}</v>
      </c>
      <c r="O251" s="16" t="str">
        <f t="shared" si="47"/>
        <v>{id:70006000,odds:500}</v>
      </c>
      <c r="P251" s="16" t="s">
        <v>481</v>
      </c>
    </row>
    <row r="252" spans="1:16" x14ac:dyDescent="0.15">
      <c r="A252" s="16">
        <v>23</v>
      </c>
      <c r="B252" s="16" t="s">
        <v>430</v>
      </c>
      <c r="C252" s="16" t="s">
        <v>436</v>
      </c>
      <c r="D252" s="16" t="s">
        <v>436</v>
      </c>
      <c r="E252" s="16" t="s">
        <v>436</v>
      </c>
      <c r="F252" s="16" t="s">
        <v>419</v>
      </c>
      <c r="H252" s="16">
        <v>70000622</v>
      </c>
      <c r="I252" s="16" t="str">
        <f t="shared" si="42"/>
        <v>{id:70002009,odds:1500},{id:70003005,odds:3500},{id:70005005,odds:1000},{id:70004005,odds:3500},{id:70006000,odds:500}</v>
      </c>
      <c r="J252" s="16" t="s">
        <v>457</v>
      </c>
      <c r="K252" s="16" t="str">
        <f t="shared" si="43"/>
        <v>{id:70002009,odds:1500}</v>
      </c>
      <c r="L252" s="16" t="str">
        <f t="shared" si="44"/>
        <v>{id:70003005,odds:3500}</v>
      </c>
      <c r="M252" s="16" t="str">
        <f t="shared" si="45"/>
        <v>{id:70005005,odds:1000}</v>
      </c>
      <c r="N252" s="16" t="str">
        <f t="shared" si="46"/>
        <v>{id:70004005,odds:3500}</v>
      </c>
      <c r="O252" s="16" t="str">
        <f t="shared" si="47"/>
        <v>{id:70006000,odds:500}</v>
      </c>
      <c r="P252" s="16" t="s">
        <v>481</v>
      </c>
    </row>
    <row r="253" spans="1:16" x14ac:dyDescent="0.15">
      <c r="A253" s="16">
        <v>24</v>
      </c>
      <c r="B253" s="16" t="s">
        <v>430</v>
      </c>
      <c r="C253" s="16" t="s">
        <v>436</v>
      </c>
      <c r="D253" s="16" t="s">
        <v>436</v>
      </c>
      <c r="E253" s="16" t="s">
        <v>436</v>
      </c>
      <c r="F253" s="16" t="s">
        <v>419</v>
      </c>
      <c r="H253" s="16">
        <v>70000623</v>
      </c>
      <c r="I253" s="16" t="str">
        <f t="shared" si="42"/>
        <v>{id:70002009,odds:1500},{id:70003005,odds:3500},{id:70005005,odds:1000},{id:70004005,odds:3500},{id:70006000,odds:500}</v>
      </c>
      <c r="J253" s="16" t="s">
        <v>457</v>
      </c>
      <c r="K253" s="16" t="str">
        <f t="shared" si="43"/>
        <v>{id:70002009,odds:1500}</v>
      </c>
      <c r="L253" s="16" t="str">
        <f t="shared" si="44"/>
        <v>{id:70003005,odds:3500}</v>
      </c>
      <c r="M253" s="16" t="str">
        <f t="shared" si="45"/>
        <v>{id:70005005,odds:1000}</v>
      </c>
      <c r="N253" s="16" t="str">
        <f t="shared" si="46"/>
        <v>{id:70004005,odds:3500}</v>
      </c>
      <c r="O253" s="16" t="str">
        <f t="shared" si="47"/>
        <v>{id:70006000,odds:500}</v>
      </c>
      <c r="P253" s="16" t="s">
        <v>481</v>
      </c>
    </row>
    <row r="254" spans="1:16" x14ac:dyDescent="0.15">
      <c r="A254" s="16">
        <v>25</v>
      </c>
      <c r="B254" s="16" t="s">
        <v>430</v>
      </c>
      <c r="C254" s="16" t="s">
        <v>436</v>
      </c>
      <c r="D254" s="16" t="s">
        <v>436</v>
      </c>
      <c r="E254" s="16" t="s">
        <v>436</v>
      </c>
      <c r="F254" s="16" t="s">
        <v>419</v>
      </c>
      <c r="H254" s="16">
        <v>70000624</v>
      </c>
      <c r="I254" s="16" t="str">
        <f t="shared" si="42"/>
        <v>{id:70002009,odds:1500},{id:70003005,odds:3500},{id:70005005,odds:1000},{id:70004005,odds:3500},{id:70006000,odds:500}</v>
      </c>
      <c r="J254" s="16" t="s">
        <v>457</v>
      </c>
      <c r="K254" s="16" t="str">
        <f t="shared" si="43"/>
        <v>{id:70002009,odds:1500}</v>
      </c>
      <c r="L254" s="16" t="str">
        <f t="shared" si="44"/>
        <v>{id:70003005,odds:3500}</v>
      </c>
      <c r="M254" s="16" t="str">
        <f t="shared" si="45"/>
        <v>{id:70005005,odds:1000}</v>
      </c>
      <c r="N254" s="16" t="str">
        <f t="shared" si="46"/>
        <v>{id:70004005,odds:3500}</v>
      </c>
      <c r="O254" s="16" t="str">
        <f t="shared" si="47"/>
        <v>{id:70006000,odds:500}</v>
      </c>
      <c r="P254" s="16" t="s">
        <v>481</v>
      </c>
    </row>
  </sheetData>
  <mergeCells count="13">
    <mergeCell ref="A228:F228"/>
    <mergeCell ref="A200:F200"/>
    <mergeCell ref="A172:F172"/>
    <mergeCell ref="A91:F91"/>
    <mergeCell ref="A144:F144"/>
    <mergeCell ref="T2:AD2"/>
    <mergeCell ref="T26:AD26"/>
    <mergeCell ref="T34:AD34"/>
    <mergeCell ref="T42:AD42"/>
    <mergeCell ref="A2:F2"/>
    <mergeCell ref="A38:F38"/>
    <mergeCell ref="T14:AD14"/>
    <mergeCell ref="A30:F3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AA119"/>
  <sheetViews>
    <sheetView workbookViewId="0">
      <selection activeCell="O5" sqref="O5:O15"/>
    </sheetView>
  </sheetViews>
  <sheetFormatPr defaultRowHeight="12" x14ac:dyDescent="0.15"/>
  <cols>
    <col min="1" max="18" width="9" style="4"/>
    <col min="19" max="19" width="13.375" style="4" bestFit="1" customWidth="1"/>
    <col min="20" max="20" width="9" style="4"/>
    <col min="21" max="21" width="115.125" style="4" bestFit="1" customWidth="1"/>
    <col min="22" max="22" width="9" style="4"/>
    <col min="23" max="26" width="21" style="4" bestFit="1" customWidth="1"/>
    <col min="27" max="27" width="20" style="4" bestFit="1" customWidth="1"/>
    <col min="28" max="16384" width="9" style="4"/>
  </cols>
  <sheetData>
    <row r="4" spans="1:27" x14ac:dyDescent="0.15">
      <c r="A4" s="39" t="s">
        <v>508</v>
      </c>
      <c r="B4" s="4" t="s">
        <v>210</v>
      </c>
      <c r="C4" s="14" t="s">
        <v>205</v>
      </c>
      <c r="D4" s="14"/>
      <c r="E4" s="14" t="s">
        <v>212</v>
      </c>
      <c r="F4" s="10" t="s">
        <v>206</v>
      </c>
      <c r="G4" s="10"/>
      <c r="H4" s="10" t="s">
        <v>211</v>
      </c>
      <c r="I4" s="7" t="s">
        <v>207</v>
      </c>
      <c r="J4" s="7"/>
      <c r="K4" s="7" t="s">
        <v>211</v>
      </c>
      <c r="L4" s="6" t="s">
        <v>208</v>
      </c>
      <c r="M4" s="6"/>
      <c r="N4" s="6" t="s">
        <v>211</v>
      </c>
      <c r="O4" s="8" t="s">
        <v>209</v>
      </c>
      <c r="P4" s="8"/>
      <c r="Q4" s="8" t="s">
        <v>211</v>
      </c>
      <c r="T4" s="4" t="s">
        <v>213</v>
      </c>
    </row>
    <row r="5" spans="1:27" x14ac:dyDescent="0.15">
      <c r="A5" s="39"/>
      <c r="B5" s="3">
        <v>1</v>
      </c>
      <c r="C5" s="15">
        <f t="shared" ref="C5:D15" si="0">C18</f>
        <v>70100000</v>
      </c>
      <c r="D5" s="21" t="str">
        <f t="shared" si="0"/>
        <v>{id:20000100,min:1,min:1},{id:20100100,min:1,min:1},{id:20200100,min:1,min:1},{id:20300100,min:1,min:1},{id:20400100,min:1,min:1},{id:20500100,min:1,min:1},{id:20600100,min:1,min:1},{id:20700100,min:1,min:1}</v>
      </c>
      <c r="E5" s="4">
        <v>6000</v>
      </c>
      <c r="F5" s="12">
        <f t="shared" ref="F5:M15" si="1">F18</f>
        <v>70100100</v>
      </c>
      <c r="G5" s="22" t="str">
        <f t="shared" si="1"/>
        <v>{id:20000101,min:1,min:1},{id:20100101,min:1,min:1},{id:20200101,min:1,min:1},{id:20300101,min:1,min:1},{id:20400101,min:1,min:1},{id:20500101,min:1,min:1},{id:20600101,min:1,min:1},{id:20700101,min:1,min:1}</v>
      </c>
      <c r="H5" s="4">
        <f t="shared" si="1"/>
        <v>2000</v>
      </c>
      <c r="I5" s="11">
        <f t="shared" si="1"/>
        <v>70100200</v>
      </c>
      <c r="J5" s="23" t="str">
        <f t="shared" si="1"/>
        <v>{id:20000102,min:1,min:1},{id:20100102,min:1,min:1},{id:20200102,min:1,min:1},{id:20300102,min:1,min:1},{id:20400102,min:1,min:1},{id:20500102,min:1,min:1},{id:20600102,min:1,min:1},{id:20700102,min:1,min:1}</v>
      </c>
      <c r="K5" s="4">
        <f t="shared" si="1"/>
        <v>1500</v>
      </c>
      <c r="L5" s="13">
        <f t="shared" si="1"/>
        <v>70100300</v>
      </c>
      <c r="M5" s="13" t="str">
        <f t="shared" si="1"/>
        <v>{id:20000103,min:1,min:1},{id:20100103,min:1,min:1},{id:20200103,min:1,min:1},{id:20300103,min:1,min:1},{id:20400103,min:1,min:1},{id:20500103,min:1,min:1},{id:20600103,min:1,min:1},{id:20700103,min:1,min:1}</v>
      </c>
      <c r="N5" s="4">
        <v>500</v>
      </c>
      <c r="O5" s="9">
        <f t="shared" ref="O5:P15" si="2">O18</f>
        <v>70100400</v>
      </c>
      <c r="P5" s="9" t="str">
        <f t="shared" si="2"/>
        <v>{id:20000104,min:1,min:1},{id:20100104,min:1,min:1},{id:20200104,min:1,min:1},{id:20300104,min:1,min:1},{id:20400104,min:1,min:1},{id:20500104,min:1,min:1},{id:20600104,min:1,min:1},{id:20700104,min:1,min:1}</v>
      </c>
      <c r="Q5" s="5">
        <v>0</v>
      </c>
      <c r="S5" s="17" t="s">
        <v>520</v>
      </c>
      <c r="T5" s="17">
        <v>70010000</v>
      </c>
      <c r="U5" s="18" t="str">
        <f>W5&amp;","&amp;X5&amp;","&amp;Y5&amp;","&amp;Z5</f>
        <v>{id:70100000,odds:6000},{id:70100100,odds:2000},{id:70100200,odds:1500},{id:70100300,odds:500}</v>
      </c>
      <c r="W5" s="4" t="str">
        <f>"{id:"&amp;C5&amp;",odds:"&amp;E5&amp;"}"</f>
        <v>{id:70100000,odds:6000}</v>
      </c>
      <c r="X5" s="4" t="str">
        <f>"{id:"&amp;F5&amp;",odds:"&amp;H5&amp;"}"</f>
        <v>{id:70100100,odds:2000}</v>
      </c>
      <c r="Y5" s="4" t="str">
        <f>"{id:"&amp;I5&amp;",odds:"&amp;K5&amp;"}"</f>
        <v>{id:70100200,odds:1500}</v>
      </c>
      <c r="Z5" s="4" t="str">
        <f>"{id:"&amp;L5&amp;",odds:"&amp;N5&amp;"}"</f>
        <v>{id:70100300,odds:500}</v>
      </c>
      <c r="AA5" s="4" t="str">
        <f>"{id:"&amp;O5&amp;",odds:"&amp;Q5&amp;"}"</f>
        <v>{id:70100400,odds:0}</v>
      </c>
    </row>
    <row r="6" spans="1:27" x14ac:dyDescent="0.15">
      <c r="A6" s="39"/>
      <c r="B6" s="3">
        <v>5</v>
      </c>
      <c r="C6" s="15">
        <f t="shared" si="0"/>
        <v>70100001</v>
      </c>
      <c r="D6" s="21" t="str">
        <f t="shared" si="0"/>
        <v>{id:20000500,min:1,min:1},{id:20100500,min:1,min:1},{id:20200500,min:1,min:1},{id:20300500,min:1,min:1},{id:20400500,min:1,min:1},{id:20500500,min:1,min:1},{id:20600500,min:1,min:1},{id:20700500,min:1,min:1}</v>
      </c>
      <c r="E6" s="4">
        <v>6000</v>
      </c>
      <c r="F6" s="12">
        <f t="shared" si="1"/>
        <v>70100101</v>
      </c>
      <c r="G6" s="22" t="str">
        <f t="shared" si="1"/>
        <v>{id:20000501,min:1,min:1},{id:20100501,min:1,min:1},{id:20200501,min:1,min:1},{id:20300501,min:1,min:1},{id:20400501,min:1,min:1},{id:20500501,min:1,min:1},{id:20600501,min:1,min:1},{id:20700501,min:1,min:1}</v>
      </c>
      <c r="H6" s="4">
        <f t="shared" si="1"/>
        <v>2000</v>
      </c>
      <c r="I6" s="11">
        <f t="shared" si="1"/>
        <v>70100201</v>
      </c>
      <c r="J6" s="23" t="str">
        <f t="shared" si="1"/>
        <v>{id:20000502,min:1,min:1},{id:20100502,min:1,min:1},{id:20200502,min:1,min:1},{id:20300502,min:1,min:1},{id:20400502,min:1,min:1},{id:20500502,min:1,min:1},{id:20600502,min:1,min:1},{id:20700502,min:1,min:1}</v>
      </c>
      <c r="K6" s="4">
        <f t="shared" si="1"/>
        <v>1500</v>
      </c>
      <c r="L6" s="13">
        <f t="shared" si="1"/>
        <v>70100301</v>
      </c>
      <c r="M6" s="13" t="str">
        <f t="shared" si="1"/>
        <v>{id:20000503,min:1,min:1},{id:20100503,min:1,min:1},{id:20200503,min:1,min:1},{id:20300503,min:1,min:1},{id:20400503,min:1,min:1},{id:20500503,min:1,min:1},{id:20600503,min:1,min:1},{id:20700503,min:1,min:1}</v>
      </c>
      <c r="N6" s="4">
        <v>500</v>
      </c>
      <c r="O6" s="9">
        <f t="shared" si="2"/>
        <v>70100401</v>
      </c>
      <c r="P6" s="9" t="str">
        <f t="shared" si="2"/>
        <v>{id:20000504,min:1,min:1},{id:20100504,min:1,min:1},{id:20200504,min:1,min:1},{id:20300504,min:1,min:1},{id:20400504,min:1,min:1},{id:20500504,min:1,min:1},{id:20600504,min:1,min:1},{id:20700504,min:1,min:1}</v>
      </c>
      <c r="Q6" s="5">
        <v>0</v>
      </c>
      <c r="S6" s="17" t="s">
        <v>521</v>
      </c>
      <c r="T6" s="17">
        <v>70010001</v>
      </c>
      <c r="U6" s="18" t="str">
        <f t="shared" ref="U6:U15" si="3">W6&amp;","&amp;X6&amp;","&amp;Y6&amp;","&amp;Z6</f>
        <v>{id:70100001,odds:6000},{id:70100101,odds:2000},{id:70100201,odds:1500},{id:70100301,odds:500}</v>
      </c>
      <c r="W6" s="4" t="str">
        <f t="shared" ref="W6:W15" si="4">"{id:"&amp;C6&amp;",odds:"&amp;E6&amp;"}"</f>
        <v>{id:70100001,odds:6000}</v>
      </c>
      <c r="X6" s="4" t="str">
        <f t="shared" ref="X6:X15" si="5">"{id:"&amp;F6&amp;",odds:"&amp;H6&amp;"}"</f>
        <v>{id:70100101,odds:2000}</v>
      </c>
      <c r="Y6" s="4" t="str">
        <f t="shared" ref="Y6:Y15" si="6">"{id:"&amp;I6&amp;",odds:"&amp;K6&amp;"}"</f>
        <v>{id:70100201,odds:1500}</v>
      </c>
      <c r="Z6" s="4" t="str">
        <f t="shared" ref="Z6:Z15" si="7">"{id:"&amp;L6&amp;",odds:"&amp;N6&amp;"}"</f>
        <v>{id:70100301,odds:500}</v>
      </c>
      <c r="AA6" s="4" t="str">
        <f t="shared" ref="AA6:AA15" si="8">"{id:"&amp;O6&amp;",odds:"&amp;Q6&amp;"}"</f>
        <v>{id:70100401,odds:0}</v>
      </c>
    </row>
    <row r="7" spans="1:27" x14ac:dyDescent="0.15">
      <c r="A7" s="39"/>
      <c r="B7" s="3">
        <v>10</v>
      </c>
      <c r="C7" s="15">
        <f t="shared" si="0"/>
        <v>70100002</v>
      </c>
      <c r="D7" s="21" t="str">
        <f t="shared" si="0"/>
        <v>{id:20001000,min:1,min:1},{id:20101000,min:1,min:1},{id:20201000,min:1,min:1},{id:20301000,min:1,min:1},{id:20401000,min:1,min:1},{id:20501000,min:1,min:1},{id:20601000,min:1,min:1},{id:20701000,min:1,min:1}</v>
      </c>
      <c r="E7" s="4">
        <v>6000</v>
      </c>
      <c r="F7" s="12">
        <f t="shared" si="1"/>
        <v>70100102</v>
      </c>
      <c r="G7" s="22" t="str">
        <f t="shared" si="1"/>
        <v>{id:20001001,min:1,min:1},{id:20101001,min:1,min:1},{id:20201001,min:1,min:1},{id:20301001,min:1,min:1},{id:20401001,min:1,min:1},{id:20501001,min:1,min:1},{id:20601001,min:1,min:1},{id:20701001,min:1,min:1}</v>
      </c>
      <c r="H7" s="4">
        <f t="shared" si="1"/>
        <v>2000</v>
      </c>
      <c r="I7" s="11">
        <f t="shared" si="1"/>
        <v>70100202</v>
      </c>
      <c r="J7" s="23" t="str">
        <f t="shared" si="1"/>
        <v>{id:20001002,min:1,min:1},{id:20101002,min:1,min:1},{id:20201002,min:1,min:1},{id:20301002,min:1,min:1},{id:20401002,min:1,min:1},{id:20501002,min:1,min:1},{id:20601002,min:1,min:1},{id:20701002,min:1,min:1}</v>
      </c>
      <c r="K7" s="4">
        <f t="shared" si="1"/>
        <v>1500</v>
      </c>
      <c r="L7" s="13">
        <f t="shared" si="1"/>
        <v>70100302</v>
      </c>
      <c r="M7" s="13" t="str">
        <f t="shared" si="1"/>
        <v>{id:20001003,min:1,min:1},{id:20101003,min:1,min:1},{id:20201003,min:1,min:1},{id:20301003,min:1,min:1},{id:20401003,min:1,min:1},{id:20501003,min:1,min:1},{id:20601003,min:1,min:1},{id:20701003,min:1,min:1}</v>
      </c>
      <c r="N7" s="4">
        <v>500</v>
      </c>
      <c r="O7" s="9">
        <f t="shared" si="2"/>
        <v>70100402</v>
      </c>
      <c r="P7" s="9" t="str">
        <f t="shared" si="2"/>
        <v>{id:20001004,min:1,min:1},{id:20101004,min:1,min:1},{id:20201004,min:1,min:1},{id:20301004,min:1,min:1},{id:20401004,min:1,min:1},{id:20501004,min:1,min:1},{id:20601004,min:1,min:1},{id:20701004,min:1,min:1}</v>
      </c>
      <c r="Q7" s="5">
        <v>0</v>
      </c>
      <c r="S7" s="17" t="s">
        <v>522</v>
      </c>
      <c r="T7" s="17">
        <v>70010002</v>
      </c>
      <c r="U7" s="18" t="str">
        <f t="shared" si="3"/>
        <v>{id:70100002,odds:6000},{id:70100102,odds:2000},{id:70100202,odds:1500},{id:70100302,odds:500}</v>
      </c>
      <c r="W7" s="4" t="str">
        <f t="shared" si="4"/>
        <v>{id:70100002,odds:6000}</v>
      </c>
      <c r="X7" s="4" t="str">
        <f t="shared" si="5"/>
        <v>{id:70100102,odds:2000}</v>
      </c>
      <c r="Y7" s="4" t="str">
        <f t="shared" si="6"/>
        <v>{id:70100202,odds:1500}</v>
      </c>
      <c r="Z7" s="4" t="str">
        <f t="shared" si="7"/>
        <v>{id:70100302,odds:500}</v>
      </c>
      <c r="AA7" s="4" t="str">
        <f t="shared" si="8"/>
        <v>{id:70100402,odds:0}</v>
      </c>
    </row>
    <row r="8" spans="1:27" x14ac:dyDescent="0.15">
      <c r="A8" s="39"/>
      <c r="B8" s="3">
        <v>15</v>
      </c>
      <c r="C8" s="15">
        <f t="shared" si="0"/>
        <v>70100003</v>
      </c>
      <c r="D8" s="21" t="str">
        <f t="shared" si="0"/>
        <v>{id:20001500,min:1,min:1},{id:20101500,min:1,min:1},{id:20201500,min:1,min:1},{id:20301500,min:1,min:1},{id:20401500,min:1,min:1},{id:20501500,min:1,min:1},{id:20601500,min:1,min:1},{id:20701500,min:1,min:1}</v>
      </c>
      <c r="E8" s="4">
        <v>6000</v>
      </c>
      <c r="F8" s="12">
        <f t="shared" si="1"/>
        <v>70100103</v>
      </c>
      <c r="G8" s="22" t="str">
        <f t="shared" si="1"/>
        <v>{id:20001501,min:1,min:1},{id:20101501,min:1,min:1},{id:20201501,min:1,min:1},{id:20301501,min:1,min:1},{id:20401501,min:1,min:1},{id:20501501,min:1,min:1},{id:20601501,min:1,min:1},{id:20701501,min:1,min:1}</v>
      </c>
      <c r="H8" s="4">
        <f t="shared" si="1"/>
        <v>2000</v>
      </c>
      <c r="I8" s="11">
        <f t="shared" si="1"/>
        <v>70100203</v>
      </c>
      <c r="J8" s="23" t="str">
        <f t="shared" si="1"/>
        <v>{id:20001502,min:1,min:1},{id:20101502,min:1,min:1},{id:20201502,min:1,min:1},{id:20301502,min:1,min:1},{id:20401502,min:1,min:1},{id:20501502,min:1,min:1},{id:20601502,min:1,min:1},{id:20701502,min:1,min:1}</v>
      </c>
      <c r="K8" s="4">
        <f t="shared" si="1"/>
        <v>1500</v>
      </c>
      <c r="L8" s="13">
        <f t="shared" si="1"/>
        <v>70100303</v>
      </c>
      <c r="M8" s="13" t="str">
        <f t="shared" si="1"/>
        <v>{id:20001503,min:1,min:1},{id:20101503,min:1,min:1},{id:20201503,min:1,min:1},{id:20301503,min:1,min:1},{id:20401503,min:1,min:1},{id:20501503,min:1,min:1},{id:20601503,min:1,min:1},{id:20701503,min:1,min:1}</v>
      </c>
      <c r="N8" s="4">
        <v>500</v>
      </c>
      <c r="O8" s="9">
        <f t="shared" si="2"/>
        <v>70100403</v>
      </c>
      <c r="P8" s="9" t="str">
        <f t="shared" si="2"/>
        <v>{id:20001504,min:1,min:1},{id:20101504,min:1,min:1},{id:20201504,min:1,min:1},{id:20301504,min:1,min:1},{id:20401504,min:1,min:1},{id:20501504,min:1,min:1},{id:20601504,min:1,min:1},{id:20701504,min:1,min:1}</v>
      </c>
      <c r="Q8" s="5">
        <v>0</v>
      </c>
      <c r="S8" s="17" t="s">
        <v>523</v>
      </c>
      <c r="T8" s="17">
        <v>70010003</v>
      </c>
      <c r="U8" s="18" t="str">
        <f t="shared" si="3"/>
        <v>{id:70100003,odds:6000},{id:70100103,odds:2000},{id:70100203,odds:1500},{id:70100303,odds:500}</v>
      </c>
      <c r="W8" s="4" t="str">
        <f t="shared" si="4"/>
        <v>{id:70100003,odds:6000}</v>
      </c>
      <c r="X8" s="4" t="str">
        <f t="shared" si="5"/>
        <v>{id:70100103,odds:2000}</v>
      </c>
      <c r="Y8" s="4" t="str">
        <f t="shared" si="6"/>
        <v>{id:70100203,odds:1500}</v>
      </c>
      <c r="Z8" s="4" t="str">
        <f t="shared" si="7"/>
        <v>{id:70100303,odds:500}</v>
      </c>
      <c r="AA8" s="4" t="str">
        <f t="shared" si="8"/>
        <v>{id:70100403,odds:0}</v>
      </c>
    </row>
    <row r="9" spans="1:27" x14ac:dyDescent="0.15">
      <c r="A9" s="39"/>
      <c r="B9" s="3">
        <v>20</v>
      </c>
      <c r="C9" s="15">
        <f t="shared" si="0"/>
        <v>70100004</v>
      </c>
      <c r="D9" s="21" t="str">
        <f t="shared" si="0"/>
        <v>{id:20002000,min:1,min:1},{id:20102000,min:1,min:1},{id:20202000,min:1,min:1},{id:20302000,min:1,min:1},{id:20402000,min:1,min:1},{id:20502000,min:1,min:1},{id:20602000,min:1,min:1},{id:20702000,min:1,min:1}</v>
      </c>
      <c r="E9" s="4">
        <v>6000</v>
      </c>
      <c r="F9" s="12">
        <f t="shared" si="1"/>
        <v>70100104</v>
      </c>
      <c r="G9" s="22" t="str">
        <f t="shared" si="1"/>
        <v>{id:20002001,min:1,min:1},{id:20102001,min:1,min:1},{id:20202001,min:1,min:1},{id:20302001,min:1,min:1},{id:20402001,min:1,min:1},{id:20502001,min:1,min:1},{id:20602001,min:1,min:1},{id:20702001,min:1,min:1}</v>
      </c>
      <c r="H9" s="4">
        <f t="shared" si="1"/>
        <v>2000</v>
      </c>
      <c r="I9" s="11">
        <f t="shared" si="1"/>
        <v>70100204</v>
      </c>
      <c r="J9" s="23" t="str">
        <f t="shared" si="1"/>
        <v>{id:20002002,min:1,min:1},{id:20102002,min:1,min:1},{id:20202002,min:1,min:1},{id:20302002,min:1,min:1},{id:20402002,min:1,min:1},{id:20502002,min:1,min:1},{id:20602002,min:1,min:1},{id:20702002,min:1,min:1}</v>
      </c>
      <c r="K9" s="4">
        <f t="shared" si="1"/>
        <v>1500</v>
      </c>
      <c r="L9" s="13">
        <f t="shared" si="1"/>
        <v>70100304</v>
      </c>
      <c r="M9" s="13" t="str">
        <f t="shared" si="1"/>
        <v>{id:20002003,min:1,min:1},{id:20102003,min:1,min:1},{id:20202003,min:1,min:1},{id:20302003,min:1,min:1},{id:20402003,min:1,min:1},{id:20502003,min:1,min:1},{id:20602003,min:1,min:1},{id:20702003,min:1,min:1}</v>
      </c>
      <c r="N9" s="4">
        <v>500</v>
      </c>
      <c r="O9" s="9">
        <f t="shared" si="2"/>
        <v>70100404</v>
      </c>
      <c r="P9" s="9" t="str">
        <f t="shared" si="2"/>
        <v>{id:20002004,min:1,min:1},{id:20102004,min:1,min:1},{id:20202004,min:1,min:1},{id:20302004,min:1,min:1},{id:20402004,min:1,min:1},{id:20502004,min:1,min:1},{id:20602004,min:1,min:1},{id:20702004,min:1,min:1}</v>
      </c>
      <c r="Q9" s="5">
        <v>0</v>
      </c>
      <c r="S9" s="17" t="s">
        <v>524</v>
      </c>
      <c r="T9" s="17">
        <v>70010004</v>
      </c>
      <c r="U9" s="18" t="str">
        <f t="shared" si="3"/>
        <v>{id:70100004,odds:6000},{id:70100104,odds:2000},{id:70100204,odds:1500},{id:70100304,odds:500}</v>
      </c>
      <c r="W9" s="4" t="str">
        <f t="shared" si="4"/>
        <v>{id:70100004,odds:6000}</v>
      </c>
      <c r="X9" s="4" t="str">
        <f t="shared" si="5"/>
        <v>{id:70100104,odds:2000}</v>
      </c>
      <c r="Y9" s="4" t="str">
        <f t="shared" si="6"/>
        <v>{id:70100204,odds:1500}</v>
      </c>
      <c r="Z9" s="4" t="str">
        <f t="shared" si="7"/>
        <v>{id:70100304,odds:500}</v>
      </c>
      <c r="AA9" s="4" t="str">
        <f t="shared" si="8"/>
        <v>{id:70100404,odds:0}</v>
      </c>
    </row>
    <row r="10" spans="1:27" x14ac:dyDescent="0.15">
      <c r="A10" s="39"/>
      <c r="B10" s="3">
        <v>25</v>
      </c>
      <c r="C10" s="15">
        <f t="shared" si="0"/>
        <v>70100005</v>
      </c>
      <c r="D10" s="21" t="str">
        <f t="shared" si="0"/>
        <v>{id:20002500,min:1,min:1},{id:20102500,min:1,min:1},{id:20202500,min:1,min:1},{id:20302500,min:1,min:1},{id:20402500,min:1,min:1},{id:20502500,min:1,min:1},{id:20602500,min:1,min:1},{id:20702500,min:1,min:1}</v>
      </c>
      <c r="E10" s="4">
        <v>6000</v>
      </c>
      <c r="F10" s="12">
        <f t="shared" si="1"/>
        <v>70100105</v>
      </c>
      <c r="G10" s="22" t="str">
        <f t="shared" si="1"/>
        <v>{id:20002501,min:1,min:1},{id:20102501,min:1,min:1},{id:20202501,min:1,min:1},{id:20302501,min:1,min:1},{id:20402501,min:1,min:1},{id:20502501,min:1,min:1},{id:20602501,min:1,min:1},{id:20702501,min:1,min:1}</v>
      </c>
      <c r="H10" s="4">
        <f t="shared" si="1"/>
        <v>2000</v>
      </c>
      <c r="I10" s="11">
        <f t="shared" si="1"/>
        <v>70100205</v>
      </c>
      <c r="J10" s="23" t="str">
        <f t="shared" si="1"/>
        <v>{id:20002502,min:1,min:1},{id:20102502,min:1,min:1},{id:20202502,min:1,min:1},{id:20302502,min:1,min:1},{id:20402502,min:1,min:1},{id:20502502,min:1,min:1},{id:20602502,min:1,min:1},{id:20702502,min:1,min:1}</v>
      </c>
      <c r="K10" s="4">
        <f t="shared" si="1"/>
        <v>1500</v>
      </c>
      <c r="L10" s="13">
        <f t="shared" si="1"/>
        <v>70100305</v>
      </c>
      <c r="M10" s="13" t="str">
        <f t="shared" si="1"/>
        <v>{id:20002503,min:1,min:1},{id:20102503,min:1,min:1},{id:20202503,min:1,min:1},{id:20302503,min:1,min:1},{id:20402503,min:1,min:1},{id:20502503,min:1,min:1},{id:20602503,min:1,min:1},{id:20702503,min:1,min:1}</v>
      </c>
      <c r="N10" s="4">
        <v>500</v>
      </c>
      <c r="O10" s="9">
        <f t="shared" si="2"/>
        <v>70100405</v>
      </c>
      <c r="P10" s="9" t="str">
        <f t="shared" si="2"/>
        <v>{id:20002504,min:1,min:1},{id:20102504,min:1,min:1},{id:20202504,min:1,min:1},{id:20302504,min:1,min:1},{id:20402504,min:1,min:1},{id:20502504,min:1,min:1},{id:20602504,min:1,min:1},{id:20702504,min:1,min:1}</v>
      </c>
      <c r="Q10" s="5">
        <v>0</v>
      </c>
      <c r="S10" s="17" t="s">
        <v>525</v>
      </c>
      <c r="T10" s="17">
        <v>70010005</v>
      </c>
      <c r="U10" s="18" t="str">
        <f t="shared" si="3"/>
        <v>{id:70100005,odds:6000},{id:70100105,odds:2000},{id:70100205,odds:1500},{id:70100305,odds:500}</v>
      </c>
      <c r="W10" s="4" t="str">
        <f t="shared" si="4"/>
        <v>{id:70100005,odds:6000}</v>
      </c>
      <c r="X10" s="4" t="str">
        <f t="shared" si="5"/>
        <v>{id:70100105,odds:2000}</v>
      </c>
      <c r="Y10" s="4" t="str">
        <f t="shared" si="6"/>
        <v>{id:70100205,odds:1500}</v>
      </c>
      <c r="Z10" s="4" t="str">
        <f t="shared" si="7"/>
        <v>{id:70100305,odds:500}</v>
      </c>
      <c r="AA10" s="4" t="str">
        <f t="shared" si="8"/>
        <v>{id:70100405,odds:0}</v>
      </c>
    </row>
    <row r="11" spans="1:27" x14ac:dyDescent="0.15">
      <c r="A11" s="39"/>
      <c r="B11" s="3">
        <v>30</v>
      </c>
      <c r="C11" s="15">
        <f t="shared" si="0"/>
        <v>70100006</v>
      </c>
      <c r="D11" s="21" t="str">
        <f t="shared" si="0"/>
        <v>{id:20003000,min:1,min:1},{id:20103000,min:1,min:1},{id:20203000,min:1,min:1},{id:20303000,min:1,min:1},{id:20403000,min:1,min:1},{id:20503000,min:1,min:1},{id:20603000,min:1,min:1},{id:20703000,min:1,min:1}</v>
      </c>
      <c r="E11" s="4">
        <v>6000</v>
      </c>
      <c r="F11" s="12">
        <f t="shared" si="1"/>
        <v>70100106</v>
      </c>
      <c r="G11" s="22" t="str">
        <f t="shared" si="1"/>
        <v>{id:20003001,min:1,min:1},{id:20103001,min:1,min:1},{id:20203001,min:1,min:1},{id:20303001,min:1,min:1},{id:20403001,min:1,min:1},{id:20503001,min:1,min:1},{id:20603001,min:1,min:1},{id:20703001,min:1,min:1}</v>
      </c>
      <c r="H11" s="4">
        <f t="shared" si="1"/>
        <v>2000</v>
      </c>
      <c r="I11" s="11">
        <f t="shared" si="1"/>
        <v>70100206</v>
      </c>
      <c r="J11" s="23" t="str">
        <f t="shared" si="1"/>
        <v>{id:20003002,min:1,min:1},{id:20103002,min:1,min:1},{id:20203002,min:1,min:1},{id:20303002,min:1,min:1},{id:20403002,min:1,min:1},{id:20503002,min:1,min:1},{id:20603002,min:1,min:1},{id:20703002,min:1,min:1}</v>
      </c>
      <c r="K11" s="4">
        <f t="shared" si="1"/>
        <v>1500</v>
      </c>
      <c r="L11" s="13">
        <f t="shared" si="1"/>
        <v>70100306</v>
      </c>
      <c r="M11" s="13" t="str">
        <f t="shared" si="1"/>
        <v>{id:20003003,min:1,min:1},{id:20103003,min:1,min:1},{id:20203003,min:1,min:1},{id:20303003,min:1,min:1},{id:20403003,min:1,min:1},{id:20503003,min:1,min:1},{id:20603003,min:1,min:1},{id:20703003,min:1,min:1}</v>
      </c>
      <c r="N11" s="4">
        <v>500</v>
      </c>
      <c r="O11" s="9">
        <f t="shared" si="2"/>
        <v>70100406</v>
      </c>
      <c r="P11" s="9" t="str">
        <f t="shared" si="2"/>
        <v>{id:20003004,min:1,min:1},{id:20103004,min:1,min:1},{id:20203004,min:1,min:1},{id:20303004,min:1,min:1},{id:20403004,min:1,min:1},{id:20503004,min:1,min:1},{id:20603004,min:1,min:1},{id:20703004,min:1,min:1}</v>
      </c>
      <c r="Q11" s="5">
        <v>0</v>
      </c>
      <c r="S11" s="17" t="s">
        <v>526</v>
      </c>
      <c r="T11" s="17">
        <v>70010006</v>
      </c>
      <c r="U11" s="18" t="str">
        <f t="shared" si="3"/>
        <v>{id:70100006,odds:6000},{id:70100106,odds:2000},{id:70100206,odds:1500},{id:70100306,odds:500}</v>
      </c>
      <c r="W11" s="4" t="str">
        <f t="shared" si="4"/>
        <v>{id:70100006,odds:6000}</v>
      </c>
      <c r="X11" s="4" t="str">
        <f t="shared" si="5"/>
        <v>{id:70100106,odds:2000}</v>
      </c>
      <c r="Y11" s="4" t="str">
        <f t="shared" si="6"/>
        <v>{id:70100206,odds:1500}</v>
      </c>
      <c r="Z11" s="4" t="str">
        <f t="shared" si="7"/>
        <v>{id:70100306,odds:500}</v>
      </c>
      <c r="AA11" s="4" t="str">
        <f t="shared" si="8"/>
        <v>{id:70100406,odds:0}</v>
      </c>
    </row>
    <row r="12" spans="1:27" x14ac:dyDescent="0.15">
      <c r="A12" s="39"/>
      <c r="B12" s="3">
        <v>35</v>
      </c>
      <c r="C12" s="15">
        <f t="shared" si="0"/>
        <v>70100007</v>
      </c>
      <c r="D12" s="21" t="str">
        <f t="shared" si="0"/>
        <v>{id:20003500,min:1,min:1},{id:20103500,min:1,min:1},{id:20203500,min:1,min:1},{id:20303500,min:1,min:1},{id:20403500,min:1,min:1},{id:20503500,min:1,min:1},{id:20603500,min:1,min:1},{id:20703500,min:1,min:1}</v>
      </c>
      <c r="E12" s="4">
        <v>6000</v>
      </c>
      <c r="F12" s="12">
        <f t="shared" si="1"/>
        <v>70100107</v>
      </c>
      <c r="G12" s="22" t="str">
        <f t="shared" si="1"/>
        <v>{id:20003501,min:1,min:1},{id:20103501,min:1,min:1},{id:20203501,min:1,min:1},{id:20303501,min:1,min:1},{id:20403501,min:1,min:1},{id:20503501,min:1,min:1},{id:20603501,min:1,min:1},{id:20703501,min:1,min:1}</v>
      </c>
      <c r="H12" s="4">
        <f t="shared" si="1"/>
        <v>2000</v>
      </c>
      <c r="I12" s="11">
        <f t="shared" si="1"/>
        <v>70100207</v>
      </c>
      <c r="J12" s="23" t="str">
        <f t="shared" si="1"/>
        <v>{id:20003502,min:1,min:1},{id:20103502,min:1,min:1},{id:20203502,min:1,min:1},{id:20303502,min:1,min:1},{id:20403502,min:1,min:1},{id:20503502,min:1,min:1},{id:20603502,min:1,min:1},{id:20703502,min:1,min:1}</v>
      </c>
      <c r="K12" s="4">
        <f t="shared" si="1"/>
        <v>1500</v>
      </c>
      <c r="L12" s="13">
        <f t="shared" si="1"/>
        <v>70100307</v>
      </c>
      <c r="M12" s="13" t="str">
        <f t="shared" si="1"/>
        <v>{id:20003503,min:1,min:1},{id:20103503,min:1,min:1},{id:20203503,min:1,min:1},{id:20303503,min:1,min:1},{id:20403503,min:1,min:1},{id:20503503,min:1,min:1},{id:20603503,min:1,min:1},{id:20703503,min:1,min:1}</v>
      </c>
      <c r="N12" s="4">
        <v>500</v>
      </c>
      <c r="O12" s="9">
        <f t="shared" si="2"/>
        <v>70100407</v>
      </c>
      <c r="P12" s="9" t="str">
        <f t="shared" si="2"/>
        <v>{id:20003504,min:1,min:1},{id:20103504,min:1,min:1},{id:20203504,min:1,min:1},{id:20303504,min:1,min:1},{id:20403504,min:1,min:1},{id:20503504,min:1,min:1},{id:20603504,min:1,min:1},{id:20703504,min:1,min:1}</v>
      </c>
      <c r="Q12" s="5">
        <v>0</v>
      </c>
      <c r="S12" s="17" t="s">
        <v>527</v>
      </c>
      <c r="T12" s="17">
        <v>70010007</v>
      </c>
      <c r="U12" s="18" t="str">
        <f t="shared" si="3"/>
        <v>{id:70100007,odds:6000},{id:70100107,odds:2000},{id:70100207,odds:1500},{id:70100307,odds:500}</v>
      </c>
      <c r="W12" s="4" t="str">
        <f t="shared" si="4"/>
        <v>{id:70100007,odds:6000}</v>
      </c>
      <c r="X12" s="4" t="str">
        <f t="shared" si="5"/>
        <v>{id:70100107,odds:2000}</v>
      </c>
      <c r="Y12" s="4" t="str">
        <f t="shared" si="6"/>
        <v>{id:70100207,odds:1500}</v>
      </c>
      <c r="Z12" s="4" t="str">
        <f t="shared" si="7"/>
        <v>{id:70100307,odds:500}</v>
      </c>
      <c r="AA12" s="4" t="str">
        <f t="shared" si="8"/>
        <v>{id:70100407,odds:0}</v>
      </c>
    </row>
    <row r="13" spans="1:27" x14ac:dyDescent="0.15">
      <c r="A13" s="39"/>
      <c r="B13" s="3">
        <v>40</v>
      </c>
      <c r="C13" s="15">
        <f t="shared" si="0"/>
        <v>70100008</v>
      </c>
      <c r="D13" s="21" t="str">
        <f t="shared" si="0"/>
        <v>{id:20004000,min:1,min:1},{id:20104000,min:1,min:1},{id:20204000,min:1,min:1},{id:20304000,min:1,min:1},{id:20404000,min:1,min:1},{id:20504000,min:1,min:1},{id:20604000,min:1,min:1},{id:20704000,min:1,min:1}</v>
      </c>
      <c r="E13" s="4">
        <v>6000</v>
      </c>
      <c r="F13" s="12">
        <f t="shared" si="1"/>
        <v>70100108</v>
      </c>
      <c r="G13" s="22" t="str">
        <f t="shared" si="1"/>
        <v>{id:20004001,min:1,min:1},{id:20104001,min:1,min:1},{id:20204001,min:1,min:1},{id:20304001,min:1,min:1},{id:20404001,min:1,min:1},{id:20504001,min:1,min:1},{id:20604001,min:1,min:1},{id:20704001,min:1,min:1}</v>
      </c>
      <c r="H13" s="4">
        <f t="shared" si="1"/>
        <v>2000</v>
      </c>
      <c r="I13" s="11">
        <f t="shared" si="1"/>
        <v>70100208</v>
      </c>
      <c r="J13" s="23" t="str">
        <f t="shared" si="1"/>
        <v>{id:20004002,min:1,min:1},{id:20104002,min:1,min:1},{id:20204002,min:1,min:1},{id:20304002,min:1,min:1},{id:20404002,min:1,min:1},{id:20504002,min:1,min:1},{id:20604002,min:1,min:1},{id:20704002,min:1,min:1}</v>
      </c>
      <c r="K13" s="4">
        <f t="shared" si="1"/>
        <v>1500</v>
      </c>
      <c r="L13" s="13">
        <f t="shared" si="1"/>
        <v>70100308</v>
      </c>
      <c r="M13" s="13" t="str">
        <f t="shared" si="1"/>
        <v>{id:20004003,min:1,min:1},{id:20104003,min:1,min:1},{id:20204003,min:1,min:1},{id:20304003,min:1,min:1},{id:20404003,min:1,min:1},{id:20504003,min:1,min:1},{id:20604003,min:1,min:1},{id:20704003,min:1,min:1}</v>
      </c>
      <c r="N13" s="4">
        <v>500</v>
      </c>
      <c r="O13" s="9">
        <f t="shared" si="2"/>
        <v>70100408</v>
      </c>
      <c r="P13" s="9" t="str">
        <f t="shared" si="2"/>
        <v>{id:20004004,min:1,min:1},{id:20104004,min:1,min:1},{id:20204004,min:1,min:1},{id:20304004,min:1,min:1},{id:20404004,min:1,min:1},{id:20504004,min:1,min:1},{id:20604004,min:1,min:1},{id:20704004,min:1,min:1}</v>
      </c>
      <c r="Q13" s="5">
        <v>0</v>
      </c>
      <c r="S13" s="17" t="s">
        <v>528</v>
      </c>
      <c r="T13" s="17">
        <v>70010008</v>
      </c>
      <c r="U13" s="18" t="str">
        <f t="shared" si="3"/>
        <v>{id:70100008,odds:6000},{id:70100108,odds:2000},{id:70100208,odds:1500},{id:70100308,odds:500}</v>
      </c>
      <c r="W13" s="4" t="str">
        <f t="shared" si="4"/>
        <v>{id:70100008,odds:6000}</v>
      </c>
      <c r="X13" s="4" t="str">
        <f t="shared" si="5"/>
        <v>{id:70100108,odds:2000}</v>
      </c>
      <c r="Y13" s="4" t="str">
        <f t="shared" si="6"/>
        <v>{id:70100208,odds:1500}</v>
      </c>
      <c r="Z13" s="4" t="str">
        <f t="shared" si="7"/>
        <v>{id:70100308,odds:500}</v>
      </c>
      <c r="AA13" s="4" t="str">
        <f t="shared" si="8"/>
        <v>{id:70100408,odds:0}</v>
      </c>
    </row>
    <row r="14" spans="1:27" x14ac:dyDescent="0.15">
      <c r="A14" s="39"/>
      <c r="B14" s="3">
        <v>45</v>
      </c>
      <c r="C14" s="15">
        <f t="shared" si="0"/>
        <v>70100009</v>
      </c>
      <c r="D14" s="21" t="str">
        <f t="shared" si="0"/>
        <v>{id:20004500,min:1,min:1},{id:20104500,min:1,min:1},{id:20204500,min:1,min:1},{id:20304500,min:1,min:1},{id:20404500,min:1,min:1},{id:20504500,min:1,min:1},{id:20604500,min:1,min:1},{id:20704500,min:1,min:1}</v>
      </c>
      <c r="E14" s="4">
        <v>6000</v>
      </c>
      <c r="F14" s="12">
        <f t="shared" si="1"/>
        <v>70100109</v>
      </c>
      <c r="G14" s="22" t="str">
        <f t="shared" si="1"/>
        <v>{id:20004501,min:1,min:1},{id:20104501,min:1,min:1},{id:20204501,min:1,min:1},{id:20304501,min:1,min:1},{id:20404501,min:1,min:1},{id:20504501,min:1,min:1},{id:20604501,min:1,min:1},{id:20704501,min:1,min:1}</v>
      </c>
      <c r="H14" s="4">
        <f t="shared" si="1"/>
        <v>2000</v>
      </c>
      <c r="I14" s="11">
        <f t="shared" si="1"/>
        <v>70100209</v>
      </c>
      <c r="J14" s="23" t="str">
        <f t="shared" si="1"/>
        <v>{id:20004502,min:1,min:1},{id:20104502,min:1,min:1},{id:20204502,min:1,min:1},{id:20304502,min:1,min:1},{id:20404502,min:1,min:1},{id:20504502,min:1,min:1},{id:20604502,min:1,min:1},{id:20704502,min:1,min:1}</v>
      </c>
      <c r="K14" s="4">
        <f t="shared" si="1"/>
        <v>1500</v>
      </c>
      <c r="L14" s="13">
        <f t="shared" si="1"/>
        <v>70100309</v>
      </c>
      <c r="M14" s="13" t="str">
        <f t="shared" si="1"/>
        <v>{id:20004503,min:1,min:1},{id:20104503,min:1,min:1},{id:20204503,min:1,min:1},{id:20304503,min:1,min:1},{id:20404503,min:1,min:1},{id:20504503,min:1,min:1},{id:20604503,min:1,min:1},{id:20704503,min:1,min:1}</v>
      </c>
      <c r="N14" s="4">
        <v>500</v>
      </c>
      <c r="O14" s="9">
        <f t="shared" si="2"/>
        <v>70100409</v>
      </c>
      <c r="P14" s="9" t="str">
        <f t="shared" si="2"/>
        <v>{id:20004504,min:1,min:1},{id:20104504,min:1,min:1},{id:20204504,min:1,min:1},{id:20304504,min:1,min:1},{id:20404504,min:1,min:1},{id:20504504,min:1,min:1},{id:20604504,min:1,min:1},{id:20704504,min:1,min:1}</v>
      </c>
      <c r="Q14" s="5">
        <v>0</v>
      </c>
      <c r="S14" s="17" t="s">
        <v>529</v>
      </c>
      <c r="T14" s="17">
        <v>70010009</v>
      </c>
      <c r="U14" s="18" t="str">
        <f t="shared" si="3"/>
        <v>{id:70100009,odds:6000},{id:70100109,odds:2000},{id:70100209,odds:1500},{id:70100309,odds:500}</v>
      </c>
      <c r="W14" s="4" t="str">
        <f t="shared" si="4"/>
        <v>{id:70100009,odds:6000}</v>
      </c>
      <c r="X14" s="4" t="str">
        <f t="shared" si="5"/>
        <v>{id:70100109,odds:2000}</v>
      </c>
      <c r="Y14" s="4" t="str">
        <f t="shared" si="6"/>
        <v>{id:70100209,odds:1500}</v>
      </c>
      <c r="Z14" s="4" t="str">
        <f t="shared" si="7"/>
        <v>{id:70100309,odds:500}</v>
      </c>
      <c r="AA14" s="4" t="str">
        <f t="shared" si="8"/>
        <v>{id:70100409,odds:0}</v>
      </c>
    </row>
    <row r="15" spans="1:27" x14ac:dyDescent="0.15">
      <c r="A15" s="39"/>
      <c r="B15" s="3">
        <v>50</v>
      </c>
      <c r="C15" s="15">
        <f t="shared" si="0"/>
        <v>70100010</v>
      </c>
      <c r="D15" s="21" t="str">
        <f t="shared" si="0"/>
        <v>{id:20005000,min:1,min:1},{id:20105000,min:1,min:1},{id:20205000,min:1,min:1},{id:20305000,min:1,min:1},{id:20405000,min:1,min:1},{id:20505000,min:1,min:1},{id:20605000,min:1,min:1},{id:20705000,min:1,min:1}</v>
      </c>
      <c r="E15" s="4">
        <v>6000</v>
      </c>
      <c r="F15" s="12">
        <f t="shared" si="1"/>
        <v>70100110</v>
      </c>
      <c r="G15" s="22" t="str">
        <f t="shared" si="1"/>
        <v>{id:20005001,min:1,min:1},{id:20105001,min:1,min:1},{id:20205001,min:1,min:1},{id:20305001,min:1,min:1},{id:20405001,min:1,min:1},{id:20505001,min:1,min:1},{id:20605001,min:1,min:1},{id:20705001,min:1,min:1}</v>
      </c>
      <c r="H15" s="4">
        <f t="shared" si="1"/>
        <v>2000</v>
      </c>
      <c r="I15" s="11">
        <f t="shared" si="1"/>
        <v>70100210</v>
      </c>
      <c r="J15" s="23" t="str">
        <f t="shared" si="1"/>
        <v>{id:20005002,min:1,min:1},{id:20105002,min:1,min:1},{id:20205002,min:1,min:1},{id:20305002,min:1,min:1},{id:20405002,min:1,min:1},{id:20505002,min:1,min:1},{id:20605002,min:1,min:1},{id:20705002,min:1,min:1}</v>
      </c>
      <c r="K15" s="4">
        <f t="shared" si="1"/>
        <v>1500</v>
      </c>
      <c r="L15" s="13">
        <f t="shared" si="1"/>
        <v>70100310</v>
      </c>
      <c r="M15" s="13" t="str">
        <f t="shared" si="1"/>
        <v>{id:20005003,min:1,min:1},{id:20105003,min:1,min:1},{id:20205003,min:1,min:1},{id:20305003,min:1,min:1},{id:20405003,min:1,min:1},{id:20505003,min:1,min:1},{id:20605003,min:1,min:1},{id:20705003,min:1,min:1}</v>
      </c>
      <c r="N15" s="4">
        <v>500</v>
      </c>
      <c r="O15" s="9">
        <f t="shared" si="2"/>
        <v>70100410</v>
      </c>
      <c r="P15" s="9" t="str">
        <f t="shared" si="2"/>
        <v>{id:20005004,min:1,min:1},{id:20105004,min:1,min:1},{id:20205004,min:1,min:1},{id:20305004,min:1,min:1},{id:20405004,min:1,min:1},{id:20505004,min:1,min:1},{id:20605004,min:1,min:1},{id:20705004,min:1,min:1}</v>
      </c>
      <c r="Q15" s="5">
        <v>0</v>
      </c>
      <c r="S15" s="17" t="s">
        <v>530</v>
      </c>
      <c r="T15" s="17">
        <v>70010010</v>
      </c>
      <c r="U15" s="18" t="str">
        <f t="shared" si="3"/>
        <v>{id:70100010,odds:6000},{id:70100110,odds:2000},{id:70100210,odds:1500},{id:70100310,odds:500}</v>
      </c>
      <c r="W15" s="4" t="str">
        <f t="shared" si="4"/>
        <v>{id:70100010,odds:6000}</v>
      </c>
      <c r="X15" s="4" t="str">
        <f t="shared" si="5"/>
        <v>{id:70100110,odds:2000}</v>
      </c>
      <c r="Y15" s="4" t="str">
        <f t="shared" si="6"/>
        <v>{id:70100210,odds:1500}</v>
      </c>
      <c r="Z15" s="4" t="str">
        <f t="shared" si="7"/>
        <v>{id:70100310,odds:500}</v>
      </c>
      <c r="AA15" s="4" t="str">
        <f t="shared" si="8"/>
        <v>{id:70100410,odds:0}</v>
      </c>
    </row>
    <row r="17" spans="1:27" x14ac:dyDescent="0.15">
      <c r="A17" s="39" t="s">
        <v>507</v>
      </c>
      <c r="B17" s="4" t="s">
        <v>210</v>
      </c>
      <c r="C17" s="14" t="s">
        <v>205</v>
      </c>
      <c r="D17" s="14"/>
      <c r="E17" s="14" t="s">
        <v>212</v>
      </c>
      <c r="F17" s="10" t="s">
        <v>206</v>
      </c>
      <c r="G17" s="10"/>
      <c r="H17" s="10" t="s">
        <v>211</v>
      </c>
      <c r="I17" s="7" t="s">
        <v>207</v>
      </c>
      <c r="J17" s="7"/>
      <c r="K17" s="7" t="s">
        <v>211</v>
      </c>
      <c r="L17" s="6" t="s">
        <v>208</v>
      </c>
      <c r="M17" s="6"/>
      <c r="N17" s="6" t="s">
        <v>211</v>
      </c>
      <c r="O17" s="8" t="s">
        <v>209</v>
      </c>
      <c r="P17" s="8"/>
      <c r="Q17" s="8" t="s">
        <v>211</v>
      </c>
      <c r="T17" s="4" t="s">
        <v>213</v>
      </c>
    </row>
    <row r="18" spans="1:27" x14ac:dyDescent="0.15">
      <c r="A18" s="39"/>
      <c r="B18" s="3">
        <v>1</v>
      </c>
      <c r="C18" s="15">
        <v>70100000</v>
      </c>
      <c r="D18" s="21" t="s">
        <v>531</v>
      </c>
      <c r="E18" s="4">
        <v>5000</v>
      </c>
      <c r="F18" s="12">
        <f>C18+100</f>
        <v>70100100</v>
      </c>
      <c r="G18" s="22" t="s">
        <v>542</v>
      </c>
      <c r="H18" s="4">
        <v>2000</v>
      </c>
      <c r="I18" s="11">
        <f>F18+100</f>
        <v>70100200</v>
      </c>
      <c r="J18" s="23" t="s">
        <v>553</v>
      </c>
      <c r="K18" s="4">
        <v>1500</v>
      </c>
      <c r="L18" s="13">
        <f>I18+100</f>
        <v>70100300</v>
      </c>
      <c r="M18" s="13" t="s">
        <v>564</v>
      </c>
      <c r="N18" s="4">
        <v>1000</v>
      </c>
      <c r="O18" s="9">
        <f>L18+100</f>
        <v>70100400</v>
      </c>
      <c r="P18" s="9" t="s">
        <v>590</v>
      </c>
      <c r="Q18" s="5">
        <v>500</v>
      </c>
      <c r="S18" s="17" t="s">
        <v>509</v>
      </c>
      <c r="T18" s="17">
        <v>70020000</v>
      </c>
      <c r="U18" s="18" t="str">
        <f>W18&amp;","&amp;X18&amp;","&amp;Y18&amp;","&amp;Z18&amp;","&amp;AA18</f>
        <v>{id:70100000,odds:5000},{id:70100100,odds:2000},{id:70100200,odds:1500},{id:70100300,odds:1000},{id:70100400,odds:500}</v>
      </c>
      <c r="W18" s="4" t="str">
        <f>"{id:"&amp;C18&amp;",odds:"&amp;E18&amp;"}"</f>
        <v>{id:70100000,odds:5000}</v>
      </c>
      <c r="X18" s="4" t="str">
        <f>"{id:"&amp;F18&amp;",odds:"&amp;H18&amp;"}"</f>
        <v>{id:70100100,odds:2000}</v>
      </c>
      <c r="Y18" s="4" t="str">
        <f>"{id:"&amp;I18&amp;",odds:"&amp;K18&amp;"}"</f>
        <v>{id:70100200,odds:1500}</v>
      </c>
      <c r="Z18" s="4" t="str">
        <f>"{id:"&amp;L18&amp;",odds:"&amp;N18&amp;"}"</f>
        <v>{id:70100300,odds:1000}</v>
      </c>
      <c r="AA18" s="4" t="str">
        <f>"{id:"&amp;O18&amp;",odds:"&amp;Q18&amp;"}"</f>
        <v>{id:70100400,odds:500}</v>
      </c>
    </row>
    <row r="19" spans="1:27" x14ac:dyDescent="0.15">
      <c r="A19" s="39"/>
      <c r="B19" s="3">
        <v>5</v>
      </c>
      <c r="C19" s="15">
        <v>70100001</v>
      </c>
      <c r="D19" s="21" t="s">
        <v>532</v>
      </c>
      <c r="E19" s="4">
        <v>5000</v>
      </c>
      <c r="F19" s="12">
        <f t="shared" ref="F19:F28" si="9">C19+100</f>
        <v>70100101</v>
      </c>
      <c r="G19" s="22" t="s">
        <v>543</v>
      </c>
      <c r="H19" s="4">
        <v>2000</v>
      </c>
      <c r="I19" s="11">
        <f t="shared" ref="I19:I28" si="10">F19+100</f>
        <v>70100201</v>
      </c>
      <c r="J19" s="23" t="s">
        <v>554</v>
      </c>
      <c r="K19" s="4">
        <v>1500</v>
      </c>
      <c r="L19" s="13">
        <f t="shared" ref="L19:L28" si="11">I19+100</f>
        <v>70100301</v>
      </c>
      <c r="M19" s="13" t="s">
        <v>565</v>
      </c>
      <c r="N19" s="4">
        <v>1000</v>
      </c>
      <c r="O19" s="9">
        <f t="shared" ref="O19:O28" si="12">L19+100</f>
        <v>70100401</v>
      </c>
      <c r="P19" s="9" t="s">
        <v>573</v>
      </c>
      <c r="Q19" s="5">
        <v>500</v>
      </c>
      <c r="S19" s="17" t="s">
        <v>510</v>
      </c>
      <c r="T19" s="17">
        <v>70020001</v>
      </c>
      <c r="U19" s="18" t="str">
        <f t="shared" ref="U19:U28" si="13">W19&amp;","&amp;X19&amp;","&amp;Y19&amp;","&amp;Z19&amp;","&amp;AA19</f>
        <v>{id:70100001,odds:5000},{id:70100101,odds:2000},{id:70100201,odds:1500},{id:70100301,odds:1000},{id:70100401,odds:500}</v>
      </c>
      <c r="W19" s="4" t="str">
        <f t="shared" ref="W19:W28" si="14">"{id:"&amp;C19&amp;",odds:"&amp;E19&amp;"}"</f>
        <v>{id:70100001,odds:5000}</v>
      </c>
      <c r="X19" s="4" t="str">
        <f t="shared" ref="X19:X28" si="15">"{id:"&amp;F19&amp;",odds:"&amp;H19&amp;"}"</f>
        <v>{id:70100101,odds:2000}</v>
      </c>
      <c r="Y19" s="4" t="str">
        <f t="shared" ref="Y19:Y28" si="16">"{id:"&amp;I19&amp;",odds:"&amp;K19&amp;"}"</f>
        <v>{id:70100201,odds:1500}</v>
      </c>
      <c r="Z19" s="4" t="str">
        <f t="shared" ref="Z19:Z28" si="17">"{id:"&amp;L19&amp;",odds:"&amp;N19&amp;"}"</f>
        <v>{id:70100301,odds:1000}</v>
      </c>
      <c r="AA19" s="4" t="str">
        <f t="shared" ref="AA19:AA28" si="18">"{id:"&amp;O19&amp;",odds:"&amp;Q19&amp;"}"</f>
        <v>{id:70100401,odds:500}</v>
      </c>
    </row>
    <row r="20" spans="1:27" x14ac:dyDescent="0.15">
      <c r="A20" s="39"/>
      <c r="B20" s="3">
        <v>10</v>
      </c>
      <c r="C20" s="15">
        <v>70100002</v>
      </c>
      <c r="D20" s="21" t="s">
        <v>533</v>
      </c>
      <c r="E20" s="4">
        <v>5000</v>
      </c>
      <c r="F20" s="12">
        <f t="shared" si="9"/>
        <v>70100102</v>
      </c>
      <c r="G20" s="22" t="s">
        <v>544</v>
      </c>
      <c r="H20" s="4">
        <v>2000</v>
      </c>
      <c r="I20" s="11">
        <f t="shared" si="10"/>
        <v>70100202</v>
      </c>
      <c r="J20" s="23" t="s">
        <v>555</v>
      </c>
      <c r="K20" s="4">
        <v>1500</v>
      </c>
      <c r="L20" s="13">
        <f t="shared" si="11"/>
        <v>70100302</v>
      </c>
      <c r="M20" s="13" t="s">
        <v>566</v>
      </c>
      <c r="N20" s="4">
        <v>1000</v>
      </c>
      <c r="O20" s="9">
        <f t="shared" si="12"/>
        <v>70100402</v>
      </c>
      <c r="P20" s="9" t="s">
        <v>574</v>
      </c>
      <c r="Q20" s="5">
        <v>500</v>
      </c>
      <c r="S20" s="17" t="s">
        <v>511</v>
      </c>
      <c r="T20" s="17">
        <v>70020002</v>
      </c>
      <c r="U20" s="18" t="str">
        <f t="shared" si="13"/>
        <v>{id:70100002,odds:5000},{id:70100102,odds:2000},{id:70100202,odds:1500},{id:70100302,odds:1000},{id:70100402,odds:500}</v>
      </c>
      <c r="W20" s="4" t="str">
        <f t="shared" si="14"/>
        <v>{id:70100002,odds:5000}</v>
      </c>
      <c r="X20" s="4" t="str">
        <f t="shared" si="15"/>
        <v>{id:70100102,odds:2000}</v>
      </c>
      <c r="Y20" s="4" t="str">
        <f t="shared" si="16"/>
        <v>{id:70100202,odds:1500}</v>
      </c>
      <c r="Z20" s="4" t="str">
        <f t="shared" si="17"/>
        <v>{id:70100302,odds:1000}</v>
      </c>
      <c r="AA20" s="4" t="str">
        <f t="shared" si="18"/>
        <v>{id:70100402,odds:500}</v>
      </c>
    </row>
    <row r="21" spans="1:27" x14ac:dyDescent="0.15">
      <c r="A21" s="39"/>
      <c r="B21" s="3">
        <v>15</v>
      </c>
      <c r="C21" s="15">
        <v>70100003</v>
      </c>
      <c r="D21" s="21" t="s">
        <v>534</v>
      </c>
      <c r="E21" s="4">
        <v>5000</v>
      </c>
      <c r="F21" s="12">
        <f t="shared" si="9"/>
        <v>70100103</v>
      </c>
      <c r="G21" s="22" t="s">
        <v>545</v>
      </c>
      <c r="H21" s="4">
        <v>2000</v>
      </c>
      <c r="I21" s="11">
        <f t="shared" si="10"/>
        <v>70100203</v>
      </c>
      <c r="J21" s="23" t="s">
        <v>556</v>
      </c>
      <c r="K21" s="4">
        <v>1500</v>
      </c>
      <c r="L21" s="13">
        <f t="shared" si="11"/>
        <v>70100303</v>
      </c>
      <c r="M21" s="13" t="s">
        <v>567</v>
      </c>
      <c r="N21" s="4">
        <v>1000</v>
      </c>
      <c r="O21" s="9">
        <f t="shared" si="12"/>
        <v>70100403</v>
      </c>
      <c r="P21" s="9" t="s">
        <v>591</v>
      </c>
      <c r="Q21" s="5">
        <v>500</v>
      </c>
      <c r="S21" s="17" t="s">
        <v>512</v>
      </c>
      <c r="T21" s="17">
        <v>70020003</v>
      </c>
      <c r="U21" s="18" t="str">
        <f t="shared" si="13"/>
        <v>{id:70100003,odds:5000},{id:70100103,odds:2000},{id:70100203,odds:1500},{id:70100303,odds:1000},{id:70100403,odds:500}</v>
      </c>
      <c r="W21" s="4" t="str">
        <f t="shared" si="14"/>
        <v>{id:70100003,odds:5000}</v>
      </c>
      <c r="X21" s="4" t="str">
        <f t="shared" si="15"/>
        <v>{id:70100103,odds:2000}</v>
      </c>
      <c r="Y21" s="4" t="str">
        <f t="shared" si="16"/>
        <v>{id:70100203,odds:1500}</v>
      </c>
      <c r="Z21" s="4" t="str">
        <f t="shared" si="17"/>
        <v>{id:70100303,odds:1000}</v>
      </c>
      <c r="AA21" s="4" t="str">
        <f t="shared" si="18"/>
        <v>{id:70100403,odds:500}</v>
      </c>
    </row>
    <row r="22" spans="1:27" x14ac:dyDescent="0.15">
      <c r="A22" s="39"/>
      <c r="B22" s="3">
        <v>20</v>
      </c>
      <c r="C22" s="15">
        <v>70100004</v>
      </c>
      <c r="D22" s="21" t="s">
        <v>535</v>
      </c>
      <c r="E22" s="4">
        <v>5000</v>
      </c>
      <c r="F22" s="12">
        <f t="shared" si="9"/>
        <v>70100104</v>
      </c>
      <c r="G22" s="22" t="s">
        <v>546</v>
      </c>
      <c r="H22" s="4">
        <v>2000</v>
      </c>
      <c r="I22" s="11">
        <f t="shared" si="10"/>
        <v>70100204</v>
      </c>
      <c r="J22" s="23" t="s">
        <v>557</v>
      </c>
      <c r="K22" s="4">
        <v>1500</v>
      </c>
      <c r="L22" s="13">
        <f t="shared" si="11"/>
        <v>70100304</v>
      </c>
      <c r="M22" s="13" t="s">
        <v>568</v>
      </c>
      <c r="N22" s="4">
        <v>1000</v>
      </c>
      <c r="O22" s="9">
        <f t="shared" si="12"/>
        <v>70100404</v>
      </c>
      <c r="P22" s="9" t="s">
        <v>575</v>
      </c>
      <c r="Q22" s="5">
        <v>500</v>
      </c>
      <c r="S22" s="17" t="s">
        <v>513</v>
      </c>
      <c r="T22" s="17">
        <v>70020004</v>
      </c>
      <c r="U22" s="18" t="str">
        <f t="shared" si="13"/>
        <v>{id:70100004,odds:5000},{id:70100104,odds:2000},{id:70100204,odds:1500},{id:70100304,odds:1000},{id:70100404,odds:500}</v>
      </c>
      <c r="W22" s="4" t="str">
        <f t="shared" si="14"/>
        <v>{id:70100004,odds:5000}</v>
      </c>
      <c r="X22" s="4" t="str">
        <f t="shared" si="15"/>
        <v>{id:70100104,odds:2000}</v>
      </c>
      <c r="Y22" s="4" t="str">
        <f t="shared" si="16"/>
        <v>{id:70100204,odds:1500}</v>
      </c>
      <c r="Z22" s="4" t="str">
        <f t="shared" si="17"/>
        <v>{id:70100304,odds:1000}</v>
      </c>
      <c r="AA22" s="4" t="str">
        <f t="shared" si="18"/>
        <v>{id:70100404,odds:500}</v>
      </c>
    </row>
    <row r="23" spans="1:27" x14ac:dyDescent="0.15">
      <c r="A23" s="39"/>
      <c r="B23" s="3">
        <v>25</v>
      </c>
      <c r="C23" s="15">
        <v>70100005</v>
      </c>
      <c r="D23" s="21" t="s">
        <v>536</v>
      </c>
      <c r="E23" s="4">
        <v>5000</v>
      </c>
      <c r="F23" s="12">
        <f t="shared" si="9"/>
        <v>70100105</v>
      </c>
      <c r="G23" s="22" t="s">
        <v>547</v>
      </c>
      <c r="H23" s="4">
        <v>2000</v>
      </c>
      <c r="I23" s="11">
        <f t="shared" si="10"/>
        <v>70100205</v>
      </c>
      <c r="J23" s="23" t="s">
        <v>558</v>
      </c>
      <c r="K23" s="4">
        <v>1500</v>
      </c>
      <c r="L23" s="13">
        <f t="shared" si="11"/>
        <v>70100305</v>
      </c>
      <c r="M23" s="13" t="s">
        <v>569</v>
      </c>
      <c r="N23" s="4">
        <v>1000</v>
      </c>
      <c r="O23" s="9">
        <f t="shared" si="12"/>
        <v>70100405</v>
      </c>
      <c r="P23" s="9" t="s">
        <v>576</v>
      </c>
      <c r="Q23" s="5">
        <v>500</v>
      </c>
      <c r="S23" s="17" t="s">
        <v>514</v>
      </c>
      <c r="T23" s="17">
        <v>70020005</v>
      </c>
      <c r="U23" s="18" t="str">
        <f t="shared" si="13"/>
        <v>{id:70100005,odds:5000},{id:70100105,odds:2000},{id:70100205,odds:1500},{id:70100305,odds:1000},{id:70100405,odds:500}</v>
      </c>
      <c r="W23" s="4" t="str">
        <f t="shared" si="14"/>
        <v>{id:70100005,odds:5000}</v>
      </c>
      <c r="X23" s="4" t="str">
        <f t="shared" si="15"/>
        <v>{id:70100105,odds:2000}</v>
      </c>
      <c r="Y23" s="4" t="str">
        <f t="shared" si="16"/>
        <v>{id:70100205,odds:1500}</v>
      </c>
      <c r="Z23" s="4" t="str">
        <f t="shared" si="17"/>
        <v>{id:70100305,odds:1000}</v>
      </c>
      <c r="AA23" s="4" t="str">
        <f t="shared" si="18"/>
        <v>{id:70100405,odds:500}</v>
      </c>
    </row>
    <row r="24" spans="1:27" x14ac:dyDescent="0.15">
      <c r="A24" s="39"/>
      <c r="B24" s="3">
        <v>30</v>
      </c>
      <c r="C24" s="15">
        <v>70100006</v>
      </c>
      <c r="D24" s="21" t="s">
        <v>537</v>
      </c>
      <c r="E24" s="4">
        <v>5000</v>
      </c>
      <c r="F24" s="12">
        <f t="shared" si="9"/>
        <v>70100106</v>
      </c>
      <c r="G24" s="22" t="s">
        <v>548</v>
      </c>
      <c r="H24" s="4">
        <v>2000</v>
      </c>
      <c r="I24" s="11">
        <f t="shared" si="10"/>
        <v>70100206</v>
      </c>
      <c r="J24" s="23" t="s">
        <v>559</v>
      </c>
      <c r="K24" s="4">
        <v>1500</v>
      </c>
      <c r="L24" s="13">
        <f t="shared" si="11"/>
        <v>70100306</v>
      </c>
      <c r="M24" s="13" t="s">
        <v>570</v>
      </c>
      <c r="N24" s="4">
        <v>1000</v>
      </c>
      <c r="O24" s="9">
        <f t="shared" si="12"/>
        <v>70100406</v>
      </c>
      <c r="P24" s="9" t="s">
        <v>577</v>
      </c>
      <c r="Q24" s="5">
        <v>500</v>
      </c>
      <c r="S24" s="17" t="s">
        <v>515</v>
      </c>
      <c r="T24" s="17">
        <v>70020006</v>
      </c>
      <c r="U24" s="18" t="str">
        <f t="shared" si="13"/>
        <v>{id:70100006,odds:5000},{id:70100106,odds:2000},{id:70100206,odds:1500},{id:70100306,odds:1000},{id:70100406,odds:500}</v>
      </c>
      <c r="W24" s="4" t="str">
        <f t="shared" si="14"/>
        <v>{id:70100006,odds:5000}</v>
      </c>
      <c r="X24" s="4" t="str">
        <f t="shared" si="15"/>
        <v>{id:70100106,odds:2000}</v>
      </c>
      <c r="Y24" s="4" t="str">
        <f t="shared" si="16"/>
        <v>{id:70100206,odds:1500}</v>
      </c>
      <c r="Z24" s="4" t="str">
        <f t="shared" si="17"/>
        <v>{id:70100306,odds:1000}</v>
      </c>
      <c r="AA24" s="4" t="str">
        <f t="shared" si="18"/>
        <v>{id:70100406,odds:500}</v>
      </c>
    </row>
    <row r="25" spans="1:27" x14ac:dyDescent="0.15">
      <c r="A25" s="39"/>
      <c r="B25" s="3">
        <v>35</v>
      </c>
      <c r="C25" s="15">
        <v>70100007</v>
      </c>
      <c r="D25" s="21" t="s">
        <v>538</v>
      </c>
      <c r="E25" s="4">
        <v>5000</v>
      </c>
      <c r="F25" s="12">
        <f t="shared" si="9"/>
        <v>70100107</v>
      </c>
      <c r="G25" s="22" t="s">
        <v>549</v>
      </c>
      <c r="H25" s="4">
        <v>2000</v>
      </c>
      <c r="I25" s="11">
        <f t="shared" si="10"/>
        <v>70100207</v>
      </c>
      <c r="J25" s="23" t="s">
        <v>560</v>
      </c>
      <c r="K25" s="4">
        <v>1500</v>
      </c>
      <c r="L25" s="13">
        <f t="shared" si="11"/>
        <v>70100307</v>
      </c>
      <c r="M25" s="13" t="s">
        <v>588</v>
      </c>
      <c r="N25" s="4">
        <v>1000</v>
      </c>
      <c r="O25" s="9">
        <f t="shared" si="12"/>
        <v>70100407</v>
      </c>
      <c r="P25" s="9" t="s">
        <v>578</v>
      </c>
      <c r="Q25" s="5">
        <v>500</v>
      </c>
      <c r="S25" s="17" t="s">
        <v>516</v>
      </c>
      <c r="T25" s="17">
        <v>70020007</v>
      </c>
      <c r="U25" s="18" t="str">
        <f t="shared" si="13"/>
        <v>{id:70100007,odds:5000},{id:70100107,odds:2000},{id:70100207,odds:1500},{id:70100307,odds:1000},{id:70100407,odds:500}</v>
      </c>
      <c r="W25" s="4" t="str">
        <f t="shared" si="14"/>
        <v>{id:70100007,odds:5000}</v>
      </c>
      <c r="X25" s="4" t="str">
        <f t="shared" si="15"/>
        <v>{id:70100107,odds:2000}</v>
      </c>
      <c r="Y25" s="4" t="str">
        <f t="shared" si="16"/>
        <v>{id:70100207,odds:1500}</v>
      </c>
      <c r="Z25" s="4" t="str">
        <f t="shared" si="17"/>
        <v>{id:70100307,odds:1000}</v>
      </c>
      <c r="AA25" s="4" t="str">
        <f t="shared" si="18"/>
        <v>{id:70100407,odds:500}</v>
      </c>
    </row>
    <row r="26" spans="1:27" x14ac:dyDescent="0.15">
      <c r="A26" s="39"/>
      <c r="B26" s="3">
        <v>40</v>
      </c>
      <c r="C26" s="15">
        <v>70100008</v>
      </c>
      <c r="D26" s="21" t="s">
        <v>539</v>
      </c>
      <c r="E26" s="4">
        <v>5000</v>
      </c>
      <c r="F26" s="12">
        <f t="shared" si="9"/>
        <v>70100108</v>
      </c>
      <c r="G26" s="22" t="s">
        <v>550</v>
      </c>
      <c r="H26" s="4">
        <v>2000</v>
      </c>
      <c r="I26" s="11">
        <f t="shared" si="10"/>
        <v>70100208</v>
      </c>
      <c r="J26" s="23" t="s">
        <v>561</v>
      </c>
      <c r="K26" s="4">
        <v>1500</v>
      </c>
      <c r="L26" s="13">
        <f t="shared" si="11"/>
        <v>70100308</v>
      </c>
      <c r="M26" s="13" t="s">
        <v>571</v>
      </c>
      <c r="N26" s="4">
        <v>1000</v>
      </c>
      <c r="O26" s="9">
        <f t="shared" si="12"/>
        <v>70100408</v>
      </c>
      <c r="P26" s="9" t="s">
        <v>579</v>
      </c>
      <c r="Q26" s="5">
        <v>500</v>
      </c>
      <c r="S26" s="17" t="s">
        <v>517</v>
      </c>
      <c r="T26" s="17">
        <v>70020008</v>
      </c>
      <c r="U26" s="18" t="str">
        <f t="shared" si="13"/>
        <v>{id:70100008,odds:5000},{id:70100108,odds:2000},{id:70100208,odds:1500},{id:70100308,odds:1000},{id:70100408,odds:500}</v>
      </c>
      <c r="W26" s="4" t="str">
        <f t="shared" si="14"/>
        <v>{id:70100008,odds:5000}</v>
      </c>
      <c r="X26" s="4" t="str">
        <f t="shared" si="15"/>
        <v>{id:70100108,odds:2000}</v>
      </c>
      <c r="Y26" s="4" t="str">
        <f t="shared" si="16"/>
        <v>{id:70100208,odds:1500}</v>
      </c>
      <c r="Z26" s="4" t="str">
        <f t="shared" si="17"/>
        <v>{id:70100308,odds:1000}</v>
      </c>
      <c r="AA26" s="4" t="str">
        <f t="shared" si="18"/>
        <v>{id:70100408,odds:500}</v>
      </c>
    </row>
    <row r="27" spans="1:27" x14ac:dyDescent="0.15">
      <c r="A27" s="39"/>
      <c r="B27" s="3">
        <v>45</v>
      </c>
      <c r="C27" s="15">
        <v>70100009</v>
      </c>
      <c r="D27" s="21" t="s">
        <v>540</v>
      </c>
      <c r="E27" s="4">
        <v>5000</v>
      </c>
      <c r="F27" s="12">
        <f t="shared" si="9"/>
        <v>70100109</v>
      </c>
      <c r="G27" s="22" t="s">
        <v>551</v>
      </c>
      <c r="H27" s="4">
        <v>2000</v>
      </c>
      <c r="I27" s="11">
        <f t="shared" si="10"/>
        <v>70100209</v>
      </c>
      <c r="J27" s="23" t="s">
        <v>562</v>
      </c>
      <c r="K27" s="4">
        <v>1500</v>
      </c>
      <c r="L27" s="13">
        <f t="shared" si="11"/>
        <v>70100309</v>
      </c>
      <c r="M27" s="13" t="s">
        <v>589</v>
      </c>
      <c r="N27" s="4">
        <v>1000</v>
      </c>
      <c r="O27" s="9">
        <f t="shared" si="12"/>
        <v>70100409</v>
      </c>
      <c r="P27" s="9" t="s">
        <v>580</v>
      </c>
      <c r="Q27" s="5">
        <v>500</v>
      </c>
      <c r="S27" s="17" t="s">
        <v>518</v>
      </c>
      <c r="T27" s="17">
        <v>70020009</v>
      </c>
      <c r="U27" s="18" t="str">
        <f t="shared" si="13"/>
        <v>{id:70100009,odds:5000},{id:70100109,odds:2000},{id:70100209,odds:1500},{id:70100309,odds:1000},{id:70100409,odds:500}</v>
      </c>
      <c r="W27" s="4" t="str">
        <f t="shared" si="14"/>
        <v>{id:70100009,odds:5000}</v>
      </c>
      <c r="X27" s="4" t="str">
        <f t="shared" si="15"/>
        <v>{id:70100109,odds:2000}</v>
      </c>
      <c r="Y27" s="4" t="str">
        <f t="shared" si="16"/>
        <v>{id:70100209,odds:1500}</v>
      </c>
      <c r="Z27" s="4" t="str">
        <f t="shared" si="17"/>
        <v>{id:70100309,odds:1000}</v>
      </c>
      <c r="AA27" s="4" t="str">
        <f t="shared" si="18"/>
        <v>{id:70100409,odds:500}</v>
      </c>
    </row>
    <row r="28" spans="1:27" x14ac:dyDescent="0.15">
      <c r="A28" s="39"/>
      <c r="B28" s="3">
        <v>50</v>
      </c>
      <c r="C28" s="15">
        <v>70100010</v>
      </c>
      <c r="D28" s="21" t="s">
        <v>541</v>
      </c>
      <c r="E28" s="4">
        <v>5000</v>
      </c>
      <c r="F28" s="12">
        <f t="shared" si="9"/>
        <v>70100110</v>
      </c>
      <c r="G28" s="22" t="s">
        <v>552</v>
      </c>
      <c r="H28" s="4">
        <v>2000</v>
      </c>
      <c r="I28" s="11">
        <f t="shared" si="10"/>
        <v>70100210</v>
      </c>
      <c r="J28" s="23" t="s">
        <v>563</v>
      </c>
      <c r="K28" s="4">
        <v>1500</v>
      </c>
      <c r="L28" s="13">
        <f t="shared" si="11"/>
        <v>70100310</v>
      </c>
      <c r="M28" s="13" t="s">
        <v>572</v>
      </c>
      <c r="N28" s="4">
        <v>1000</v>
      </c>
      <c r="O28" s="9">
        <f t="shared" si="12"/>
        <v>70100410</v>
      </c>
      <c r="P28" s="9" t="s">
        <v>581</v>
      </c>
      <c r="Q28" s="5">
        <v>500</v>
      </c>
      <c r="S28" s="17" t="s">
        <v>519</v>
      </c>
      <c r="T28" s="17">
        <v>70020010</v>
      </c>
      <c r="U28" s="18" t="str">
        <f t="shared" si="13"/>
        <v>{id:70100010,odds:5000},{id:70100110,odds:2000},{id:70100210,odds:1500},{id:70100310,odds:1000},{id:70100410,odds:500}</v>
      </c>
      <c r="W28" s="4" t="str">
        <f t="shared" si="14"/>
        <v>{id:70100010,odds:5000}</v>
      </c>
      <c r="X28" s="4" t="str">
        <f t="shared" si="15"/>
        <v>{id:70100110,odds:2000}</v>
      </c>
      <c r="Y28" s="4" t="str">
        <f t="shared" si="16"/>
        <v>{id:70100210,odds:1500}</v>
      </c>
      <c r="Z28" s="4" t="str">
        <f t="shared" si="17"/>
        <v>{id:70100310,odds:1000}</v>
      </c>
      <c r="AA28" s="4" t="str">
        <f t="shared" si="18"/>
        <v>{id:70100410,odds:500}</v>
      </c>
    </row>
    <row r="29" spans="1:27" x14ac:dyDescent="0.1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</row>
    <row r="30" spans="1:27" x14ac:dyDescent="0.15">
      <c r="C30" s="40" t="s">
        <v>129</v>
      </c>
      <c r="D30" s="40"/>
      <c r="E30" s="40"/>
      <c r="F30" s="41" t="s">
        <v>130</v>
      </c>
      <c r="G30" s="41"/>
      <c r="H30" s="41"/>
      <c r="I30" s="42" t="s">
        <v>131</v>
      </c>
      <c r="J30" s="42"/>
      <c r="K30" s="42"/>
      <c r="L30" s="37" t="s">
        <v>132</v>
      </c>
      <c r="M30" s="37"/>
      <c r="N30" s="37"/>
      <c r="O30" s="38" t="s">
        <v>133</v>
      </c>
      <c r="P30" s="38"/>
      <c r="Q30" s="38"/>
    </row>
    <row r="31" spans="1:27" x14ac:dyDescent="0.15">
      <c r="C31" s="14" t="s">
        <v>37</v>
      </c>
      <c r="D31" s="14" t="s">
        <v>38</v>
      </c>
      <c r="E31" s="14" t="s">
        <v>39</v>
      </c>
      <c r="F31" s="10" t="s">
        <v>37</v>
      </c>
      <c r="G31" s="10" t="s">
        <v>38</v>
      </c>
      <c r="H31" s="10" t="s">
        <v>39</v>
      </c>
      <c r="I31" s="7" t="s">
        <v>37</v>
      </c>
      <c r="J31" s="7" t="s">
        <v>38</v>
      </c>
      <c r="K31" s="7" t="s">
        <v>39</v>
      </c>
      <c r="L31" s="6" t="s">
        <v>37</v>
      </c>
      <c r="M31" s="6" t="s">
        <v>38</v>
      </c>
      <c r="N31" s="6" t="s">
        <v>39</v>
      </c>
      <c r="O31" s="8" t="s">
        <v>37</v>
      </c>
      <c r="P31" s="8" t="s">
        <v>38</v>
      </c>
      <c r="Q31" s="8" t="s">
        <v>39</v>
      </c>
    </row>
    <row r="32" spans="1:27" x14ac:dyDescent="0.15">
      <c r="C32" s="14">
        <v>20000100</v>
      </c>
      <c r="D32" s="2" t="s">
        <v>40</v>
      </c>
      <c r="E32" s="3">
        <v>1</v>
      </c>
      <c r="F32" s="12">
        <v>20000101</v>
      </c>
      <c r="G32" s="2" t="s">
        <v>41</v>
      </c>
      <c r="H32" s="3">
        <v>1</v>
      </c>
      <c r="I32" s="11">
        <v>20000102</v>
      </c>
      <c r="J32" s="2" t="s">
        <v>41</v>
      </c>
      <c r="K32" s="3">
        <v>1</v>
      </c>
      <c r="L32" s="13">
        <v>20000103</v>
      </c>
      <c r="M32" s="2" t="s">
        <v>41</v>
      </c>
      <c r="N32" s="3">
        <v>1</v>
      </c>
      <c r="O32" s="9">
        <v>20000104</v>
      </c>
      <c r="P32" s="2" t="s">
        <v>41</v>
      </c>
      <c r="Q32" s="3">
        <v>1</v>
      </c>
    </row>
    <row r="33" spans="3:17" x14ac:dyDescent="0.15">
      <c r="C33" s="15">
        <v>20000500</v>
      </c>
      <c r="D33" s="2" t="s">
        <v>42</v>
      </c>
      <c r="E33" s="3">
        <v>5</v>
      </c>
      <c r="F33" s="12">
        <v>20000501</v>
      </c>
      <c r="G33" s="2" t="s">
        <v>42</v>
      </c>
      <c r="H33" s="3">
        <v>5</v>
      </c>
      <c r="I33" s="11">
        <v>20000502</v>
      </c>
      <c r="J33" s="2" t="s">
        <v>42</v>
      </c>
      <c r="K33" s="3">
        <v>5</v>
      </c>
      <c r="L33" s="13">
        <v>20000503</v>
      </c>
      <c r="M33" s="2" t="s">
        <v>42</v>
      </c>
      <c r="N33" s="3">
        <v>5</v>
      </c>
      <c r="O33" s="9">
        <v>20000504</v>
      </c>
      <c r="P33" s="2" t="s">
        <v>42</v>
      </c>
      <c r="Q33" s="3">
        <v>5</v>
      </c>
    </row>
    <row r="34" spans="3:17" x14ac:dyDescent="0.15">
      <c r="C34" s="15">
        <v>20001000</v>
      </c>
      <c r="D34" s="2" t="s">
        <v>43</v>
      </c>
      <c r="E34" s="3">
        <v>10</v>
      </c>
      <c r="F34" s="12">
        <v>20001001</v>
      </c>
      <c r="G34" s="2" t="s">
        <v>43</v>
      </c>
      <c r="H34" s="3">
        <v>10</v>
      </c>
      <c r="I34" s="11">
        <v>20001002</v>
      </c>
      <c r="J34" s="2" t="s">
        <v>43</v>
      </c>
      <c r="K34" s="3">
        <v>10</v>
      </c>
      <c r="L34" s="13">
        <v>20001003</v>
      </c>
      <c r="M34" s="2" t="s">
        <v>43</v>
      </c>
      <c r="N34" s="3">
        <v>10</v>
      </c>
      <c r="O34" s="9">
        <v>20001004</v>
      </c>
      <c r="P34" s="2" t="s">
        <v>43</v>
      </c>
      <c r="Q34" s="3">
        <v>10</v>
      </c>
    </row>
    <row r="35" spans="3:17" x14ac:dyDescent="0.15">
      <c r="C35" s="15">
        <v>20001500</v>
      </c>
      <c r="D35" s="2" t="s">
        <v>44</v>
      </c>
      <c r="E35" s="3">
        <v>15</v>
      </c>
      <c r="F35" s="12">
        <v>20001501</v>
      </c>
      <c r="G35" s="2" t="s">
        <v>44</v>
      </c>
      <c r="H35" s="3">
        <v>15</v>
      </c>
      <c r="I35" s="11">
        <v>20001502</v>
      </c>
      <c r="J35" s="2" t="s">
        <v>44</v>
      </c>
      <c r="K35" s="3">
        <v>15</v>
      </c>
      <c r="L35" s="13">
        <v>20001503</v>
      </c>
      <c r="M35" s="2" t="s">
        <v>44</v>
      </c>
      <c r="N35" s="3">
        <v>15</v>
      </c>
      <c r="O35" s="9">
        <v>20001504</v>
      </c>
      <c r="P35" s="2" t="s">
        <v>44</v>
      </c>
      <c r="Q35" s="3">
        <v>15</v>
      </c>
    </row>
    <row r="36" spans="3:17" x14ac:dyDescent="0.15">
      <c r="C36" s="15">
        <v>20002000</v>
      </c>
      <c r="D36" s="2" t="s">
        <v>45</v>
      </c>
      <c r="E36" s="3">
        <v>20</v>
      </c>
      <c r="F36" s="12">
        <v>20002001</v>
      </c>
      <c r="G36" s="2" t="s">
        <v>45</v>
      </c>
      <c r="H36" s="3">
        <v>20</v>
      </c>
      <c r="I36" s="11">
        <v>20002002</v>
      </c>
      <c r="J36" s="2" t="s">
        <v>45</v>
      </c>
      <c r="K36" s="3">
        <v>20</v>
      </c>
      <c r="L36" s="13">
        <v>20002003</v>
      </c>
      <c r="M36" s="2" t="s">
        <v>45</v>
      </c>
      <c r="N36" s="3">
        <v>20</v>
      </c>
      <c r="O36" s="9">
        <v>20002004</v>
      </c>
      <c r="P36" s="2" t="s">
        <v>45</v>
      </c>
      <c r="Q36" s="3">
        <v>20</v>
      </c>
    </row>
    <row r="37" spans="3:17" x14ac:dyDescent="0.15">
      <c r="C37" s="15">
        <v>20002500</v>
      </c>
      <c r="D37" s="2" t="s">
        <v>46</v>
      </c>
      <c r="E37" s="3">
        <v>25</v>
      </c>
      <c r="F37" s="12">
        <v>20002501</v>
      </c>
      <c r="G37" s="2" t="s">
        <v>46</v>
      </c>
      <c r="H37" s="3">
        <v>25</v>
      </c>
      <c r="I37" s="11">
        <v>20002502</v>
      </c>
      <c r="J37" s="2" t="s">
        <v>46</v>
      </c>
      <c r="K37" s="3">
        <v>25</v>
      </c>
      <c r="L37" s="13">
        <v>20002503</v>
      </c>
      <c r="M37" s="2" t="s">
        <v>46</v>
      </c>
      <c r="N37" s="3">
        <v>25</v>
      </c>
      <c r="O37" s="9">
        <v>20002504</v>
      </c>
      <c r="P37" s="2" t="s">
        <v>46</v>
      </c>
      <c r="Q37" s="3">
        <v>25</v>
      </c>
    </row>
    <row r="38" spans="3:17" x14ac:dyDescent="0.15">
      <c r="C38" s="15">
        <v>20003000</v>
      </c>
      <c r="D38" s="2" t="s">
        <v>47</v>
      </c>
      <c r="E38" s="3">
        <v>30</v>
      </c>
      <c r="F38" s="12">
        <v>20003001</v>
      </c>
      <c r="G38" s="2" t="s">
        <v>47</v>
      </c>
      <c r="H38" s="3">
        <v>30</v>
      </c>
      <c r="I38" s="11">
        <v>20003002</v>
      </c>
      <c r="J38" s="2" t="s">
        <v>47</v>
      </c>
      <c r="K38" s="3">
        <v>30</v>
      </c>
      <c r="L38" s="13">
        <v>20003003</v>
      </c>
      <c r="M38" s="2" t="s">
        <v>47</v>
      </c>
      <c r="N38" s="3">
        <v>30</v>
      </c>
      <c r="O38" s="9">
        <v>20003004</v>
      </c>
      <c r="P38" s="2" t="s">
        <v>47</v>
      </c>
      <c r="Q38" s="3">
        <v>30</v>
      </c>
    </row>
    <row r="39" spans="3:17" x14ac:dyDescent="0.15">
      <c r="C39" s="15">
        <v>20003500</v>
      </c>
      <c r="D39" s="2" t="s">
        <v>48</v>
      </c>
      <c r="E39" s="3">
        <v>35</v>
      </c>
      <c r="F39" s="12">
        <v>20003501</v>
      </c>
      <c r="G39" s="2" t="s">
        <v>48</v>
      </c>
      <c r="H39" s="3">
        <v>35</v>
      </c>
      <c r="I39" s="11">
        <v>20003502</v>
      </c>
      <c r="J39" s="2" t="s">
        <v>48</v>
      </c>
      <c r="K39" s="3">
        <v>35</v>
      </c>
      <c r="L39" s="13">
        <v>20003503</v>
      </c>
      <c r="M39" s="2" t="s">
        <v>48</v>
      </c>
      <c r="N39" s="3">
        <v>35</v>
      </c>
      <c r="O39" s="9">
        <v>20003504</v>
      </c>
      <c r="P39" s="2" t="s">
        <v>48</v>
      </c>
      <c r="Q39" s="3">
        <v>35</v>
      </c>
    </row>
    <row r="40" spans="3:17" x14ac:dyDescent="0.15">
      <c r="C40" s="15">
        <v>20004000</v>
      </c>
      <c r="D40" s="2" t="s">
        <v>49</v>
      </c>
      <c r="E40" s="3">
        <v>40</v>
      </c>
      <c r="F40" s="12">
        <v>20004001</v>
      </c>
      <c r="G40" s="2" t="s">
        <v>49</v>
      </c>
      <c r="H40" s="3">
        <v>40</v>
      </c>
      <c r="I40" s="11">
        <v>20004002</v>
      </c>
      <c r="J40" s="2" t="s">
        <v>49</v>
      </c>
      <c r="K40" s="3">
        <v>40</v>
      </c>
      <c r="L40" s="13">
        <v>20004003</v>
      </c>
      <c r="M40" s="2" t="s">
        <v>49</v>
      </c>
      <c r="N40" s="3">
        <v>40</v>
      </c>
      <c r="O40" s="9">
        <v>20004004</v>
      </c>
      <c r="P40" s="2" t="s">
        <v>49</v>
      </c>
      <c r="Q40" s="3">
        <v>40</v>
      </c>
    </row>
    <row r="41" spans="3:17" x14ac:dyDescent="0.15">
      <c r="C41" s="15">
        <v>20004500</v>
      </c>
      <c r="D41" s="2" t="s">
        <v>50</v>
      </c>
      <c r="E41" s="3">
        <v>45</v>
      </c>
      <c r="F41" s="12">
        <v>20004501</v>
      </c>
      <c r="G41" s="2" t="s">
        <v>50</v>
      </c>
      <c r="H41" s="3">
        <v>45</v>
      </c>
      <c r="I41" s="11">
        <v>20004502</v>
      </c>
      <c r="J41" s="2" t="s">
        <v>50</v>
      </c>
      <c r="K41" s="3">
        <v>45</v>
      </c>
      <c r="L41" s="13">
        <v>20004503</v>
      </c>
      <c r="M41" s="2" t="s">
        <v>50</v>
      </c>
      <c r="N41" s="3">
        <v>45</v>
      </c>
      <c r="O41" s="9">
        <v>20004504</v>
      </c>
      <c r="P41" s="2" t="s">
        <v>50</v>
      </c>
      <c r="Q41" s="3">
        <v>45</v>
      </c>
    </row>
    <row r="42" spans="3:17" x14ac:dyDescent="0.15">
      <c r="C42" s="15">
        <v>20005000</v>
      </c>
      <c r="D42" s="2" t="s">
        <v>51</v>
      </c>
      <c r="E42" s="3">
        <v>50</v>
      </c>
      <c r="F42" s="12">
        <v>20005001</v>
      </c>
      <c r="G42" s="2" t="s">
        <v>51</v>
      </c>
      <c r="H42" s="3">
        <v>50</v>
      </c>
      <c r="I42" s="11">
        <v>20005002</v>
      </c>
      <c r="J42" s="2" t="s">
        <v>51</v>
      </c>
      <c r="K42" s="3">
        <v>50</v>
      </c>
      <c r="L42" s="13">
        <v>20005003</v>
      </c>
      <c r="M42" s="2" t="s">
        <v>51</v>
      </c>
      <c r="N42" s="3">
        <v>50</v>
      </c>
      <c r="O42" s="9">
        <v>20005004</v>
      </c>
      <c r="P42" s="2" t="s">
        <v>51</v>
      </c>
      <c r="Q42" s="3">
        <v>50</v>
      </c>
    </row>
    <row r="43" spans="3:17" x14ac:dyDescent="0.15">
      <c r="C43" s="15">
        <v>20100100</v>
      </c>
      <c r="D43" s="2" t="s">
        <v>52</v>
      </c>
      <c r="E43" s="3">
        <v>1</v>
      </c>
      <c r="F43" s="12">
        <v>20100101</v>
      </c>
      <c r="G43" s="2" t="s">
        <v>52</v>
      </c>
      <c r="H43" s="3">
        <v>1</v>
      </c>
      <c r="I43" s="11">
        <v>20100102</v>
      </c>
      <c r="J43" s="2" t="s">
        <v>52</v>
      </c>
      <c r="K43" s="3">
        <v>1</v>
      </c>
      <c r="L43" s="13">
        <v>20100103</v>
      </c>
      <c r="M43" s="2" t="s">
        <v>52</v>
      </c>
      <c r="N43" s="3">
        <v>1</v>
      </c>
      <c r="O43" s="9">
        <v>20100104</v>
      </c>
      <c r="P43" s="2" t="s">
        <v>52</v>
      </c>
      <c r="Q43" s="3">
        <v>1</v>
      </c>
    </row>
    <row r="44" spans="3:17" x14ac:dyDescent="0.15">
      <c r="C44" s="15">
        <v>20100500</v>
      </c>
      <c r="D44" s="2" t="s">
        <v>53</v>
      </c>
      <c r="E44" s="3">
        <v>5</v>
      </c>
      <c r="F44" s="12">
        <v>20100501</v>
      </c>
      <c r="G44" s="2" t="s">
        <v>53</v>
      </c>
      <c r="H44" s="3">
        <v>5</v>
      </c>
      <c r="I44" s="11">
        <v>20100502</v>
      </c>
      <c r="J44" s="2" t="s">
        <v>53</v>
      </c>
      <c r="K44" s="3">
        <v>5</v>
      </c>
      <c r="L44" s="13">
        <v>20100503</v>
      </c>
      <c r="M44" s="2" t="s">
        <v>53</v>
      </c>
      <c r="N44" s="3">
        <v>5</v>
      </c>
      <c r="O44" s="9">
        <v>20100504</v>
      </c>
      <c r="P44" s="2" t="s">
        <v>53</v>
      </c>
      <c r="Q44" s="3">
        <v>5</v>
      </c>
    </row>
    <row r="45" spans="3:17" x14ac:dyDescent="0.15">
      <c r="C45" s="15">
        <v>20101000</v>
      </c>
      <c r="D45" s="2" t="s">
        <v>54</v>
      </c>
      <c r="E45" s="3">
        <v>10</v>
      </c>
      <c r="F45" s="12">
        <v>20101001</v>
      </c>
      <c r="G45" s="2" t="s">
        <v>54</v>
      </c>
      <c r="H45" s="3">
        <v>10</v>
      </c>
      <c r="I45" s="11">
        <v>20101002</v>
      </c>
      <c r="J45" s="2" t="s">
        <v>54</v>
      </c>
      <c r="K45" s="3">
        <v>10</v>
      </c>
      <c r="L45" s="13">
        <v>20101003</v>
      </c>
      <c r="M45" s="2" t="s">
        <v>54</v>
      </c>
      <c r="N45" s="3">
        <v>10</v>
      </c>
      <c r="O45" s="9">
        <v>20101004</v>
      </c>
      <c r="P45" s="2" t="s">
        <v>54</v>
      </c>
      <c r="Q45" s="3">
        <v>10</v>
      </c>
    </row>
    <row r="46" spans="3:17" x14ac:dyDescent="0.15">
      <c r="C46" s="15">
        <v>20101500</v>
      </c>
      <c r="D46" s="2" t="s">
        <v>55</v>
      </c>
      <c r="E46" s="3">
        <v>15</v>
      </c>
      <c r="F46" s="12">
        <v>20101501</v>
      </c>
      <c r="G46" s="2" t="s">
        <v>55</v>
      </c>
      <c r="H46" s="3">
        <v>15</v>
      </c>
      <c r="I46" s="11">
        <v>20101502</v>
      </c>
      <c r="J46" s="2" t="s">
        <v>55</v>
      </c>
      <c r="K46" s="3">
        <v>15</v>
      </c>
      <c r="L46" s="13">
        <v>20101503</v>
      </c>
      <c r="M46" s="2" t="s">
        <v>55</v>
      </c>
      <c r="N46" s="3">
        <v>15</v>
      </c>
      <c r="O46" s="9">
        <v>20101504</v>
      </c>
      <c r="P46" s="2" t="s">
        <v>55</v>
      </c>
      <c r="Q46" s="3">
        <v>15</v>
      </c>
    </row>
    <row r="47" spans="3:17" x14ac:dyDescent="0.15">
      <c r="C47" s="15">
        <v>20102000</v>
      </c>
      <c r="D47" s="2" t="s">
        <v>56</v>
      </c>
      <c r="E47" s="3">
        <v>20</v>
      </c>
      <c r="F47" s="12">
        <v>20102001</v>
      </c>
      <c r="G47" s="2" t="s">
        <v>56</v>
      </c>
      <c r="H47" s="3">
        <v>20</v>
      </c>
      <c r="I47" s="11">
        <v>20102002</v>
      </c>
      <c r="J47" s="2" t="s">
        <v>56</v>
      </c>
      <c r="K47" s="3">
        <v>20</v>
      </c>
      <c r="L47" s="13">
        <v>20102003</v>
      </c>
      <c r="M47" s="2" t="s">
        <v>56</v>
      </c>
      <c r="N47" s="3">
        <v>20</v>
      </c>
      <c r="O47" s="9">
        <v>20102004</v>
      </c>
      <c r="P47" s="2" t="s">
        <v>56</v>
      </c>
      <c r="Q47" s="3">
        <v>20</v>
      </c>
    </row>
    <row r="48" spans="3:17" x14ac:dyDescent="0.15">
      <c r="C48" s="15">
        <v>20102500</v>
      </c>
      <c r="D48" s="2" t="s">
        <v>57</v>
      </c>
      <c r="E48" s="3">
        <v>25</v>
      </c>
      <c r="F48" s="12">
        <v>20102501</v>
      </c>
      <c r="G48" s="2" t="s">
        <v>57</v>
      </c>
      <c r="H48" s="3">
        <v>25</v>
      </c>
      <c r="I48" s="11">
        <v>20102502</v>
      </c>
      <c r="J48" s="2" t="s">
        <v>57</v>
      </c>
      <c r="K48" s="3">
        <v>25</v>
      </c>
      <c r="L48" s="13">
        <v>20102503</v>
      </c>
      <c r="M48" s="2" t="s">
        <v>57</v>
      </c>
      <c r="N48" s="3">
        <v>25</v>
      </c>
      <c r="O48" s="9">
        <v>20102504</v>
      </c>
      <c r="P48" s="2" t="s">
        <v>57</v>
      </c>
      <c r="Q48" s="3">
        <v>25</v>
      </c>
    </row>
    <row r="49" spans="3:17" x14ac:dyDescent="0.15">
      <c r="C49" s="15">
        <v>20103000</v>
      </c>
      <c r="D49" s="2" t="s">
        <v>58</v>
      </c>
      <c r="E49" s="3">
        <v>30</v>
      </c>
      <c r="F49" s="12">
        <v>20103001</v>
      </c>
      <c r="G49" s="2" t="s">
        <v>58</v>
      </c>
      <c r="H49" s="3">
        <v>30</v>
      </c>
      <c r="I49" s="11">
        <v>20103002</v>
      </c>
      <c r="J49" s="2" t="s">
        <v>58</v>
      </c>
      <c r="K49" s="3">
        <v>30</v>
      </c>
      <c r="L49" s="13">
        <v>20103003</v>
      </c>
      <c r="M49" s="2" t="s">
        <v>58</v>
      </c>
      <c r="N49" s="3">
        <v>30</v>
      </c>
      <c r="O49" s="9">
        <v>20103004</v>
      </c>
      <c r="P49" s="2" t="s">
        <v>58</v>
      </c>
      <c r="Q49" s="3">
        <v>30</v>
      </c>
    </row>
    <row r="50" spans="3:17" x14ac:dyDescent="0.15">
      <c r="C50" s="15">
        <v>20103500</v>
      </c>
      <c r="D50" s="2" t="s">
        <v>59</v>
      </c>
      <c r="E50" s="3">
        <v>35</v>
      </c>
      <c r="F50" s="12">
        <v>20103501</v>
      </c>
      <c r="G50" s="2" t="s">
        <v>59</v>
      </c>
      <c r="H50" s="3">
        <v>35</v>
      </c>
      <c r="I50" s="11">
        <v>20103502</v>
      </c>
      <c r="J50" s="2" t="s">
        <v>59</v>
      </c>
      <c r="K50" s="3">
        <v>35</v>
      </c>
      <c r="L50" s="13">
        <v>20103503</v>
      </c>
      <c r="M50" s="2" t="s">
        <v>59</v>
      </c>
      <c r="N50" s="3">
        <v>35</v>
      </c>
      <c r="O50" s="9">
        <v>20103504</v>
      </c>
      <c r="P50" s="2" t="s">
        <v>59</v>
      </c>
      <c r="Q50" s="3">
        <v>35</v>
      </c>
    </row>
    <row r="51" spans="3:17" x14ac:dyDescent="0.15">
      <c r="C51" s="15">
        <v>20104000</v>
      </c>
      <c r="D51" s="2" t="s">
        <v>60</v>
      </c>
      <c r="E51" s="3">
        <v>40</v>
      </c>
      <c r="F51" s="12">
        <v>20104001</v>
      </c>
      <c r="G51" s="2" t="s">
        <v>60</v>
      </c>
      <c r="H51" s="3">
        <v>40</v>
      </c>
      <c r="I51" s="11">
        <v>20104002</v>
      </c>
      <c r="J51" s="2" t="s">
        <v>60</v>
      </c>
      <c r="K51" s="3">
        <v>40</v>
      </c>
      <c r="L51" s="13">
        <v>20104003</v>
      </c>
      <c r="M51" s="2" t="s">
        <v>60</v>
      </c>
      <c r="N51" s="3">
        <v>40</v>
      </c>
      <c r="O51" s="9">
        <v>20104004</v>
      </c>
      <c r="P51" s="2" t="s">
        <v>60</v>
      </c>
      <c r="Q51" s="3">
        <v>40</v>
      </c>
    </row>
    <row r="52" spans="3:17" x14ac:dyDescent="0.15">
      <c r="C52" s="15">
        <v>20104500</v>
      </c>
      <c r="D52" s="2" t="s">
        <v>61</v>
      </c>
      <c r="E52" s="3">
        <v>45</v>
      </c>
      <c r="F52" s="12">
        <v>20104501</v>
      </c>
      <c r="G52" s="2" t="s">
        <v>61</v>
      </c>
      <c r="H52" s="3">
        <v>45</v>
      </c>
      <c r="I52" s="11">
        <v>20104502</v>
      </c>
      <c r="J52" s="2" t="s">
        <v>61</v>
      </c>
      <c r="K52" s="3">
        <v>45</v>
      </c>
      <c r="L52" s="13">
        <v>20104503</v>
      </c>
      <c r="M52" s="2" t="s">
        <v>61</v>
      </c>
      <c r="N52" s="3">
        <v>45</v>
      </c>
      <c r="O52" s="9">
        <v>20104504</v>
      </c>
      <c r="P52" s="2" t="s">
        <v>61</v>
      </c>
      <c r="Q52" s="3">
        <v>45</v>
      </c>
    </row>
    <row r="53" spans="3:17" x14ac:dyDescent="0.15">
      <c r="C53" s="15">
        <v>20105000</v>
      </c>
      <c r="D53" s="2" t="s">
        <v>62</v>
      </c>
      <c r="E53" s="3">
        <v>50</v>
      </c>
      <c r="F53" s="12">
        <v>20105001</v>
      </c>
      <c r="G53" s="2" t="s">
        <v>62</v>
      </c>
      <c r="H53" s="3">
        <v>50</v>
      </c>
      <c r="I53" s="11">
        <v>20105002</v>
      </c>
      <c r="J53" s="2" t="s">
        <v>62</v>
      </c>
      <c r="K53" s="3">
        <v>50</v>
      </c>
      <c r="L53" s="13">
        <v>20105003</v>
      </c>
      <c r="M53" s="2" t="s">
        <v>62</v>
      </c>
      <c r="N53" s="3">
        <v>50</v>
      </c>
      <c r="O53" s="9">
        <v>20105004</v>
      </c>
      <c r="P53" s="2" t="s">
        <v>62</v>
      </c>
      <c r="Q53" s="3">
        <v>50</v>
      </c>
    </row>
    <row r="54" spans="3:17" x14ac:dyDescent="0.15">
      <c r="C54" s="15">
        <v>20200100</v>
      </c>
      <c r="D54" s="2" t="s">
        <v>63</v>
      </c>
      <c r="E54" s="3">
        <v>1</v>
      </c>
      <c r="F54" s="12">
        <v>20200101</v>
      </c>
      <c r="G54" s="2" t="s">
        <v>63</v>
      </c>
      <c r="H54" s="3">
        <v>1</v>
      </c>
      <c r="I54" s="11">
        <v>20200102</v>
      </c>
      <c r="J54" s="2" t="s">
        <v>63</v>
      </c>
      <c r="K54" s="3">
        <v>1</v>
      </c>
      <c r="L54" s="13">
        <v>20200103</v>
      </c>
      <c r="M54" s="2" t="s">
        <v>63</v>
      </c>
      <c r="N54" s="3">
        <v>1</v>
      </c>
      <c r="O54" s="9">
        <v>20200104</v>
      </c>
      <c r="P54" s="2" t="s">
        <v>63</v>
      </c>
      <c r="Q54" s="3">
        <v>1</v>
      </c>
    </row>
    <row r="55" spans="3:17" x14ac:dyDescent="0.15">
      <c r="C55" s="15">
        <v>20200500</v>
      </c>
      <c r="D55" s="2" t="s">
        <v>64</v>
      </c>
      <c r="E55" s="3">
        <v>5</v>
      </c>
      <c r="F55" s="12">
        <v>20200501</v>
      </c>
      <c r="G55" s="2" t="s">
        <v>64</v>
      </c>
      <c r="H55" s="3">
        <v>5</v>
      </c>
      <c r="I55" s="11">
        <v>20200502</v>
      </c>
      <c r="J55" s="2" t="s">
        <v>64</v>
      </c>
      <c r="K55" s="3">
        <v>5</v>
      </c>
      <c r="L55" s="13">
        <v>20200503</v>
      </c>
      <c r="M55" s="2" t="s">
        <v>64</v>
      </c>
      <c r="N55" s="3">
        <v>5</v>
      </c>
      <c r="O55" s="9">
        <v>20200504</v>
      </c>
      <c r="P55" s="2" t="s">
        <v>64</v>
      </c>
      <c r="Q55" s="3">
        <v>5</v>
      </c>
    </row>
    <row r="56" spans="3:17" x14ac:dyDescent="0.15">
      <c r="C56" s="15">
        <v>20201000</v>
      </c>
      <c r="D56" s="2" t="s">
        <v>65</v>
      </c>
      <c r="E56" s="3">
        <v>10</v>
      </c>
      <c r="F56" s="12">
        <v>20201001</v>
      </c>
      <c r="G56" s="2" t="s">
        <v>65</v>
      </c>
      <c r="H56" s="3">
        <v>10</v>
      </c>
      <c r="I56" s="11">
        <v>20201002</v>
      </c>
      <c r="J56" s="2" t="s">
        <v>65</v>
      </c>
      <c r="K56" s="3">
        <v>10</v>
      </c>
      <c r="L56" s="13">
        <v>20201003</v>
      </c>
      <c r="M56" s="2" t="s">
        <v>65</v>
      </c>
      <c r="N56" s="3">
        <v>10</v>
      </c>
      <c r="O56" s="9">
        <v>20201004</v>
      </c>
      <c r="P56" s="2" t="s">
        <v>65</v>
      </c>
      <c r="Q56" s="3">
        <v>10</v>
      </c>
    </row>
    <row r="57" spans="3:17" x14ac:dyDescent="0.15">
      <c r="C57" s="15">
        <v>20201500</v>
      </c>
      <c r="D57" s="2" t="s">
        <v>66</v>
      </c>
      <c r="E57" s="3">
        <v>15</v>
      </c>
      <c r="F57" s="12">
        <v>20201501</v>
      </c>
      <c r="G57" s="2" t="s">
        <v>66</v>
      </c>
      <c r="H57" s="3">
        <v>15</v>
      </c>
      <c r="I57" s="11">
        <v>20201502</v>
      </c>
      <c r="J57" s="2" t="s">
        <v>66</v>
      </c>
      <c r="K57" s="3">
        <v>15</v>
      </c>
      <c r="L57" s="13">
        <v>20201503</v>
      </c>
      <c r="M57" s="2" t="s">
        <v>66</v>
      </c>
      <c r="N57" s="3">
        <v>15</v>
      </c>
      <c r="O57" s="9">
        <v>20201504</v>
      </c>
      <c r="P57" s="2" t="s">
        <v>66</v>
      </c>
      <c r="Q57" s="3">
        <v>15</v>
      </c>
    </row>
    <row r="58" spans="3:17" x14ac:dyDescent="0.15">
      <c r="C58" s="15">
        <v>20202000</v>
      </c>
      <c r="D58" s="2" t="s">
        <v>67</v>
      </c>
      <c r="E58" s="3">
        <v>20</v>
      </c>
      <c r="F58" s="12">
        <v>20202001</v>
      </c>
      <c r="G58" s="2" t="s">
        <v>67</v>
      </c>
      <c r="H58" s="3">
        <v>20</v>
      </c>
      <c r="I58" s="11">
        <v>20202002</v>
      </c>
      <c r="J58" s="2" t="s">
        <v>67</v>
      </c>
      <c r="K58" s="3">
        <v>20</v>
      </c>
      <c r="L58" s="13">
        <v>20202003</v>
      </c>
      <c r="M58" s="2" t="s">
        <v>67</v>
      </c>
      <c r="N58" s="3">
        <v>20</v>
      </c>
      <c r="O58" s="9">
        <v>20202004</v>
      </c>
      <c r="P58" s="2" t="s">
        <v>67</v>
      </c>
      <c r="Q58" s="3">
        <v>20</v>
      </c>
    </row>
    <row r="59" spans="3:17" x14ac:dyDescent="0.15">
      <c r="C59" s="15">
        <v>20202500</v>
      </c>
      <c r="D59" s="2" t="s">
        <v>68</v>
      </c>
      <c r="E59" s="3">
        <v>25</v>
      </c>
      <c r="F59" s="12">
        <v>20202501</v>
      </c>
      <c r="G59" s="2" t="s">
        <v>68</v>
      </c>
      <c r="H59" s="3">
        <v>25</v>
      </c>
      <c r="I59" s="11">
        <v>20202502</v>
      </c>
      <c r="J59" s="2" t="s">
        <v>68</v>
      </c>
      <c r="K59" s="3">
        <v>25</v>
      </c>
      <c r="L59" s="13">
        <v>20202503</v>
      </c>
      <c r="M59" s="2" t="s">
        <v>68</v>
      </c>
      <c r="N59" s="3">
        <v>25</v>
      </c>
      <c r="O59" s="9">
        <v>20202504</v>
      </c>
      <c r="P59" s="2" t="s">
        <v>68</v>
      </c>
      <c r="Q59" s="3">
        <v>25</v>
      </c>
    </row>
    <row r="60" spans="3:17" x14ac:dyDescent="0.15">
      <c r="C60" s="15">
        <v>20203000</v>
      </c>
      <c r="D60" s="2" t="s">
        <v>69</v>
      </c>
      <c r="E60" s="3">
        <v>30</v>
      </c>
      <c r="F60" s="12">
        <v>20203001</v>
      </c>
      <c r="G60" s="2" t="s">
        <v>69</v>
      </c>
      <c r="H60" s="3">
        <v>30</v>
      </c>
      <c r="I60" s="11">
        <v>20203002</v>
      </c>
      <c r="J60" s="2" t="s">
        <v>69</v>
      </c>
      <c r="K60" s="3">
        <v>30</v>
      </c>
      <c r="L60" s="13">
        <v>20203003</v>
      </c>
      <c r="M60" s="2" t="s">
        <v>69</v>
      </c>
      <c r="N60" s="3">
        <v>30</v>
      </c>
      <c r="O60" s="9">
        <v>20203004</v>
      </c>
      <c r="P60" s="2" t="s">
        <v>69</v>
      </c>
      <c r="Q60" s="3">
        <v>30</v>
      </c>
    </row>
    <row r="61" spans="3:17" x14ac:dyDescent="0.15">
      <c r="C61" s="15">
        <v>20203500</v>
      </c>
      <c r="D61" s="2" t="s">
        <v>70</v>
      </c>
      <c r="E61" s="3">
        <v>35</v>
      </c>
      <c r="F61" s="12">
        <v>20203501</v>
      </c>
      <c r="G61" s="2" t="s">
        <v>70</v>
      </c>
      <c r="H61" s="3">
        <v>35</v>
      </c>
      <c r="I61" s="11">
        <v>20203502</v>
      </c>
      <c r="J61" s="2" t="s">
        <v>70</v>
      </c>
      <c r="K61" s="3">
        <v>35</v>
      </c>
      <c r="L61" s="13">
        <v>20203503</v>
      </c>
      <c r="M61" s="2" t="s">
        <v>70</v>
      </c>
      <c r="N61" s="3">
        <v>35</v>
      </c>
      <c r="O61" s="9">
        <v>20203504</v>
      </c>
      <c r="P61" s="2" t="s">
        <v>70</v>
      </c>
      <c r="Q61" s="3">
        <v>35</v>
      </c>
    </row>
    <row r="62" spans="3:17" x14ac:dyDescent="0.15">
      <c r="C62" s="15">
        <v>20204000</v>
      </c>
      <c r="D62" s="2" t="s">
        <v>71</v>
      </c>
      <c r="E62" s="3">
        <v>40</v>
      </c>
      <c r="F62" s="12">
        <v>20204001</v>
      </c>
      <c r="G62" s="2" t="s">
        <v>71</v>
      </c>
      <c r="H62" s="3">
        <v>40</v>
      </c>
      <c r="I62" s="11">
        <v>20204002</v>
      </c>
      <c r="J62" s="2" t="s">
        <v>71</v>
      </c>
      <c r="K62" s="3">
        <v>40</v>
      </c>
      <c r="L62" s="13">
        <v>20204003</v>
      </c>
      <c r="M62" s="2" t="s">
        <v>71</v>
      </c>
      <c r="N62" s="3">
        <v>40</v>
      </c>
      <c r="O62" s="9">
        <v>20204004</v>
      </c>
      <c r="P62" s="2" t="s">
        <v>71</v>
      </c>
      <c r="Q62" s="3">
        <v>40</v>
      </c>
    </row>
    <row r="63" spans="3:17" x14ac:dyDescent="0.15">
      <c r="C63" s="15">
        <v>20204500</v>
      </c>
      <c r="D63" s="2" t="s">
        <v>72</v>
      </c>
      <c r="E63" s="3">
        <v>45</v>
      </c>
      <c r="F63" s="12">
        <v>20204501</v>
      </c>
      <c r="G63" s="2" t="s">
        <v>72</v>
      </c>
      <c r="H63" s="3">
        <v>45</v>
      </c>
      <c r="I63" s="11">
        <v>20204502</v>
      </c>
      <c r="J63" s="2" t="s">
        <v>72</v>
      </c>
      <c r="K63" s="3">
        <v>45</v>
      </c>
      <c r="L63" s="13">
        <v>20204503</v>
      </c>
      <c r="M63" s="2" t="s">
        <v>72</v>
      </c>
      <c r="N63" s="3">
        <v>45</v>
      </c>
      <c r="O63" s="9">
        <v>20204504</v>
      </c>
      <c r="P63" s="2" t="s">
        <v>72</v>
      </c>
      <c r="Q63" s="3">
        <v>45</v>
      </c>
    </row>
    <row r="64" spans="3:17" x14ac:dyDescent="0.15">
      <c r="C64" s="15">
        <v>20205000</v>
      </c>
      <c r="D64" s="2" t="s">
        <v>73</v>
      </c>
      <c r="E64" s="3">
        <v>50</v>
      </c>
      <c r="F64" s="12">
        <v>20205001</v>
      </c>
      <c r="G64" s="2" t="s">
        <v>73</v>
      </c>
      <c r="H64" s="3">
        <v>50</v>
      </c>
      <c r="I64" s="11">
        <v>20205002</v>
      </c>
      <c r="J64" s="2" t="s">
        <v>73</v>
      </c>
      <c r="K64" s="3">
        <v>50</v>
      </c>
      <c r="L64" s="13">
        <v>20205003</v>
      </c>
      <c r="M64" s="2" t="s">
        <v>73</v>
      </c>
      <c r="N64" s="3">
        <v>50</v>
      </c>
      <c r="O64" s="9">
        <v>20205004</v>
      </c>
      <c r="P64" s="2" t="s">
        <v>73</v>
      </c>
      <c r="Q64" s="3">
        <v>50</v>
      </c>
    </row>
    <row r="65" spans="3:17" x14ac:dyDescent="0.15">
      <c r="C65" s="15">
        <v>20300100</v>
      </c>
      <c r="D65" s="2" t="s">
        <v>74</v>
      </c>
      <c r="E65" s="3">
        <v>1</v>
      </c>
      <c r="F65" s="12">
        <v>20300101</v>
      </c>
      <c r="G65" s="2" t="s">
        <v>74</v>
      </c>
      <c r="H65" s="3">
        <v>1</v>
      </c>
      <c r="I65" s="11">
        <v>20300102</v>
      </c>
      <c r="J65" s="2" t="s">
        <v>74</v>
      </c>
      <c r="K65" s="3">
        <v>1</v>
      </c>
      <c r="L65" s="13">
        <v>20300103</v>
      </c>
      <c r="M65" s="2" t="s">
        <v>74</v>
      </c>
      <c r="N65" s="3">
        <v>1</v>
      </c>
      <c r="O65" s="9">
        <v>20300104</v>
      </c>
      <c r="P65" s="2" t="s">
        <v>74</v>
      </c>
      <c r="Q65" s="3">
        <v>1</v>
      </c>
    </row>
    <row r="66" spans="3:17" x14ac:dyDescent="0.15">
      <c r="C66" s="15">
        <v>20300500</v>
      </c>
      <c r="D66" s="2" t="s">
        <v>75</v>
      </c>
      <c r="E66" s="3">
        <v>5</v>
      </c>
      <c r="F66" s="12">
        <v>20300501</v>
      </c>
      <c r="G66" s="2" t="s">
        <v>75</v>
      </c>
      <c r="H66" s="3">
        <v>5</v>
      </c>
      <c r="I66" s="11">
        <v>20300502</v>
      </c>
      <c r="J66" s="2" t="s">
        <v>75</v>
      </c>
      <c r="K66" s="3">
        <v>5</v>
      </c>
      <c r="L66" s="13">
        <v>20300503</v>
      </c>
      <c r="M66" s="2" t="s">
        <v>75</v>
      </c>
      <c r="N66" s="3">
        <v>5</v>
      </c>
      <c r="O66" s="9">
        <v>20300504</v>
      </c>
      <c r="P66" s="2" t="s">
        <v>75</v>
      </c>
      <c r="Q66" s="3">
        <v>5</v>
      </c>
    </row>
    <row r="67" spans="3:17" x14ac:dyDescent="0.15">
      <c r="C67" s="15">
        <v>20301000</v>
      </c>
      <c r="D67" s="2" t="s">
        <v>76</v>
      </c>
      <c r="E67" s="3">
        <v>10</v>
      </c>
      <c r="F67" s="12">
        <v>20301001</v>
      </c>
      <c r="G67" s="2" t="s">
        <v>76</v>
      </c>
      <c r="H67" s="3">
        <v>10</v>
      </c>
      <c r="I67" s="11">
        <v>20301002</v>
      </c>
      <c r="J67" s="2" t="s">
        <v>76</v>
      </c>
      <c r="K67" s="3">
        <v>10</v>
      </c>
      <c r="L67" s="13">
        <v>20301003</v>
      </c>
      <c r="M67" s="2" t="s">
        <v>76</v>
      </c>
      <c r="N67" s="3">
        <v>10</v>
      </c>
      <c r="O67" s="9">
        <v>20301004</v>
      </c>
      <c r="P67" s="2" t="s">
        <v>76</v>
      </c>
      <c r="Q67" s="3">
        <v>10</v>
      </c>
    </row>
    <row r="68" spans="3:17" x14ac:dyDescent="0.15">
      <c r="C68" s="15">
        <v>20301500</v>
      </c>
      <c r="D68" s="2" t="s">
        <v>77</v>
      </c>
      <c r="E68" s="3">
        <v>15</v>
      </c>
      <c r="F68" s="12">
        <v>20301501</v>
      </c>
      <c r="G68" s="2" t="s">
        <v>77</v>
      </c>
      <c r="H68" s="3">
        <v>15</v>
      </c>
      <c r="I68" s="11">
        <v>20301502</v>
      </c>
      <c r="J68" s="2" t="s">
        <v>77</v>
      </c>
      <c r="K68" s="3">
        <v>15</v>
      </c>
      <c r="L68" s="13">
        <v>20301503</v>
      </c>
      <c r="M68" s="2" t="s">
        <v>77</v>
      </c>
      <c r="N68" s="3">
        <v>15</v>
      </c>
      <c r="O68" s="9">
        <v>20301504</v>
      </c>
      <c r="P68" s="2" t="s">
        <v>77</v>
      </c>
      <c r="Q68" s="3">
        <v>15</v>
      </c>
    </row>
    <row r="69" spans="3:17" x14ac:dyDescent="0.15">
      <c r="C69" s="15">
        <v>20302000</v>
      </c>
      <c r="D69" s="2" t="s">
        <v>78</v>
      </c>
      <c r="E69" s="3">
        <v>20</v>
      </c>
      <c r="F69" s="12">
        <v>20302001</v>
      </c>
      <c r="G69" s="2" t="s">
        <v>78</v>
      </c>
      <c r="H69" s="3">
        <v>20</v>
      </c>
      <c r="I69" s="11">
        <v>20302002</v>
      </c>
      <c r="J69" s="2" t="s">
        <v>78</v>
      </c>
      <c r="K69" s="3">
        <v>20</v>
      </c>
      <c r="L69" s="13">
        <v>20302003</v>
      </c>
      <c r="M69" s="2" t="s">
        <v>78</v>
      </c>
      <c r="N69" s="3">
        <v>20</v>
      </c>
      <c r="O69" s="9">
        <v>20302004</v>
      </c>
      <c r="P69" s="2" t="s">
        <v>78</v>
      </c>
      <c r="Q69" s="3">
        <v>20</v>
      </c>
    </row>
    <row r="70" spans="3:17" x14ac:dyDescent="0.15">
      <c r="C70" s="15">
        <v>20302500</v>
      </c>
      <c r="D70" s="2" t="s">
        <v>79</v>
      </c>
      <c r="E70" s="3">
        <v>25</v>
      </c>
      <c r="F70" s="12">
        <v>20302501</v>
      </c>
      <c r="G70" s="2" t="s">
        <v>79</v>
      </c>
      <c r="H70" s="3">
        <v>25</v>
      </c>
      <c r="I70" s="11">
        <v>20302502</v>
      </c>
      <c r="J70" s="2" t="s">
        <v>79</v>
      </c>
      <c r="K70" s="3">
        <v>25</v>
      </c>
      <c r="L70" s="13">
        <v>20302503</v>
      </c>
      <c r="M70" s="2" t="s">
        <v>79</v>
      </c>
      <c r="N70" s="3">
        <v>25</v>
      </c>
      <c r="O70" s="9">
        <v>20302504</v>
      </c>
      <c r="P70" s="2" t="s">
        <v>79</v>
      </c>
      <c r="Q70" s="3">
        <v>25</v>
      </c>
    </row>
    <row r="71" spans="3:17" x14ac:dyDescent="0.15">
      <c r="C71" s="15">
        <v>20303000</v>
      </c>
      <c r="D71" s="2" t="s">
        <v>80</v>
      </c>
      <c r="E71" s="3">
        <v>30</v>
      </c>
      <c r="F71" s="12">
        <v>20303001</v>
      </c>
      <c r="G71" s="2" t="s">
        <v>80</v>
      </c>
      <c r="H71" s="3">
        <v>30</v>
      </c>
      <c r="I71" s="11">
        <v>20303002</v>
      </c>
      <c r="J71" s="2" t="s">
        <v>80</v>
      </c>
      <c r="K71" s="3">
        <v>30</v>
      </c>
      <c r="L71" s="13">
        <v>20303003</v>
      </c>
      <c r="M71" s="2" t="s">
        <v>80</v>
      </c>
      <c r="N71" s="3">
        <v>30</v>
      </c>
      <c r="O71" s="9">
        <v>20303004</v>
      </c>
      <c r="P71" s="2" t="s">
        <v>80</v>
      </c>
      <c r="Q71" s="3">
        <v>30</v>
      </c>
    </row>
    <row r="72" spans="3:17" x14ac:dyDescent="0.15">
      <c r="C72" s="15">
        <v>20303500</v>
      </c>
      <c r="D72" s="2" t="s">
        <v>81</v>
      </c>
      <c r="E72" s="3">
        <v>35</v>
      </c>
      <c r="F72" s="12">
        <v>20303501</v>
      </c>
      <c r="G72" s="2" t="s">
        <v>81</v>
      </c>
      <c r="H72" s="3">
        <v>35</v>
      </c>
      <c r="I72" s="11">
        <v>20303502</v>
      </c>
      <c r="J72" s="2" t="s">
        <v>81</v>
      </c>
      <c r="K72" s="3">
        <v>35</v>
      </c>
      <c r="L72" s="13">
        <v>20303503</v>
      </c>
      <c r="M72" s="2" t="s">
        <v>81</v>
      </c>
      <c r="N72" s="3">
        <v>35</v>
      </c>
      <c r="O72" s="9">
        <v>20303504</v>
      </c>
      <c r="P72" s="2" t="s">
        <v>81</v>
      </c>
      <c r="Q72" s="3">
        <v>35</v>
      </c>
    </row>
    <row r="73" spans="3:17" x14ac:dyDescent="0.15">
      <c r="C73" s="15">
        <v>20304000</v>
      </c>
      <c r="D73" s="2" t="s">
        <v>82</v>
      </c>
      <c r="E73" s="3">
        <v>40</v>
      </c>
      <c r="F73" s="12">
        <v>20304001</v>
      </c>
      <c r="G73" s="2" t="s">
        <v>82</v>
      </c>
      <c r="H73" s="3">
        <v>40</v>
      </c>
      <c r="I73" s="11">
        <v>20304002</v>
      </c>
      <c r="J73" s="2" t="s">
        <v>82</v>
      </c>
      <c r="K73" s="3">
        <v>40</v>
      </c>
      <c r="L73" s="13">
        <v>20304003</v>
      </c>
      <c r="M73" s="2" t="s">
        <v>82</v>
      </c>
      <c r="N73" s="3">
        <v>40</v>
      </c>
      <c r="O73" s="9">
        <v>20304004</v>
      </c>
      <c r="P73" s="2" t="s">
        <v>82</v>
      </c>
      <c r="Q73" s="3">
        <v>40</v>
      </c>
    </row>
    <row r="74" spans="3:17" x14ac:dyDescent="0.15">
      <c r="C74" s="15">
        <v>20304500</v>
      </c>
      <c r="D74" s="2" t="s">
        <v>83</v>
      </c>
      <c r="E74" s="3">
        <v>45</v>
      </c>
      <c r="F74" s="12">
        <v>20304501</v>
      </c>
      <c r="G74" s="2" t="s">
        <v>83</v>
      </c>
      <c r="H74" s="3">
        <v>45</v>
      </c>
      <c r="I74" s="11">
        <v>20304502</v>
      </c>
      <c r="J74" s="2" t="s">
        <v>83</v>
      </c>
      <c r="K74" s="3">
        <v>45</v>
      </c>
      <c r="L74" s="13">
        <v>20304503</v>
      </c>
      <c r="M74" s="2" t="s">
        <v>83</v>
      </c>
      <c r="N74" s="3">
        <v>45</v>
      </c>
      <c r="O74" s="9">
        <v>20304504</v>
      </c>
      <c r="P74" s="2" t="s">
        <v>83</v>
      </c>
      <c r="Q74" s="3">
        <v>45</v>
      </c>
    </row>
    <row r="75" spans="3:17" x14ac:dyDescent="0.15">
      <c r="C75" s="15">
        <v>20305000</v>
      </c>
      <c r="D75" s="2" t="s">
        <v>84</v>
      </c>
      <c r="E75" s="3">
        <v>50</v>
      </c>
      <c r="F75" s="12">
        <v>20305001</v>
      </c>
      <c r="G75" s="2" t="s">
        <v>84</v>
      </c>
      <c r="H75" s="3">
        <v>50</v>
      </c>
      <c r="I75" s="11">
        <v>20305002</v>
      </c>
      <c r="J75" s="2" t="s">
        <v>84</v>
      </c>
      <c r="K75" s="3">
        <v>50</v>
      </c>
      <c r="L75" s="13">
        <v>20305003</v>
      </c>
      <c r="M75" s="2" t="s">
        <v>84</v>
      </c>
      <c r="N75" s="3">
        <v>50</v>
      </c>
      <c r="O75" s="9">
        <v>20305004</v>
      </c>
      <c r="P75" s="2" t="s">
        <v>84</v>
      </c>
      <c r="Q75" s="3">
        <v>50</v>
      </c>
    </row>
    <row r="76" spans="3:17" x14ac:dyDescent="0.15">
      <c r="C76" s="15">
        <v>20400100</v>
      </c>
      <c r="D76" s="2" t="s">
        <v>85</v>
      </c>
      <c r="E76" s="3">
        <v>1</v>
      </c>
      <c r="F76" s="12">
        <v>20400101</v>
      </c>
      <c r="G76" s="2" t="s">
        <v>85</v>
      </c>
      <c r="H76" s="3">
        <v>1</v>
      </c>
      <c r="I76" s="11">
        <v>20400102</v>
      </c>
      <c r="J76" s="2" t="s">
        <v>85</v>
      </c>
      <c r="K76" s="3">
        <v>1</v>
      </c>
      <c r="L76" s="13">
        <v>20400103</v>
      </c>
      <c r="M76" s="2" t="s">
        <v>85</v>
      </c>
      <c r="N76" s="3">
        <v>1</v>
      </c>
      <c r="O76" s="9">
        <v>20400104</v>
      </c>
      <c r="P76" s="2" t="s">
        <v>85</v>
      </c>
      <c r="Q76" s="3">
        <v>1</v>
      </c>
    </row>
    <row r="77" spans="3:17" x14ac:dyDescent="0.15">
      <c r="C77" s="15">
        <v>20400500</v>
      </c>
      <c r="D77" s="2" t="s">
        <v>86</v>
      </c>
      <c r="E77" s="3">
        <v>5</v>
      </c>
      <c r="F77" s="12">
        <v>20400501</v>
      </c>
      <c r="G77" s="2" t="s">
        <v>86</v>
      </c>
      <c r="H77" s="3">
        <v>5</v>
      </c>
      <c r="I77" s="11">
        <v>20400502</v>
      </c>
      <c r="J77" s="2" t="s">
        <v>86</v>
      </c>
      <c r="K77" s="3">
        <v>5</v>
      </c>
      <c r="L77" s="13">
        <v>20400503</v>
      </c>
      <c r="M77" s="2" t="s">
        <v>86</v>
      </c>
      <c r="N77" s="3">
        <v>5</v>
      </c>
      <c r="O77" s="9">
        <v>20400504</v>
      </c>
      <c r="P77" s="2" t="s">
        <v>86</v>
      </c>
      <c r="Q77" s="3">
        <v>5</v>
      </c>
    </row>
    <row r="78" spans="3:17" x14ac:dyDescent="0.15">
      <c r="C78" s="15">
        <v>20401000</v>
      </c>
      <c r="D78" s="2" t="s">
        <v>87</v>
      </c>
      <c r="E78" s="3">
        <v>10</v>
      </c>
      <c r="F78" s="12">
        <v>20401001</v>
      </c>
      <c r="G78" s="2" t="s">
        <v>87</v>
      </c>
      <c r="H78" s="3">
        <v>10</v>
      </c>
      <c r="I78" s="11">
        <v>20401002</v>
      </c>
      <c r="J78" s="2" t="s">
        <v>87</v>
      </c>
      <c r="K78" s="3">
        <v>10</v>
      </c>
      <c r="L78" s="13">
        <v>20401003</v>
      </c>
      <c r="M78" s="2" t="s">
        <v>87</v>
      </c>
      <c r="N78" s="3">
        <v>10</v>
      </c>
      <c r="O78" s="9">
        <v>20401004</v>
      </c>
      <c r="P78" s="2" t="s">
        <v>87</v>
      </c>
      <c r="Q78" s="3">
        <v>10</v>
      </c>
    </row>
    <row r="79" spans="3:17" x14ac:dyDescent="0.15">
      <c r="C79" s="15">
        <v>20401500</v>
      </c>
      <c r="D79" s="2" t="s">
        <v>88</v>
      </c>
      <c r="E79" s="3">
        <v>15</v>
      </c>
      <c r="F79" s="12">
        <v>20401501</v>
      </c>
      <c r="G79" s="2" t="s">
        <v>88</v>
      </c>
      <c r="H79" s="3">
        <v>15</v>
      </c>
      <c r="I79" s="11">
        <v>20401502</v>
      </c>
      <c r="J79" s="2" t="s">
        <v>88</v>
      </c>
      <c r="K79" s="3">
        <v>15</v>
      </c>
      <c r="L79" s="13">
        <v>20401503</v>
      </c>
      <c r="M79" s="2" t="s">
        <v>88</v>
      </c>
      <c r="N79" s="3">
        <v>15</v>
      </c>
      <c r="O79" s="9">
        <v>20401504</v>
      </c>
      <c r="P79" s="2" t="s">
        <v>88</v>
      </c>
      <c r="Q79" s="3">
        <v>15</v>
      </c>
    </row>
    <row r="80" spans="3:17" x14ac:dyDescent="0.15">
      <c r="C80" s="15">
        <v>20402000</v>
      </c>
      <c r="D80" s="2" t="s">
        <v>89</v>
      </c>
      <c r="E80" s="3">
        <v>20</v>
      </c>
      <c r="F80" s="12">
        <v>20402001</v>
      </c>
      <c r="G80" s="2" t="s">
        <v>89</v>
      </c>
      <c r="H80" s="3">
        <v>20</v>
      </c>
      <c r="I80" s="11">
        <v>20402002</v>
      </c>
      <c r="J80" s="2" t="s">
        <v>89</v>
      </c>
      <c r="K80" s="3">
        <v>20</v>
      </c>
      <c r="L80" s="13">
        <v>20402003</v>
      </c>
      <c r="M80" s="2" t="s">
        <v>89</v>
      </c>
      <c r="N80" s="3">
        <v>20</v>
      </c>
      <c r="O80" s="9">
        <v>20402004</v>
      </c>
      <c r="P80" s="2" t="s">
        <v>89</v>
      </c>
      <c r="Q80" s="3">
        <v>20</v>
      </c>
    </row>
    <row r="81" spans="3:17" x14ac:dyDescent="0.15">
      <c r="C81" s="15">
        <v>20402500</v>
      </c>
      <c r="D81" s="2" t="s">
        <v>90</v>
      </c>
      <c r="E81" s="3">
        <v>25</v>
      </c>
      <c r="F81" s="12">
        <v>20402501</v>
      </c>
      <c r="G81" s="2" t="s">
        <v>90</v>
      </c>
      <c r="H81" s="3">
        <v>25</v>
      </c>
      <c r="I81" s="11">
        <v>20402502</v>
      </c>
      <c r="J81" s="2" t="s">
        <v>90</v>
      </c>
      <c r="K81" s="3">
        <v>25</v>
      </c>
      <c r="L81" s="13">
        <v>20402503</v>
      </c>
      <c r="M81" s="2" t="s">
        <v>90</v>
      </c>
      <c r="N81" s="3">
        <v>25</v>
      </c>
      <c r="O81" s="9">
        <v>20402504</v>
      </c>
      <c r="P81" s="2" t="s">
        <v>90</v>
      </c>
      <c r="Q81" s="3">
        <v>25</v>
      </c>
    </row>
    <row r="82" spans="3:17" x14ac:dyDescent="0.15">
      <c r="C82" s="15">
        <v>20403000</v>
      </c>
      <c r="D82" s="2" t="s">
        <v>91</v>
      </c>
      <c r="E82" s="3">
        <v>30</v>
      </c>
      <c r="F82" s="12">
        <v>20403001</v>
      </c>
      <c r="G82" s="2" t="s">
        <v>91</v>
      </c>
      <c r="H82" s="3">
        <v>30</v>
      </c>
      <c r="I82" s="11">
        <v>20403002</v>
      </c>
      <c r="J82" s="2" t="s">
        <v>91</v>
      </c>
      <c r="K82" s="3">
        <v>30</v>
      </c>
      <c r="L82" s="13">
        <v>20403003</v>
      </c>
      <c r="M82" s="2" t="s">
        <v>91</v>
      </c>
      <c r="N82" s="3">
        <v>30</v>
      </c>
      <c r="O82" s="9">
        <v>20403004</v>
      </c>
      <c r="P82" s="2" t="s">
        <v>91</v>
      </c>
      <c r="Q82" s="3">
        <v>30</v>
      </c>
    </row>
    <row r="83" spans="3:17" x14ac:dyDescent="0.15">
      <c r="C83" s="15">
        <v>20403500</v>
      </c>
      <c r="D83" s="2" t="s">
        <v>92</v>
      </c>
      <c r="E83" s="3">
        <v>35</v>
      </c>
      <c r="F83" s="12">
        <v>20403501</v>
      </c>
      <c r="G83" s="2" t="s">
        <v>92</v>
      </c>
      <c r="H83" s="3">
        <v>35</v>
      </c>
      <c r="I83" s="11">
        <v>20403502</v>
      </c>
      <c r="J83" s="2" t="s">
        <v>92</v>
      </c>
      <c r="K83" s="3">
        <v>35</v>
      </c>
      <c r="L83" s="13">
        <v>20403503</v>
      </c>
      <c r="M83" s="2" t="s">
        <v>92</v>
      </c>
      <c r="N83" s="3">
        <v>35</v>
      </c>
      <c r="O83" s="9">
        <v>20403504</v>
      </c>
      <c r="P83" s="2" t="s">
        <v>92</v>
      </c>
      <c r="Q83" s="3">
        <v>35</v>
      </c>
    </row>
    <row r="84" spans="3:17" x14ac:dyDescent="0.15">
      <c r="C84" s="15">
        <v>20404000</v>
      </c>
      <c r="D84" s="2" t="s">
        <v>93</v>
      </c>
      <c r="E84" s="3">
        <v>40</v>
      </c>
      <c r="F84" s="12">
        <v>20404001</v>
      </c>
      <c r="G84" s="2" t="s">
        <v>93</v>
      </c>
      <c r="H84" s="3">
        <v>40</v>
      </c>
      <c r="I84" s="11">
        <v>20404002</v>
      </c>
      <c r="J84" s="2" t="s">
        <v>93</v>
      </c>
      <c r="K84" s="3">
        <v>40</v>
      </c>
      <c r="L84" s="13">
        <v>20404003</v>
      </c>
      <c r="M84" s="2" t="s">
        <v>93</v>
      </c>
      <c r="N84" s="3">
        <v>40</v>
      </c>
      <c r="O84" s="9">
        <v>20404004</v>
      </c>
      <c r="P84" s="2" t="s">
        <v>93</v>
      </c>
      <c r="Q84" s="3">
        <v>40</v>
      </c>
    </row>
    <row r="85" spans="3:17" x14ac:dyDescent="0.15">
      <c r="C85" s="15">
        <v>20404500</v>
      </c>
      <c r="D85" s="2" t="s">
        <v>94</v>
      </c>
      <c r="E85" s="3">
        <v>45</v>
      </c>
      <c r="F85" s="12">
        <v>20404501</v>
      </c>
      <c r="G85" s="2" t="s">
        <v>94</v>
      </c>
      <c r="H85" s="3">
        <v>45</v>
      </c>
      <c r="I85" s="11">
        <v>20404502</v>
      </c>
      <c r="J85" s="2" t="s">
        <v>94</v>
      </c>
      <c r="K85" s="3">
        <v>45</v>
      </c>
      <c r="L85" s="13">
        <v>20404503</v>
      </c>
      <c r="M85" s="2" t="s">
        <v>94</v>
      </c>
      <c r="N85" s="3">
        <v>45</v>
      </c>
      <c r="O85" s="9">
        <v>20404504</v>
      </c>
      <c r="P85" s="2" t="s">
        <v>94</v>
      </c>
      <c r="Q85" s="3">
        <v>45</v>
      </c>
    </row>
    <row r="86" spans="3:17" x14ac:dyDescent="0.15">
      <c r="C86" s="15">
        <v>20405000</v>
      </c>
      <c r="D86" s="2" t="s">
        <v>95</v>
      </c>
      <c r="E86" s="3">
        <v>50</v>
      </c>
      <c r="F86" s="12">
        <v>20405001</v>
      </c>
      <c r="G86" s="2" t="s">
        <v>95</v>
      </c>
      <c r="H86" s="3">
        <v>50</v>
      </c>
      <c r="I86" s="11">
        <v>20405002</v>
      </c>
      <c r="J86" s="2" t="s">
        <v>95</v>
      </c>
      <c r="K86" s="3">
        <v>50</v>
      </c>
      <c r="L86" s="13">
        <v>20405003</v>
      </c>
      <c r="M86" s="2" t="s">
        <v>95</v>
      </c>
      <c r="N86" s="3">
        <v>50</v>
      </c>
      <c r="O86" s="9">
        <v>20405004</v>
      </c>
      <c r="P86" s="2" t="s">
        <v>95</v>
      </c>
      <c r="Q86" s="3">
        <v>50</v>
      </c>
    </row>
    <row r="87" spans="3:17" x14ac:dyDescent="0.15">
      <c r="C87" s="15">
        <v>20500100</v>
      </c>
      <c r="D87" s="2" t="s">
        <v>96</v>
      </c>
      <c r="E87" s="3">
        <v>1</v>
      </c>
      <c r="F87" s="12">
        <v>20500101</v>
      </c>
      <c r="G87" s="2" t="s">
        <v>96</v>
      </c>
      <c r="H87" s="3">
        <v>1</v>
      </c>
      <c r="I87" s="11">
        <v>20500102</v>
      </c>
      <c r="J87" s="2" t="s">
        <v>96</v>
      </c>
      <c r="K87" s="3">
        <v>1</v>
      </c>
      <c r="L87" s="13">
        <v>20500103</v>
      </c>
      <c r="M87" s="2" t="s">
        <v>96</v>
      </c>
      <c r="N87" s="3">
        <v>1</v>
      </c>
      <c r="O87" s="9">
        <v>20500104</v>
      </c>
      <c r="P87" s="2" t="s">
        <v>96</v>
      </c>
      <c r="Q87" s="3">
        <v>1</v>
      </c>
    </row>
    <row r="88" spans="3:17" x14ac:dyDescent="0.15">
      <c r="C88" s="15">
        <v>20500500</v>
      </c>
      <c r="D88" s="2" t="s">
        <v>97</v>
      </c>
      <c r="E88" s="3">
        <v>5</v>
      </c>
      <c r="F88" s="12">
        <v>20500501</v>
      </c>
      <c r="G88" s="2" t="s">
        <v>97</v>
      </c>
      <c r="H88" s="3">
        <v>5</v>
      </c>
      <c r="I88" s="11">
        <v>20500502</v>
      </c>
      <c r="J88" s="2" t="s">
        <v>97</v>
      </c>
      <c r="K88" s="3">
        <v>5</v>
      </c>
      <c r="L88" s="13">
        <v>20500503</v>
      </c>
      <c r="M88" s="2" t="s">
        <v>97</v>
      </c>
      <c r="N88" s="3">
        <v>5</v>
      </c>
      <c r="O88" s="9">
        <v>20500504</v>
      </c>
      <c r="P88" s="2" t="s">
        <v>97</v>
      </c>
      <c r="Q88" s="3">
        <v>5</v>
      </c>
    </row>
    <row r="89" spans="3:17" x14ac:dyDescent="0.15">
      <c r="C89" s="15">
        <v>20501000</v>
      </c>
      <c r="D89" s="2" t="s">
        <v>98</v>
      </c>
      <c r="E89" s="3">
        <v>10</v>
      </c>
      <c r="F89" s="12">
        <v>20501001</v>
      </c>
      <c r="G89" s="2" t="s">
        <v>98</v>
      </c>
      <c r="H89" s="3">
        <v>10</v>
      </c>
      <c r="I89" s="11">
        <v>20501002</v>
      </c>
      <c r="J89" s="2" t="s">
        <v>98</v>
      </c>
      <c r="K89" s="3">
        <v>10</v>
      </c>
      <c r="L89" s="13">
        <v>20501003</v>
      </c>
      <c r="M89" s="2" t="s">
        <v>98</v>
      </c>
      <c r="N89" s="3">
        <v>10</v>
      </c>
      <c r="O89" s="9">
        <v>20501004</v>
      </c>
      <c r="P89" s="2" t="s">
        <v>98</v>
      </c>
      <c r="Q89" s="3">
        <v>10</v>
      </c>
    </row>
    <row r="90" spans="3:17" x14ac:dyDescent="0.15">
      <c r="C90" s="15">
        <v>20501500</v>
      </c>
      <c r="D90" s="2" t="s">
        <v>99</v>
      </c>
      <c r="E90" s="3">
        <v>15</v>
      </c>
      <c r="F90" s="12">
        <v>20501501</v>
      </c>
      <c r="G90" s="2" t="s">
        <v>99</v>
      </c>
      <c r="H90" s="3">
        <v>15</v>
      </c>
      <c r="I90" s="11">
        <v>20501502</v>
      </c>
      <c r="J90" s="2" t="s">
        <v>99</v>
      </c>
      <c r="K90" s="3">
        <v>15</v>
      </c>
      <c r="L90" s="13">
        <v>20501503</v>
      </c>
      <c r="M90" s="2" t="s">
        <v>99</v>
      </c>
      <c r="N90" s="3">
        <v>15</v>
      </c>
      <c r="O90" s="9">
        <v>20501504</v>
      </c>
      <c r="P90" s="2" t="s">
        <v>99</v>
      </c>
      <c r="Q90" s="3">
        <v>15</v>
      </c>
    </row>
    <row r="91" spans="3:17" x14ac:dyDescent="0.15">
      <c r="C91" s="15">
        <v>20502000</v>
      </c>
      <c r="D91" s="2" t="s">
        <v>100</v>
      </c>
      <c r="E91" s="3">
        <v>20</v>
      </c>
      <c r="F91" s="12">
        <v>20502001</v>
      </c>
      <c r="G91" s="2" t="s">
        <v>100</v>
      </c>
      <c r="H91" s="3">
        <v>20</v>
      </c>
      <c r="I91" s="11">
        <v>20502002</v>
      </c>
      <c r="J91" s="2" t="s">
        <v>100</v>
      </c>
      <c r="K91" s="3">
        <v>20</v>
      </c>
      <c r="L91" s="13">
        <v>20502003</v>
      </c>
      <c r="M91" s="2" t="s">
        <v>100</v>
      </c>
      <c r="N91" s="3">
        <v>20</v>
      </c>
      <c r="O91" s="9">
        <v>20502004</v>
      </c>
      <c r="P91" s="2" t="s">
        <v>100</v>
      </c>
      <c r="Q91" s="3">
        <v>20</v>
      </c>
    </row>
    <row r="92" spans="3:17" x14ac:dyDescent="0.15">
      <c r="C92" s="15">
        <v>20502500</v>
      </c>
      <c r="D92" s="2" t="s">
        <v>101</v>
      </c>
      <c r="E92" s="3">
        <v>25</v>
      </c>
      <c r="F92" s="12">
        <v>20502501</v>
      </c>
      <c r="G92" s="2" t="s">
        <v>101</v>
      </c>
      <c r="H92" s="3">
        <v>25</v>
      </c>
      <c r="I92" s="11">
        <v>20502502</v>
      </c>
      <c r="J92" s="2" t="s">
        <v>101</v>
      </c>
      <c r="K92" s="3">
        <v>25</v>
      </c>
      <c r="L92" s="13">
        <v>20502503</v>
      </c>
      <c r="M92" s="2" t="s">
        <v>101</v>
      </c>
      <c r="N92" s="3">
        <v>25</v>
      </c>
      <c r="O92" s="9">
        <v>20502504</v>
      </c>
      <c r="P92" s="2" t="s">
        <v>101</v>
      </c>
      <c r="Q92" s="3">
        <v>25</v>
      </c>
    </row>
    <row r="93" spans="3:17" x14ac:dyDescent="0.15">
      <c r="C93" s="15">
        <v>20503000</v>
      </c>
      <c r="D93" s="2" t="s">
        <v>102</v>
      </c>
      <c r="E93" s="3">
        <v>30</v>
      </c>
      <c r="F93" s="12">
        <v>20503001</v>
      </c>
      <c r="G93" s="2" t="s">
        <v>102</v>
      </c>
      <c r="H93" s="3">
        <v>30</v>
      </c>
      <c r="I93" s="11">
        <v>20503002</v>
      </c>
      <c r="J93" s="2" t="s">
        <v>102</v>
      </c>
      <c r="K93" s="3">
        <v>30</v>
      </c>
      <c r="L93" s="13">
        <v>20503003</v>
      </c>
      <c r="M93" s="2" t="s">
        <v>102</v>
      </c>
      <c r="N93" s="3">
        <v>30</v>
      </c>
      <c r="O93" s="9">
        <v>20503004</v>
      </c>
      <c r="P93" s="2" t="s">
        <v>102</v>
      </c>
      <c r="Q93" s="3">
        <v>30</v>
      </c>
    </row>
    <row r="94" spans="3:17" x14ac:dyDescent="0.15">
      <c r="C94" s="15">
        <v>20503500</v>
      </c>
      <c r="D94" s="2" t="s">
        <v>103</v>
      </c>
      <c r="E94" s="3">
        <v>35</v>
      </c>
      <c r="F94" s="12">
        <v>20503501</v>
      </c>
      <c r="G94" s="2" t="s">
        <v>103</v>
      </c>
      <c r="H94" s="3">
        <v>35</v>
      </c>
      <c r="I94" s="11">
        <v>20503502</v>
      </c>
      <c r="J94" s="2" t="s">
        <v>103</v>
      </c>
      <c r="K94" s="3">
        <v>35</v>
      </c>
      <c r="L94" s="13">
        <v>20503503</v>
      </c>
      <c r="M94" s="2" t="s">
        <v>103</v>
      </c>
      <c r="N94" s="3">
        <v>35</v>
      </c>
      <c r="O94" s="9">
        <v>20503504</v>
      </c>
      <c r="P94" s="2" t="s">
        <v>103</v>
      </c>
      <c r="Q94" s="3">
        <v>35</v>
      </c>
    </row>
    <row r="95" spans="3:17" x14ac:dyDescent="0.15">
      <c r="C95" s="15">
        <v>20504000</v>
      </c>
      <c r="D95" s="2" t="s">
        <v>104</v>
      </c>
      <c r="E95" s="3">
        <v>40</v>
      </c>
      <c r="F95" s="12">
        <v>20504001</v>
      </c>
      <c r="G95" s="2" t="s">
        <v>104</v>
      </c>
      <c r="H95" s="3">
        <v>40</v>
      </c>
      <c r="I95" s="11">
        <v>20504002</v>
      </c>
      <c r="J95" s="2" t="s">
        <v>104</v>
      </c>
      <c r="K95" s="3">
        <v>40</v>
      </c>
      <c r="L95" s="13">
        <v>20504003</v>
      </c>
      <c r="M95" s="2" t="s">
        <v>104</v>
      </c>
      <c r="N95" s="3">
        <v>40</v>
      </c>
      <c r="O95" s="9">
        <v>20504004</v>
      </c>
      <c r="P95" s="2" t="s">
        <v>104</v>
      </c>
      <c r="Q95" s="3">
        <v>40</v>
      </c>
    </row>
    <row r="96" spans="3:17" x14ac:dyDescent="0.15">
      <c r="C96" s="15">
        <v>20504500</v>
      </c>
      <c r="D96" s="2" t="s">
        <v>105</v>
      </c>
      <c r="E96" s="3">
        <v>45</v>
      </c>
      <c r="F96" s="12">
        <v>20504501</v>
      </c>
      <c r="G96" s="2" t="s">
        <v>105</v>
      </c>
      <c r="H96" s="3">
        <v>45</v>
      </c>
      <c r="I96" s="11">
        <v>20504502</v>
      </c>
      <c r="J96" s="2" t="s">
        <v>105</v>
      </c>
      <c r="K96" s="3">
        <v>45</v>
      </c>
      <c r="L96" s="13">
        <v>20504503</v>
      </c>
      <c r="M96" s="2" t="s">
        <v>105</v>
      </c>
      <c r="N96" s="3">
        <v>45</v>
      </c>
      <c r="O96" s="9">
        <v>20504504</v>
      </c>
      <c r="P96" s="2" t="s">
        <v>105</v>
      </c>
      <c r="Q96" s="3">
        <v>45</v>
      </c>
    </row>
    <row r="97" spans="3:17" x14ac:dyDescent="0.15">
      <c r="C97" s="15">
        <v>20505000</v>
      </c>
      <c r="D97" s="2" t="s">
        <v>106</v>
      </c>
      <c r="E97" s="3">
        <v>50</v>
      </c>
      <c r="F97" s="12">
        <v>20505001</v>
      </c>
      <c r="G97" s="2" t="s">
        <v>106</v>
      </c>
      <c r="H97" s="3">
        <v>50</v>
      </c>
      <c r="I97" s="11">
        <v>20505002</v>
      </c>
      <c r="J97" s="2" t="s">
        <v>106</v>
      </c>
      <c r="K97" s="3">
        <v>50</v>
      </c>
      <c r="L97" s="13">
        <v>20505003</v>
      </c>
      <c r="M97" s="2" t="s">
        <v>106</v>
      </c>
      <c r="N97" s="3">
        <v>50</v>
      </c>
      <c r="O97" s="9">
        <v>20505004</v>
      </c>
      <c r="P97" s="2" t="s">
        <v>106</v>
      </c>
      <c r="Q97" s="3">
        <v>50</v>
      </c>
    </row>
    <row r="98" spans="3:17" x14ac:dyDescent="0.15">
      <c r="C98" s="15">
        <v>20600100</v>
      </c>
      <c r="D98" s="2" t="s">
        <v>107</v>
      </c>
      <c r="E98" s="3">
        <v>1</v>
      </c>
      <c r="F98" s="12">
        <v>20600101</v>
      </c>
      <c r="G98" s="2" t="s">
        <v>107</v>
      </c>
      <c r="H98" s="3">
        <v>1</v>
      </c>
      <c r="I98" s="11">
        <v>20600102</v>
      </c>
      <c r="J98" s="2" t="s">
        <v>107</v>
      </c>
      <c r="K98" s="3">
        <v>1</v>
      </c>
      <c r="L98" s="13">
        <v>20600103</v>
      </c>
      <c r="M98" s="2" t="s">
        <v>107</v>
      </c>
      <c r="N98" s="3">
        <v>1</v>
      </c>
      <c r="O98" s="9">
        <v>20600104</v>
      </c>
      <c r="P98" s="2" t="s">
        <v>107</v>
      </c>
      <c r="Q98" s="3">
        <v>1</v>
      </c>
    </row>
    <row r="99" spans="3:17" x14ac:dyDescent="0.15">
      <c r="C99" s="15">
        <v>20600500</v>
      </c>
      <c r="D99" s="2" t="s">
        <v>108</v>
      </c>
      <c r="E99" s="3">
        <v>5</v>
      </c>
      <c r="F99" s="12">
        <v>20600501</v>
      </c>
      <c r="G99" s="2" t="s">
        <v>108</v>
      </c>
      <c r="H99" s="3">
        <v>5</v>
      </c>
      <c r="I99" s="11">
        <v>20600502</v>
      </c>
      <c r="J99" s="2" t="s">
        <v>108</v>
      </c>
      <c r="K99" s="3">
        <v>5</v>
      </c>
      <c r="L99" s="13">
        <v>20600503</v>
      </c>
      <c r="M99" s="2" t="s">
        <v>108</v>
      </c>
      <c r="N99" s="3">
        <v>5</v>
      </c>
      <c r="O99" s="9">
        <v>20600504</v>
      </c>
      <c r="P99" s="2" t="s">
        <v>108</v>
      </c>
      <c r="Q99" s="3">
        <v>5</v>
      </c>
    </row>
    <row r="100" spans="3:17" x14ac:dyDescent="0.15">
      <c r="C100" s="15">
        <v>20601000</v>
      </c>
      <c r="D100" s="2" t="s">
        <v>109</v>
      </c>
      <c r="E100" s="3">
        <v>10</v>
      </c>
      <c r="F100" s="12">
        <v>20601001</v>
      </c>
      <c r="G100" s="2" t="s">
        <v>109</v>
      </c>
      <c r="H100" s="3">
        <v>10</v>
      </c>
      <c r="I100" s="11">
        <v>20601002</v>
      </c>
      <c r="J100" s="2" t="s">
        <v>109</v>
      </c>
      <c r="K100" s="3">
        <v>10</v>
      </c>
      <c r="L100" s="13">
        <v>20601003</v>
      </c>
      <c r="M100" s="2" t="s">
        <v>109</v>
      </c>
      <c r="N100" s="3">
        <v>10</v>
      </c>
      <c r="O100" s="9">
        <v>20601004</v>
      </c>
      <c r="P100" s="2" t="s">
        <v>109</v>
      </c>
      <c r="Q100" s="3">
        <v>10</v>
      </c>
    </row>
    <row r="101" spans="3:17" x14ac:dyDescent="0.15">
      <c r="C101" s="15">
        <v>20601500</v>
      </c>
      <c r="D101" s="2" t="s">
        <v>110</v>
      </c>
      <c r="E101" s="3">
        <v>15</v>
      </c>
      <c r="F101" s="12">
        <v>20601501</v>
      </c>
      <c r="G101" s="2" t="s">
        <v>110</v>
      </c>
      <c r="H101" s="3">
        <v>15</v>
      </c>
      <c r="I101" s="11">
        <v>20601502</v>
      </c>
      <c r="J101" s="2" t="s">
        <v>110</v>
      </c>
      <c r="K101" s="3">
        <v>15</v>
      </c>
      <c r="L101" s="13">
        <v>20601503</v>
      </c>
      <c r="M101" s="2" t="s">
        <v>110</v>
      </c>
      <c r="N101" s="3">
        <v>15</v>
      </c>
      <c r="O101" s="9">
        <v>20601504</v>
      </c>
      <c r="P101" s="2" t="s">
        <v>110</v>
      </c>
      <c r="Q101" s="3">
        <v>15</v>
      </c>
    </row>
    <row r="102" spans="3:17" x14ac:dyDescent="0.15">
      <c r="C102" s="15">
        <v>20602000</v>
      </c>
      <c r="D102" s="2" t="s">
        <v>111</v>
      </c>
      <c r="E102" s="3">
        <v>20</v>
      </c>
      <c r="F102" s="12">
        <v>20602001</v>
      </c>
      <c r="G102" s="2" t="s">
        <v>111</v>
      </c>
      <c r="H102" s="3">
        <v>20</v>
      </c>
      <c r="I102" s="11">
        <v>20602002</v>
      </c>
      <c r="J102" s="2" t="s">
        <v>111</v>
      </c>
      <c r="K102" s="3">
        <v>20</v>
      </c>
      <c r="L102" s="13">
        <v>20602003</v>
      </c>
      <c r="M102" s="2" t="s">
        <v>111</v>
      </c>
      <c r="N102" s="3">
        <v>20</v>
      </c>
      <c r="O102" s="9">
        <v>20602004</v>
      </c>
      <c r="P102" s="2" t="s">
        <v>111</v>
      </c>
      <c r="Q102" s="3">
        <v>20</v>
      </c>
    </row>
    <row r="103" spans="3:17" x14ac:dyDescent="0.15">
      <c r="C103" s="15">
        <v>20602500</v>
      </c>
      <c r="D103" s="2" t="s">
        <v>112</v>
      </c>
      <c r="E103" s="3">
        <v>25</v>
      </c>
      <c r="F103" s="12">
        <v>20602501</v>
      </c>
      <c r="G103" s="2" t="s">
        <v>112</v>
      </c>
      <c r="H103" s="3">
        <v>25</v>
      </c>
      <c r="I103" s="11">
        <v>20602502</v>
      </c>
      <c r="J103" s="2" t="s">
        <v>112</v>
      </c>
      <c r="K103" s="3">
        <v>25</v>
      </c>
      <c r="L103" s="13">
        <v>20602503</v>
      </c>
      <c r="M103" s="2" t="s">
        <v>112</v>
      </c>
      <c r="N103" s="3">
        <v>25</v>
      </c>
      <c r="O103" s="9">
        <v>20602504</v>
      </c>
      <c r="P103" s="2" t="s">
        <v>112</v>
      </c>
      <c r="Q103" s="3">
        <v>25</v>
      </c>
    </row>
    <row r="104" spans="3:17" x14ac:dyDescent="0.15">
      <c r="C104" s="15">
        <v>20603000</v>
      </c>
      <c r="D104" s="2" t="s">
        <v>113</v>
      </c>
      <c r="E104" s="3">
        <v>30</v>
      </c>
      <c r="F104" s="12">
        <v>20603001</v>
      </c>
      <c r="G104" s="2" t="s">
        <v>113</v>
      </c>
      <c r="H104" s="3">
        <v>30</v>
      </c>
      <c r="I104" s="11">
        <v>20603002</v>
      </c>
      <c r="J104" s="2" t="s">
        <v>113</v>
      </c>
      <c r="K104" s="3">
        <v>30</v>
      </c>
      <c r="L104" s="13">
        <v>20603003</v>
      </c>
      <c r="M104" s="2" t="s">
        <v>113</v>
      </c>
      <c r="N104" s="3">
        <v>30</v>
      </c>
      <c r="O104" s="9">
        <v>20603004</v>
      </c>
      <c r="P104" s="2" t="s">
        <v>113</v>
      </c>
      <c r="Q104" s="3">
        <v>30</v>
      </c>
    </row>
    <row r="105" spans="3:17" x14ac:dyDescent="0.15">
      <c r="C105" s="15">
        <v>20603500</v>
      </c>
      <c r="D105" s="2" t="s">
        <v>114</v>
      </c>
      <c r="E105" s="3">
        <v>35</v>
      </c>
      <c r="F105" s="12">
        <v>20603501</v>
      </c>
      <c r="G105" s="2" t="s">
        <v>114</v>
      </c>
      <c r="H105" s="3">
        <v>35</v>
      </c>
      <c r="I105" s="11">
        <v>20603502</v>
      </c>
      <c r="J105" s="2" t="s">
        <v>114</v>
      </c>
      <c r="K105" s="3">
        <v>35</v>
      </c>
      <c r="L105" s="13">
        <v>20603503</v>
      </c>
      <c r="M105" s="2" t="s">
        <v>114</v>
      </c>
      <c r="N105" s="3">
        <v>35</v>
      </c>
      <c r="O105" s="9">
        <v>20603504</v>
      </c>
      <c r="P105" s="2" t="s">
        <v>114</v>
      </c>
      <c r="Q105" s="3">
        <v>35</v>
      </c>
    </row>
    <row r="106" spans="3:17" x14ac:dyDescent="0.15">
      <c r="C106" s="15">
        <v>20604000</v>
      </c>
      <c r="D106" s="2" t="s">
        <v>115</v>
      </c>
      <c r="E106" s="3">
        <v>40</v>
      </c>
      <c r="F106" s="12">
        <v>20604001</v>
      </c>
      <c r="G106" s="2" t="s">
        <v>115</v>
      </c>
      <c r="H106" s="3">
        <v>40</v>
      </c>
      <c r="I106" s="11">
        <v>20604002</v>
      </c>
      <c r="J106" s="2" t="s">
        <v>115</v>
      </c>
      <c r="K106" s="3">
        <v>40</v>
      </c>
      <c r="L106" s="13">
        <v>20604003</v>
      </c>
      <c r="M106" s="2" t="s">
        <v>115</v>
      </c>
      <c r="N106" s="3">
        <v>40</v>
      </c>
      <c r="O106" s="9">
        <v>20604004</v>
      </c>
      <c r="P106" s="2" t="s">
        <v>115</v>
      </c>
      <c r="Q106" s="3">
        <v>40</v>
      </c>
    </row>
    <row r="107" spans="3:17" x14ac:dyDescent="0.15">
      <c r="C107" s="15">
        <v>20604500</v>
      </c>
      <c r="D107" s="2" t="s">
        <v>116</v>
      </c>
      <c r="E107" s="3">
        <v>45</v>
      </c>
      <c r="F107" s="12">
        <v>20604501</v>
      </c>
      <c r="G107" s="2" t="s">
        <v>116</v>
      </c>
      <c r="H107" s="3">
        <v>45</v>
      </c>
      <c r="I107" s="11">
        <v>20604502</v>
      </c>
      <c r="J107" s="2" t="s">
        <v>116</v>
      </c>
      <c r="K107" s="3">
        <v>45</v>
      </c>
      <c r="L107" s="13">
        <v>20604503</v>
      </c>
      <c r="M107" s="2" t="s">
        <v>116</v>
      </c>
      <c r="N107" s="3">
        <v>45</v>
      </c>
      <c r="O107" s="9">
        <v>20604504</v>
      </c>
      <c r="P107" s="2" t="s">
        <v>116</v>
      </c>
      <c r="Q107" s="3">
        <v>45</v>
      </c>
    </row>
    <row r="108" spans="3:17" x14ac:dyDescent="0.15">
      <c r="C108" s="15">
        <v>20605000</v>
      </c>
      <c r="D108" s="2" t="s">
        <v>117</v>
      </c>
      <c r="E108" s="3">
        <v>50</v>
      </c>
      <c r="F108" s="12">
        <v>20605001</v>
      </c>
      <c r="G108" s="2" t="s">
        <v>117</v>
      </c>
      <c r="H108" s="3">
        <v>50</v>
      </c>
      <c r="I108" s="11">
        <v>20605002</v>
      </c>
      <c r="J108" s="2" t="s">
        <v>117</v>
      </c>
      <c r="K108" s="3">
        <v>50</v>
      </c>
      <c r="L108" s="13">
        <v>20605003</v>
      </c>
      <c r="M108" s="2" t="s">
        <v>117</v>
      </c>
      <c r="N108" s="3">
        <v>50</v>
      </c>
      <c r="O108" s="9">
        <v>20605004</v>
      </c>
      <c r="P108" s="2" t="s">
        <v>117</v>
      </c>
      <c r="Q108" s="3">
        <v>50</v>
      </c>
    </row>
    <row r="109" spans="3:17" x14ac:dyDescent="0.15">
      <c r="C109" s="15">
        <v>20700100</v>
      </c>
      <c r="D109" s="2" t="s">
        <v>118</v>
      </c>
      <c r="E109" s="3">
        <v>1</v>
      </c>
      <c r="F109" s="12">
        <v>20700101</v>
      </c>
      <c r="G109" s="2" t="s">
        <v>118</v>
      </c>
      <c r="H109" s="3">
        <v>1</v>
      </c>
      <c r="I109" s="11">
        <v>20700102</v>
      </c>
      <c r="J109" s="2" t="s">
        <v>118</v>
      </c>
      <c r="K109" s="3">
        <v>1</v>
      </c>
      <c r="L109" s="13">
        <v>20700103</v>
      </c>
      <c r="M109" s="2" t="s">
        <v>118</v>
      </c>
      <c r="N109" s="3">
        <v>1</v>
      </c>
      <c r="O109" s="9">
        <v>20700104</v>
      </c>
      <c r="P109" s="2" t="s">
        <v>118</v>
      </c>
      <c r="Q109" s="3">
        <v>1</v>
      </c>
    </row>
    <row r="110" spans="3:17" x14ac:dyDescent="0.15">
      <c r="C110" s="15">
        <v>20700500</v>
      </c>
      <c r="D110" s="2" t="s">
        <v>119</v>
      </c>
      <c r="E110" s="3">
        <v>5</v>
      </c>
      <c r="F110" s="12">
        <v>20700501</v>
      </c>
      <c r="G110" s="2" t="s">
        <v>119</v>
      </c>
      <c r="H110" s="3">
        <v>5</v>
      </c>
      <c r="I110" s="11">
        <v>20700502</v>
      </c>
      <c r="J110" s="2" t="s">
        <v>119</v>
      </c>
      <c r="K110" s="3">
        <v>5</v>
      </c>
      <c r="L110" s="13">
        <v>20700503</v>
      </c>
      <c r="M110" s="2" t="s">
        <v>119</v>
      </c>
      <c r="N110" s="3">
        <v>5</v>
      </c>
      <c r="O110" s="9">
        <v>20700504</v>
      </c>
      <c r="P110" s="2" t="s">
        <v>119</v>
      </c>
      <c r="Q110" s="3">
        <v>5</v>
      </c>
    </row>
    <row r="111" spans="3:17" x14ac:dyDescent="0.15">
      <c r="C111" s="15">
        <v>20701000</v>
      </c>
      <c r="D111" s="2" t="s">
        <v>120</v>
      </c>
      <c r="E111" s="3">
        <v>10</v>
      </c>
      <c r="F111" s="12">
        <v>20701001</v>
      </c>
      <c r="G111" s="2" t="s">
        <v>120</v>
      </c>
      <c r="H111" s="3">
        <v>10</v>
      </c>
      <c r="I111" s="11">
        <v>20701002</v>
      </c>
      <c r="J111" s="2" t="s">
        <v>120</v>
      </c>
      <c r="K111" s="3">
        <v>10</v>
      </c>
      <c r="L111" s="13">
        <v>20701003</v>
      </c>
      <c r="M111" s="2" t="s">
        <v>120</v>
      </c>
      <c r="N111" s="3">
        <v>10</v>
      </c>
      <c r="O111" s="9">
        <v>20701004</v>
      </c>
      <c r="P111" s="2" t="s">
        <v>120</v>
      </c>
      <c r="Q111" s="3">
        <v>10</v>
      </c>
    </row>
    <row r="112" spans="3:17" x14ac:dyDescent="0.15">
      <c r="C112" s="15">
        <v>20701500</v>
      </c>
      <c r="D112" s="2" t="s">
        <v>121</v>
      </c>
      <c r="E112" s="3">
        <v>15</v>
      </c>
      <c r="F112" s="12">
        <v>20701501</v>
      </c>
      <c r="G112" s="2" t="s">
        <v>121</v>
      </c>
      <c r="H112" s="3">
        <v>15</v>
      </c>
      <c r="I112" s="11">
        <v>20701502</v>
      </c>
      <c r="J112" s="2" t="s">
        <v>121</v>
      </c>
      <c r="K112" s="3">
        <v>15</v>
      </c>
      <c r="L112" s="13">
        <v>20701503</v>
      </c>
      <c r="M112" s="2" t="s">
        <v>121</v>
      </c>
      <c r="N112" s="3">
        <v>15</v>
      </c>
      <c r="O112" s="9">
        <v>20701504</v>
      </c>
      <c r="P112" s="2" t="s">
        <v>121</v>
      </c>
      <c r="Q112" s="3">
        <v>15</v>
      </c>
    </row>
    <row r="113" spans="3:17" x14ac:dyDescent="0.15">
      <c r="C113" s="15">
        <v>20702000</v>
      </c>
      <c r="D113" s="2" t="s">
        <v>122</v>
      </c>
      <c r="E113" s="3">
        <v>20</v>
      </c>
      <c r="F113" s="12">
        <v>20702001</v>
      </c>
      <c r="G113" s="2" t="s">
        <v>122</v>
      </c>
      <c r="H113" s="3">
        <v>20</v>
      </c>
      <c r="I113" s="11">
        <v>20702002</v>
      </c>
      <c r="J113" s="2" t="s">
        <v>122</v>
      </c>
      <c r="K113" s="3">
        <v>20</v>
      </c>
      <c r="L113" s="13">
        <v>20702003</v>
      </c>
      <c r="M113" s="2" t="s">
        <v>122</v>
      </c>
      <c r="N113" s="3">
        <v>20</v>
      </c>
      <c r="O113" s="9">
        <v>20702004</v>
      </c>
      <c r="P113" s="2" t="s">
        <v>122</v>
      </c>
      <c r="Q113" s="3">
        <v>20</v>
      </c>
    </row>
    <row r="114" spans="3:17" x14ac:dyDescent="0.15">
      <c r="C114" s="15">
        <v>20702500</v>
      </c>
      <c r="D114" s="2" t="s">
        <v>123</v>
      </c>
      <c r="E114" s="3">
        <v>25</v>
      </c>
      <c r="F114" s="12">
        <v>20702501</v>
      </c>
      <c r="G114" s="2" t="s">
        <v>123</v>
      </c>
      <c r="H114" s="3">
        <v>25</v>
      </c>
      <c r="I114" s="11">
        <v>20702502</v>
      </c>
      <c r="J114" s="2" t="s">
        <v>123</v>
      </c>
      <c r="K114" s="3">
        <v>25</v>
      </c>
      <c r="L114" s="13">
        <v>20702503</v>
      </c>
      <c r="M114" s="2" t="s">
        <v>123</v>
      </c>
      <c r="N114" s="3">
        <v>25</v>
      </c>
      <c r="O114" s="9">
        <v>20702504</v>
      </c>
      <c r="P114" s="2" t="s">
        <v>123</v>
      </c>
      <c r="Q114" s="3">
        <v>25</v>
      </c>
    </row>
    <row r="115" spans="3:17" x14ac:dyDescent="0.15">
      <c r="C115" s="15">
        <v>20703000</v>
      </c>
      <c r="D115" s="2" t="s">
        <v>124</v>
      </c>
      <c r="E115" s="3">
        <v>30</v>
      </c>
      <c r="F115" s="12">
        <v>20703001</v>
      </c>
      <c r="G115" s="2" t="s">
        <v>124</v>
      </c>
      <c r="H115" s="3">
        <v>30</v>
      </c>
      <c r="I115" s="11">
        <v>20703002</v>
      </c>
      <c r="J115" s="2" t="s">
        <v>124</v>
      </c>
      <c r="K115" s="3">
        <v>30</v>
      </c>
      <c r="L115" s="13">
        <v>20703003</v>
      </c>
      <c r="M115" s="2" t="s">
        <v>124</v>
      </c>
      <c r="N115" s="3">
        <v>30</v>
      </c>
      <c r="O115" s="9">
        <v>20703004</v>
      </c>
      <c r="P115" s="2" t="s">
        <v>124</v>
      </c>
      <c r="Q115" s="3">
        <v>30</v>
      </c>
    </row>
    <row r="116" spans="3:17" x14ac:dyDescent="0.15">
      <c r="C116" s="15">
        <v>20703500</v>
      </c>
      <c r="D116" s="2" t="s">
        <v>125</v>
      </c>
      <c r="E116" s="3">
        <v>35</v>
      </c>
      <c r="F116" s="12">
        <v>20703501</v>
      </c>
      <c r="G116" s="2" t="s">
        <v>125</v>
      </c>
      <c r="H116" s="3">
        <v>35</v>
      </c>
      <c r="I116" s="11">
        <v>20703502</v>
      </c>
      <c r="J116" s="2" t="s">
        <v>125</v>
      </c>
      <c r="K116" s="3">
        <v>35</v>
      </c>
      <c r="L116" s="13">
        <v>20703503</v>
      </c>
      <c r="M116" s="2" t="s">
        <v>125</v>
      </c>
      <c r="N116" s="3">
        <v>35</v>
      </c>
      <c r="O116" s="9">
        <v>20703504</v>
      </c>
      <c r="P116" s="2" t="s">
        <v>125</v>
      </c>
      <c r="Q116" s="3">
        <v>35</v>
      </c>
    </row>
    <row r="117" spans="3:17" x14ac:dyDescent="0.15">
      <c r="C117" s="15">
        <v>20704000</v>
      </c>
      <c r="D117" s="2" t="s">
        <v>126</v>
      </c>
      <c r="E117" s="3">
        <v>40</v>
      </c>
      <c r="F117" s="12">
        <v>20704001</v>
      </c>
      <c r="G117" s="2" t="s">
        <v>126</v>
      </c>
      <c r="H117" s="3">
        <v>40</v>
      </c>
      <c r="I117" s="11">
        <v>20704002</v>
      </c>
      <c r="J117" s="2" t="s">
        <v>126</v>
      </c>
      <c r="K117" s="3">
        <v>40</v>
      </c>
      <c r="L117" s="13">
        <v>20704003</v>
      </c>
      <c r="M117" s="2" t="s">
        <v>126</v>
      </c>
      <c r="N117" s="3">
        <v>40</v>
      </c>
      <c r="O117" s="9">
        <v>20704004</v>
      </c>
      <c r="P117" s="2" t="s">
        <v>126</v>
      </c>
      <c r="Q117" s="3">
        <v>40</v>
      </c>
    </row>
    <row r="118" spans="3:17" x14ac:dyDescent="0.15">
      <c r="C118" s="15">
        <v>20704500</v>
      </c>
      <c r="D118" s="2" t="s">
        <v>127</v>
      </c>
      <c r="E118" s="3">
        <v>45</v>
      </c>
      <c r="F118" s="12">
        <v>20704501</v>
      </c>
      <c r="G118" s="2" t="s">
        <v>127</v>
      </c>
      <c r="H118" s="3">
        <v>45</v>
      </c>
      <c r="I118" s="11">
        <v>20704502</v>
      </c>
      <c r="J118" s="2" t="s">
        <v>127</v>
      </c>
      <c r="K118" s="3">
        <v>45</v>
      </c>
      <c r="L118" s="13">
        <v>20704503</v>
      </c>
      <c r="M118" s="2" t="s">
        <v>127</v>
      </c>
      <c r="N118" s="3">
        <v>45</v>
      </c>
      <c r="O118" s="9">
        <v>20704504</v>
      </c>
      <c r="P118" s="2" t="s">
        <v>127</v>
      </c>
      <c r="Q118" s="3">
        <v>45</v>
      </c>
    </row>
    <row r="119" spans="3:17" x14ac:dyDescent="0.15">
      <c r="C119" s="15">
        <v>20705000</v>
      </c>
      <c r="D119" s="2" t="s">
        <v>128</v>
      </c>
      <c r="E119" s="3">
        <v>50</v>
      </c>
      <c r="F119" s="12">
        <v>20705001</v>
      </c>
      <c r="G119" s="2" t="s">
        <v>128</v>
      </c>
      <c r="H119" s="3">
        <v>50</v>
      </c>
      <c r="I119" s="11">
        <v>20705002</v>
      </c>
      <c r="J119" s="2" t="s">
        <v>128</v>
      </c>
      <c r="K119" s="3">
        <v>50</v>
      </c>
      <c r="L119" s="13">
        <v>20705003</v>
      </c>
      <c r="M119" s="2" t="s">
        <v>128</v>
      </c>
      <c r="N119" s="3">
        <v>50</v>
      </c>
      <c r="O119" s="9">
        <v>20705004</v>
      </c>
      <c r="P119" s="2" t="s">
        <v>128</v>
      </c>
      <c r="Q119" s="3">
        <v>50</v>
      </c>
    </row>
  </sheetData>
  <mergeCells count="7">
    <mergeCell ref="L30:N30"/>
    <mergeCell ref="O30:Q30"/>
    <mergeCell ref="A17:A28"/>
    <mergeCell ref="A4:A15"/>
    <mergeCell ref="C30:E30"/>
    <mergeCell ref="F30:H30"/>
    <mergeCell ref="I30:K3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wEquip">
          <controlPr defaultSize="0" autoLine="0" r:id="rId5">
            <anchor moveWithCells="1">
              <from>
                <xdr:col>2</xdr:col>
                <xdr:colOff>209550</xdr:colOff>
                <xdr:row>0</xdr:row>
                <xdr:rowOff>114300</xdr:rowOff>
              </from>
              <to>
                <xdr:col>4</xdr:col>
                <xdr:colOff>552450</xdr:colOff>
                <xdr:row>2</xdr:row>
                <xdr:rowOff>66675</xdr:rowOff>
              </to>
            </anchor>
          </controlPr>
        </control>
      </mc:Choice>
      <mc:Fallback>
        <control shapeId="2049" r:id="rId4" name="wEquip"/>
      </mc:Fallback>
    </mc:AlternateContent>
    <mc:AlternateContent xmlns:mc="http://schemas.openxmlformats.org/markup-compatibility/2006">
      <mc:Choice Requires="x14">
        <control shapeId="2050" r:id="rId6" name="gEqiup">
          <controlPr defaultSize="0" autoLine="0" r:id="rId7">
            <anchor moveWithCells="1">
              <from>
                <xdr:col>5</xdr:col>
                <xdr:colOff>76200</xdr:colOff>
                <xdr:row>0</xdr:row>
                <xdr:rowOff>114300</xdr:rowOff>
              </from>
              <to>
                <xdr:col>7</xdr:col>
                <xdr:colOff>419100</xdr:colOff>
                <xdr:row>2</xdr:row>
                <xdr:rowOff>66675</xdr:rowOff>
              </to>
            </anchor>
          </controlPr>
        </control>
      </mc:Choice>
      <mc:Fallback>
        <control shapeId="2050" r:id="rId6" name="gEqiup"/>
      </mc:Fallback>
    </mc:AlternateContent>
    <mc:AlternateContent xmlns:mc="http://schemas.openxmlformats.org/markup-compatibility/2006">
      <mc:Choice Requires="x14">
        <control shapeId="2051" r:id="rId8" name="bEquip">
          <controlPr defaultSize="0" autoLine="0" r:id="rId9">
            <anchor moveWithCells="1">
              <from>
                <xdr:col>8</xdr:col>
                <xdr:colOff>9525</xdr:colOff>
                <xdr:row>0</xdr:row>
                <xdr:rowOff>114300</xdr:rowOff>
              </from>
              <to>
                <xdr:col>10</xdr:col>
                <xdr:colOff>352425</xdr:colOff>
                <xdr:row>2</xdr:row>
                <xdr:rowOff>66675</xdr:rowOff>
              </to>
            </anchor>
          </controlPr>
        </control>
      </mc:Choice>
      <mc:Fallback>
        <control shapeId="2051" r:id="rId8" name="bEquip"/>
      </mc:Fallback>
    </mc:AlternateContent>
    <mc:AlternateContent xmlns:mc="http://schemas.openxmlformats.org/markup-compatibility/2006">
      <mc:Choice Requires="x14">
        <control shapeId="2052" r:id="rId10" name="pEquip">
          <controlPr defaultSize="0" autoLine="0" r:id="rId11">
            <anchor moveWithCells="1">
              <from>
                <xdr:col>11</xdr:col>
                <xdr:colOff>9525</xdr:colOff>
                <xdr:row>0</xdr:row>
                <xdr:rowOff>114300</xdr:rowOff>
              </from>
              <to>
                <xdr:col>13</xdr:col>
                <xdr:colOff>352425</xdr:colOff>
                <xdr:row>2</xdr:row>
                <xdr:rowOff>66675</xdr:rowOff>
              </to>
            </anchor>
          </controlPr>
        </control>
      </mc:Choice>
      <mc:Fallback>
        <control shapeId="2052" r:id="rId10" name="pEquip"/>
      </mc:Fallback>
    </mc:AlternateContent>
    <mc:AlternateContent xmlns:mc="http://schemas.openxmlformats.org/markup-compatibility/2006">
      <mc:Choice Requires="x14">
        <control shapeId="2053" r:id="rId12" name="oEqiup">
          <controlPr defaultSize="0" autoLine="0" r:id="rId13">
            <anchor moveWithCells="1">
              <from>
                <xdr:col>14</xdr:col>
                <xdr:colOff>85725</xdr:colOff>
                <xdr:row>0</xdr:row>
                <xdr:rowOff>114300</xdr:rowOff>
              </from>
              <to>
                <xdr:col>16</xdr:col>
                <xdr:colOff>428625</xdr:colOff>
                <xdr:row>2</xdr:row>
                <xdr:rowOff>66675</xdr:rowOff>
              </to>
            </anchor>
          </controlPr>
        </control>
      </mc:Choice>
      <mc:Fallback>
        <control shapeId="2053" r:id="rId12" name="oEqiu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U81"/>
  <sheetViews>
    <sheetView topLeftCell="A46" workbookViewId="0">
      <selection activeCell="D81" sqref="D81"/>
    </sheetView>
  </sheetViews>
  <sheetFormatPr defaultRowHeight="12" x14ac:dyDescent="0.15"/>
  <cols>
    <col min="1" max="1" width="9" style="16"/>
    <col min="2" max="2" width="13.125" style="16" bestFit="1" customWidth="1"/>
    <col min="3" max="20" width="9" style="16"/>
    <col min="21" max="21" width="34.5" style="16" customWidth="1"/>
    <col min="22" max="16384" width="9" style="16"/>
  </cols>
  <sheetData>
    <row r="2" spans="2:21" x14ac:dyDescent="0.15">
      <c r="B2" s="14"/>
      <c r="C2" s="14" t="s">
        <v>264</v>
      </c>
      <c r="D2" s="14" t="s">
        <v>483</v>
      </c>
      <c r="E2" s="14"/>
      <c r="F2" s="10"/>
      <c r="G2" s="10" t="s">
        <v>264</v>
      </c>
      <c r="H2" s="10" t="s">
        <v>211</v>
      </c>
      <c r="I2" s="10"/>
      <c r="J2" s="7"/>
      <c r="K2" s="7" t="s">
        <v>264</v>
      </c>
      <c r="L2" s="7" t="s">
        <v>211</v>
      </c>
      <c r="M2" s="7"/>
      <c r="N2" s="6"/>
      <c r="O2" s="6" t="s">
        <v>264</v>
      </c>
      <c r="P2" s="6" t="s">
        <v>211</v>
      </c>
      <c r="Q2" s="6"/>
      <c r="R2" s="8"/>
      <c r="S2" s="8" t="s">
        <v>264</v>
      </c>
      <c r="T2" s="8" t="s">
        <v>211</v>
      </c>
      <c r="U2" s="8"/>
    </row>
    <row r="3" spans="2:21" x14ac:dyDescent="0.15">
      <c r="B3" s="14" t="s">
        <v>214</v>
      </c>
      <c r="C3" s="2">
        <v>30000100</v>
      </c>
      <c r="D3" s="2">
        <v>1200</v>
      </c>
      <c r="E3" s="14" t="str">
        <f>"{id:"&amp;C3&amp;",odds:"&amp;D3&amp;",min:1,max:1}"</f>
        <v>{id:30000100,odds:1200,min:1,max:1}</v>
      </c>
      <c r="F3" s="12" t="s">
        <v>215</v>
      </c>
      <c r="G3" s="2">
        <v>30000101</v>
      </c>
      <c r="H3" s="2">
        <v>1200</v>
      </c>
      <c r="I3" s="10" t="str">
        <f>"{id:"&amp;G3&amp;",odds:"&amp;H3&amp;",min:1,max:1}"</f>
        <v>{id:30000101,odds:1200,min:1,max:1}</v>
      </c>
      <c r="J3" s="11" t="s">
        <v>216</v>
      </c>
      <c r="K3" s="2">
        <v>30000102</v>
      </c>
      <c r="L3" s="2">
        <v>1200</v>
      </c>
      <c r="M3" s="7" t="str">
        <f>"{id:"&amp;K3&amp;",odds:"&amp;L3&amp;",min:1,max:1}"</f>
        <v>{id:30000102,odds:1200,min:1,max:1}</v>
      </c>
      <c r="N3" s="13" t="s">
        <v>217</v>
      </c>
      <c r="O3" s="2">
        <v>30000103</v>
      </c>
      <c r="P3" s="2">
        <v>1200</v>
      </c>
      <c r="Q3" s="6" t="str">
        <f>"{id:"&amp;O3&amp;",odds:"&amp;P3&amp;",min:1,max:1}"</f>
        <v>{id:30000103,odds:1200,min:1,max:1}</v>
      </c>
      <c r="R3" s="9" t="s">
        <v>218</v>
      </c>
      <c r="S3" s="2">
        <v>30000104</v>
      </c>
      <c r="T3" s="2">
        <v>1200</v>
      </c>
      <c r="U3" s="8" t="str">
        <f>"{id:"&amp;S3&amp;",odds:"&amp;T3&amp;",min:1,max:1}"</f>
        <v>{id:30000104,odds:1200,min:1,max:1}</v>
      </c>
    </row>
    <row r="4" spans="2:21" x14ac:dyDescent="0.15">
      <c r="B4" s="15" t="s">
        <v>219</v>
      </c>
      <c r="C4" s="2">
        <v>30000200</v>
      </c>
      <c r="D4" s="2">
        <v>100</v>
      </c>
      <c r="E4" s="14" t="str">
        <f t="shared" ref="E4:E11" si="0">"{id:"&amp;C4&amp;",odds:"&amp;D4&amp;",min:1,max:1}"</f>
        <v>{id:30000200,odds:100,min:1,max:1}</v>
      </c>
      <c r="F4" s="12" t="s">
        <v>220</v>
      </c>
      <c r="G4" s="2">
        <v>30000201</v>
      </c>
      <c r="H4" s="2">
        <v>100</v>
      </c>
      <c r="I4" s="10" t="str">
        <f t="shared" ref="I4:I11" si="1">"{id:"&amp;G4&amp;",odds:"&amp;H4&amp;",min:1,max:1}"</f>
        <v>{id:30000201,odds:100,min:1,max:1}</v>
      </c>
      <c r="J4" s="11" t="s">
        <v>221</v>
      </c>
      <c r="K4" s="2">
        <v>30000202</v>
      </c>
      <c r="L4" s="2">
        <v>100</v>
      </c>
      <c r="M4" s="7" t="str">
        <f t="shared" ref="M4:M11" si="2">"{id:"&amp;K4&amp;",odds:"&amp;L4&amp;",min:1,max:1}"</f>
        <v>{id:30000202,odds:100,min:1,max:1}</v>
      </c>
      <c r="N4" s="13" t="s">
        <v>222</v>
      </c>
      <c r="O4" s="2">
        <v>30000203</v>
      </c>
      <c r="P4" s="2">
        <v>100</v>
      </c>
      <c r="Q4" s="6" t="str">
        <f t="shared" ref="Q4:Q11" si="3">"{id:"&amp;O4&amp;",odds:"&amp;P4&amp;",min:1,max:1}"</f>
        <v>{id:30000203,odds:100,min:1,max:1}</v>
      </c>
      <c r="R4" s="9" t="s">
        <v>223</v>
      </c>
      <c r="S4" s="2">
        <v>30000204</v>
      </c>
      <c r="T4" s="2">
        <v>100</v>
      </c>
      <c r="U4" s="8" t="str">
        <f t="shared" ref="U4:U11" si="4">"{id:"&amp;S4&amp;",odds:"&amp;T4&amp;",min:1,max:1}"</f>
        <v>{id:30000204,odds:100,min:1,max:1}</v>
      </c>
    </row>
    <row r="5" spans="2:21" x14ac:dyDescent="0.15">
      <c r="B5" s="15" t="s">
        <v>224</v>
      </c>
      <c r="C5" s="2">
        <v>30000300</v>
      </c>
      <c r="D5" s="2">
        <v>1200</v>
      </c>
      <c r="E5" s="14" t="str">
        <f t="shared" si="0"/>
        <v>{id:30000300,odds:1200,min:1,max:1}</v>
      </c>
      <c r="F5" s="12" t="s">
        <v>225</v>
      </c>
      <c r="G5" s="2">
        <v>30000301</v>
      </c>
      <c r="H5" s="2">
        <v>1200</v>
      </c>
      <c r="I5" s="10" t="str">
        <f t="shared" si="1"/>
        <v>{id:30000301,odds:1200,min:1,max:1}</v>
      </c>
      <c r="J5" s="11" t="s">
        <v>226</v>
      </c>
      <c r="K5" s="2">
        <v>30000302</v>
      </c>
      <c r="L5" s="2">
        <v>1200</v>
      </c>
      <c r="M5" s="7" t="str">
        <f t="shared" si="2"/>
        <v>{id:30000302,odds:1200,min:1,max:1}</v>
      </c>
      <c r="N5" s="13" t="s">
        <v>227</v>
      </c>
      <c r="O5" s="2">
        <v>30000303</v>
      </c>
      <c r="P5" s="2">
        <v>1200</v>
      </c>
      <c r="Q5" s="6" t="str">
        <f t="shared" si="3"/>
        <v>{id:30000303,odds:1200,min:1,max:1}</v>
      </c>
      <c r="R5" s="9" t="s">
        <v>228</v>
      </c>
      <c r="S5" s="2">
        <v>30000304</v>
      </c>
      <c r="T5" s="2">
        <v>1200</v>
      </c>
      <c r="U5" s="8" t="str">
        <f t="shared" si="4"/>
        <v>{id:30000304,odds:1200,min:1,max:1}</v>
      </c>
    </row>
    <row r="6" spans="2:21" x14ac:dyDescent="0.15">
      <c r="B6" s="15" t="s">
        <v>229</v>
      </c>
      <c r="C6" s="2">
        <v>30000400</v>
      </c>
      <c r="D6" s="2">
        <v>1200</v>
      </c>
      <c r="E6" s="14" t="str">
        <f t="shared" si="0"/>
        <v>{id:30000400,odds:1200,min:1,max:1}</v>
      </c>
      <c r="F6" s="12" t="s">
        <v>230</v>
      </c>
      <c r="G6" s="2">
        <v>30000401</v>
      </c>
      <c r="H6" s="2">
        <v>1200</v>
      </c>
      <c r="I6" s="10" t="str">
        <f t="shared" si="1"/>
        <v>{id:30000401,odds:1200,min:1,max:1}</v>
      </c>
      <c r="J6" s="11" t="s">
        <v>231</v>
      </c>
      <c r="K6" s="2">
        <v>30000402</v>
      </c>
      <c r="L6" s="2">
        <v>1200</v>
      </c>
      <c r="M6" s="7" t="str">
        <f t="shared" si="2"/>
        <v>{id:30000402,odds:1200,min:1,max:1}</v>
      </c>
      <c r="N6" s="13" t="s">
        <v>232</v>
      </c>
      <c r="O6" s="2">
        <v>30000403</v>
      </c>
      <c r="P6" s="2">
        <v>1200</v>
      </c>
      <c r="Q6" s="6" t="str">
        <f t="shared" si="3"/>
        <v>{id:30000403,odds:1200,min:1,max:1}</v>
      </c>
      <c r="R6" s="9" t="s">
        <v>233</v>
      </c>
      <c r="S6" s="2">
        <v>30000404</v>
      </c>
      <c r="T6" s="2">
        <v>1200</v>
      </c>
      <c r="U6" s="8" t="str">
        <f t="shared" si="4"/>
        <v>{id:30000404,odds:1200,min:1,max:1}</v>
      </c>
    </row>
    <row r="7" spans="2:21" x14ac:dyDescent="0.15">
      <c r="B7" s="15" t="s">
        <v>234</v>
      </c>
      <c r="C7" s="2">
        <v>30000500</v>
      </c>
      <c r="D7" s="2">
        <v>1200</v>
      </c>
      <c r="E7" s="14" t="str">
        <f t="shared" si="0"/>
        <v>{id:30000500,odds:1200,min:1,max:1}</v>
      </c>
      <c r="F7" s="12" t="s">
        <v>235</v>
      </c>
      <c r="G7" s="2">
        <v>30000501</v>
      </c>
      <c r="H7" s="2">
        <v>1200</v>
      </c>
      <c r="I7" s="10" t="str">
        <f t="shared" si="1"/>
        <v>{id:30000501,odds:1200,min:1,max:1}</v>
      </c>
      <c r="J7" s="11" t="s">
        <v>236</v>
      </c>
      <c r="K7" s="2">
        <v>30000502</v>
      </c>
      <c r="L7" s="2">
        <v>1200</v>
      </c>
      <c r="M7" s="7" t="str">
        <f t="shared" si="2"/>
        <v>{id:30000502,odds:1200,min:1,max:1}</v>
      </c>
      <c r="N7" s="13" t="s">
        <v>237</v>
      </c>
      <c r="O7" s="2">
        <v>30000503</v>
      </c>
      <c r="P7" s="2">
        <v>1200</v>
      </c>
      <c r="Q7" s="6" t="str">
        <f t="shared" si="3"/>
        <v>{id:30000503,odds:1200,min:1,max:1}</v>
      </c>
      <c r="R7" s="9" t="s">
        <v>238</v>
      </c>
      <c r="S7" s="2">
        <v>30000504</v>
      </c>
      <c r="T7" s="2">
        <v>1200</v>
      </c>
      <c r="U7" s="8" t="str">
        <f t="shared" si="4"/>
        <v>{id:30000504,odds:1200,min:1,max:1}</v>
      </c>
    </row>
    <row r="8" spans="2:21" x14ac:dyDescent="0.15">
      <c r="B8" s="15" t="s">
        <v>239</v>
      </c>
      <c r="C8" s="2">
        <v>30000600</v>
      </c>
      <c r="D8" s="2">
        <v>1200</v>
      </c>
      <c r="E8" s="14" t="str">
        <f t="shared" si="0"/>
        <v>{id:30000600,odds:1200,min:1,max:1}</v>
      </c>
      <c r="F8" s="12" t="s">
        <v>240</v>
      </c>
      <c r="G8" s="2">
        <v>30000601</v>
      </c>
      <c r="H8" s="2">
        <v>1200</v>
      </c>
      <c r="I8" s="10" t="str">
        <f t="shared" si="1"/>
        <v>{id:30000601,odds:1200,min:1,max:1}</v>
      </c>
      <c r="J8" s="11" t="s">
        <v>241</v>
      </c>
      <c r="K8" s="2">
        <v>30000602</v>
      </c>
      <c r="L8" s="2">
        <v>1200</v>
      </c>
      <c r="M8" s="7" t="str">
        <f t="shared" si="2"/>
        <v>{id:30000602,odds:1200,min:1,max:1}</v>
      </c>
      <c r="N8" s="13" t="s">
        <v>242</v>
      </c>
      <c r="O8" s="2">
        <v>30000603</v>
      </c>
      <c r="P8" s="2">
        <v>1200</v>
      </c>
      <c r="Q8" s="6" t="str">
        <f t="shared" si="3"/>
        <v>{id:30000603,odds:1200,min:1,max:1}</v>
      </c>
      <c r="R8" s="9" t="s">
        <v>243</v>
      </c>
      <c r="S8" s="2">
        <v>30000604</v>
      </c>
      <c r="T8" s="2">
        <v>1200</v>
      </c>
      <c r="U8" s="8" t="str">
        <f t="shared" si="4"/>
        <v>{id:30000604,odds:1200,min:1,max:1}</v>
      </c>
    </row>
    <row r="9" spans="2:21" x14ac:dyDescent="0.15">
      <c r="B9" s="15" t="s">
        <v>244</v>
      </c>
      <c r="C9" s="2">
        <v>30000700</v>
      </c>
      <c r="D9" s="2">
        <v>1200</v>
      </c>
      <c r="E9" s="14" t="str">
        <f t="shared" si="0"/>
        <v>{id:30000700,odds:1200,min:1,max:1}</v>
      </c>
      <c r="F9" s="12" t="s">
        <v>245</v>
      </c>
      <c r="G9" s="2">
        <v>30000701</v>
      </c>
      <c r="H9" s="2">
        <v>1200</v>
      </c>
      <c r="I9" s="10" t="str">
        <f t="shared" si="1"/>
        <v>{id:30000701,odds:1200,min:1,max:1}</v>
      </c>
      <c r="J9" s="11" t="s">
        <v>246</v>
      </c>
      <c r="K9" s="2">
        <v>30000702</v>
      </c>
      <c r="L9" s="2">
        <v>1200</v>
      </c>
      <c r="M9" s="7" t="str">
        <f t="shared" si="2"/>
        <v>{id:30000702,odds:1200,min:1,max:1}</v>
      </c>
      <c r="N9" s="13" t="s">
        <v>247</v>
      </c>
      <c r="O9" s="2">
        <v>30000703</v>
      </c>
      <c r="P9" s="2">
        <v>1200</v>
      </c>
      <c r="Q9" s="6" t="str">
        <f t="shared" si="3"/>
        <v>{id:30000703,odds:1200,min:1,max:1}</v>
      </c>
      <c r="R9" s="9" t="s">
        <v>248</v>
      </c>
      <c r="S9" s="2">
        <v>30000704</v>
      </c>
      <c r="T9" s="2">
        <v>1200</v>
      </c>
      <c r="U9" s="8" t="str">
        <f t="shared" si="4"/>
        <v>{id:30000704,odds:1200,min:1,max:1}</v>
      </c>
    </row>
    <row r="10" spans="2:21" x14ac:dyDescent="0.15">
      <c r="B10" s="15" t="s">
        <v>249</v>
      </c>
      <c r="C10" s="2">
        <v>30000800</v>
      </c>
      <c r="D10" s="2">
        <v>1200</v>
      </c>
      <c r="E10" s="14" t="str">
        <f t="shared" si="0"/>
        <v>{id:30000800,odds:1200,min:1,max:1}</v>
      </c>
      <c r="F10" s="12" t="s">
        <v>250</v>
      </c>
      <c r="G10" s="2">
        <v>30000801</v>
      </c>
      <c r="H10" s="2">
        <v>1200</v>
      </c>
      <c r="I10" s="10" t="str">
        <f t="shared" si="1"/>
        <v>{id:30000801,odds:1200,min:1,max:1}</v>
      </c>
      <c r="J10" s="11" t="s">
        <v>251</v>
      </c>
      <c r="K10" s="2">
        <v>30000802</v>
      </c>
      <c r="L10" s="2">
        <v>1200</v>
      </c>
      <c r="M10" s="7" t="str">
        <f t="shared" si="2"/>
        <v>{id:30000802,odds:1200,min:1,max:1}</v>
      </c>
      <c r="N10" s="13" t="s">
        <v>252</v>
      </c>
      <c r="O10" s="2">
        <v>30000803</v>
      </c>
      <c r="P10" s="2">
        <v>1200</v>
      </c>
      <c r="Q10" s="6" t="str">
        <f t="shared" si="3"/>
        <v>{id:30000803,odds:1200,min:1,max:1}</v>
      </c>
      <c r="R10" s="9" t="s">
        <v>253</v>
      </c>
      <c r="S10" s="2">
        <v>30000804</v>
      </c>
      <c r="T10" s="2">
        <v>1200</v>
      </c>
      <c r="U10" s="8" t="str">
        <f t="shared" si="4"/>
        <v>{id:30000804,odds:1200,min:1,max:1}</v>
      </c>
    </row>
    <row r="11" spans="2:21" x14ac:dyDescent="0.15">
      <c r="B11" s="15" t="s">
        <v>254</v>
      </c>
      <c r="C11" s="2">
        <v>30000900</v>
      </c>
      <c r="D11" s="2">
        <v>1200</v>
      </c>
      <c r="E11" s="14" t="str">
        <f t="shared" si="0"/>
        <v>{id:30000900,odds:1200,min:1,max:1}</v>
      </c>
      <c r="F11" s="12" t="s">
        <v>255</v>
      </c>
      <c r="G11" s="2">
        <v>30000901</v>
      </c>
      <c r="H11" s="2">
        <v>1200</v>
      </c>
      <c r="I11" s="10" t="str">
        <f t="shared" si="1"/>
        <v>{id:30000901,odds:1200,min:1,max:1}</v>
      </c>
      <c r="J11" s="11" t="s">
        <v>256</v>
      </c>
      <c r="K11" s="2">
        <v>30000902</v>
      </c>
      <c r="L11" s="2">
        <v>1200</v>
      </c>
      <c r="M11" s="7" t="str">
        <f t="shared" si="2"/>
        <v>{id:30000902,odds:1200,min:1,max:1}</v>
      </c>
      <c r="N11" s="13" t="s">
        <v>257</v>
      </c>
      <c r="O11" s="2">
        <v>30000903</v>
      </c>
      <c r="P11" s="2">
        <v>1200</v>
      </c>
      <c r="Q11" s="6" t="str">
        <f t="shared" si="3"/>
        <v>{id:30000903,odds:1200,min:1,max:1}</v>
      </c>
      <c r="R11" s="9" t="s">
        <v>258</v>
      </c>
      <c r="S11" s="2">
        <v>30000904</v>
      </c>
      <c r="T11" s="2">
        <v>1200</v>
      </c>
      <c r="U11" s="8" t="str">
        <f t="shared" si="4"/>
        <v>{id:30000904,odds:1200,min:1,max:1}</v>
      </c>
    </row>
    <row r="12" spans="2:21" x14ac:dyDescent="0.15">
      <c r="B12" s="15" t="s">
        <v>259</v>
      </c>
      <c r="C12" s="2">
        <v>30001000</v>
      </c>
      <c r="D12" s="2">
        <v>300</v>
      </c>
      <c r="E12" s="14" t="str">
        <f>"{id:"&amp;C12&amp;",odds:"&amp;D12&amp;",min:1,max:1}"</f>
        <v>{id:30001000,odds:300,min:1,max:1}</v>
      </c>
      <c r="F12" s="12" t="s">
        <v>260</v>
      </c>
      <c r="G12" s="2">
        <v>30001001</v>
      </c>
      <c r="H12" s="2">
        <v>300</v>
      </c>
      <c r="I12" s="10" t="str">
        <f>"{id:"&amp;G12&amp;",odds:"&amp;H12&amp;",min:1,max:1}"</f>
        <v>{id:30001001,odds:300,min:1,max:1}</v>
      </c>
      <c r="J12" s="11" t="s">
        <v>261</v>
      </c>
      <c r="K12" s="2">
        <v>30001002</v>
      </c>
      <c r="L12" s="2">
        <v>300</v>
      </c>
      <c r="M12" s="7" t="str">
        <f>"{id:"&amp;K12&amp;",odds:"&amp;L12&amp;",min:1,max:1}"</f>
        <v>{id:30001002,odds:300,min:1,max:1}</v>
      </c>
      <c r="N12" s="13" t="s">
        <v>262</v>
      </c>
      <c r="O12" s="2">
        <v>30001003</v>
      </c>
      <c r="P12" s="2">
        <v>300</v>
      </c>
      <c r="Q12" s="6" t="str">
        <f>"{id:"&amp;O12&amp;",odds:"&amp;P12&amp;",min:1,max:1}"</f>
        <v>{id:30001003,odds:300,min:1,max:1}</v>
      </c>
      <c r="R12" s="9" t="s">
        <v>263</v>
      </c>
      <c r="S12" s="2">
        <v>30001004</v>
      </c>
      <c r="T12" s="2">
        <v>300</v>
      </c>
      <c r="U12" s="8" t="str">
        <f>"{id:"&amp;S12&amp;",odds:"&amp;T12&amp;",min:1,max:1}"</f>
        <v>{id:30001004,odds:300,min:1,max:1}</v>
      </c>
    </row>
    <row r="14" spans="2:21" x14ac:dyDescent="0.15">
      <c r="B14" s="20" t="s">
        <v>200</v>
      </c>
      <c r="C14" s="20">
        <v>70020000</v>
      </c>
      <c r="D14" s="20" t="str">
        <f>E3&amp;","&amp;E4&amp;","&amp;E5&amp;","&amp;E6&amp;","&amp;E7&amp;","&amp;E8&amp;","&amp;E9&amp;","&amp;E10&amp;","&amp;E11&amp;","&amp;E12&amp;","</f>
        <v>{id:30000100,odds:1200,min:1,max:1},{id:30000200,odds:100,min:1,max:1},{id:30000300,odds:1200,min:1,max:1},{id:30000400,odds:1200,min:1,max:1},{id:30000500,odds:1200,min:1,max:1},{id:30000600,odds:1200,min:1,max:1},{id:30000700,odds:1200,min:1,max:1},{id:30000800,odds:1200,min:1,max:1},{id:30000900,odds:1200,min:1,max:1},{id:30001000,odds:300,min:1,max:1},</v>
      </c>
    </row>
    <row r="15" spans="2:21" x14ac:dyDescent="0.15">
      <c r="B15" s="20" t="s">
        <v>201</v>
      </c>
      <c r="C15" s="20">
        <v>70020001</v>
      </c>
      <c r="D15" s="20" t="str">
        <f>I3&amp;","&amp;I4&amp;","&amp;I5&amp;","&amp;I6&amp;","&amp;I7&amp;","&amp;I8&amp;","&amp;I9&amp;","&amp;I10&amp;","&amp;I11&amp;","&amp;I12&amp;","</f>
        <v>{id:30000101,odds:1200,min:1,max:1},{id:30000201,odds:100,min:1,max:1},{id:30000301,odds:1200,min:1,max:1},{id:30000401,odds:1200,min:1,max:1},{id:30000501,odds:1200,min:1,max:1},{id:30000601,odds:1200,min:1,max:1},{id:30000701,odds:1200,min:1,max:1},{id:30000801,odds:1200,min:1,max:1},{id:30000901,odds:1200,min:1,max:1},{id:30001001,odds:300,min:1,max:1},</v>
      </c>
    </row>
    <row r="16" spans="2:21" x14ac:dyDescent="0.15">
      <c r="B16" s="20" t="s">
        <v>202</v>
      </c>
      <c r="C16" s="20">
        <v>70020002</v>
      </c>
      <c r="D16" s="20" t="str">
        <f>M3&amp;","&amp;M4&amp;","&amp;M5&amp;","&amp;M6&amp;","&amp;M7&amp;","&amp;M8&amp;","&amp;M9&amp;","&amp;M10&amp;","&amp;M11&amp;","&amp;M12&amp;","</f>
        <v>{id:30000102,odds:1200,min:1,max:1},{id:30000202,odds:100,min:1,max:1},{id:30000302,odds:1200,min:1,max:1},{id:30000402,odds:1200,min:1,max:1},{id:30000502,odds:1200,min:1,max:1},{id:30000602,odds:1200,min:1,max:1},{id:30000702,odds:1200,min:1,max:1},{id:30000802,odds:1200,min:1,max:1},{id:30000902,odds:1200,min:1,max:1},{id:30001002,odds:300,min:1,max:1},</v>
      </c>
    </row>
    <row r="17" spans="2:21" x14ac:dyDescent="0.15">
      <c r="B17" s="20" t="s">
        <v>203</v>
      </c>
      <c r="C17" s="20">
        <v>70020003</v>
      </c>
      <c r="D17" s="20" t="str">
        <f>Q3&amp;","&amp;Q4&amp;","&amp;Q5&amp;","&amp;Q6&amp;","&amp;Q7&amp;","&amp;Q8&amp;","&amp;Q9&amp;","&amp;Q10&amp;","&amp;Q11&amp;","&amp;Q12&amp;","</f>
        <v>{id:30000103,odds:1200,min:1,max:1},{id:30000203,odds:100,min:1,max:1},{id:30000303,odds:1200,min:1,max:1},{id:30000403,odds:1200,min:1,max:1},{id:30000503,odds:1200,min:1,max:1},{id:30000603,odds:1200,min:1,max:1},{id:30000703,odds:1200,min:1,max:1},{id:30000803,odds:1200,min:1,max:1},{id:30000903,odds:1200,min:1,max:1},{id:30001003,odds:300,min:1,max:1},</v>
      </c>
    </row>
    <row r="18" spans="2:21" x14ac:dyDescent="0.15">
      <c r="B18" s="20" t="s">
        <v>204</v>
      </c>
      <c r="C18" s="20">
        <v>70020004</v>
      </c>
      <c r="D18" s="20" t="str">
        <f>U3&amp;","&amp;U4&amp;","&amp;U5&amp;","&amp;U6&amp;","&amp;U7&amp;","&amp;U8&amp;","&amp;U9&amp;","&amp;U10&amp;","&amp;U11&amp;","&amp;U12&amp;","</f>
        <v>{id:30000104,odds:1200,min:1,max:1},{id:30000204,odds:100,min:1,max:1},{id:30000304,odds:1200,min:1,max:1},{id:30000404,odds:1200,min:1,max:1},{id:30000504,odds:1200,min:1,max:1},{id:30000604,odds:1200,min:1,max:1},{id:30000704,odds:1200,min:1,max:1},{id:30000804,odds:1200,min:1,max:1},{id:30000904,odds:1200,min:1,max:1},{id:30001004,odds:300,min:1,max:1},</v>
      </c>
    </row>
    <row r="20" spans="2:21" x14ac:dyDescent="0.15">
      <c r="B20" s="14"/>
      <c r="C20" s="14" t="s">
        <v>264</v>
      </c>
      <c r="D20" s="14"/>
      <c r="E20" s="14"/>
      <c r="F20" s="10"/>
      <c r="G20" s="10" t="s">
        <v>264</v>
      </c>
      <c r="H20" s="10"/>
      <c r="I20" s="10"/>
      <c r="J20" s="7"/>
      <c r="K20" s="7" t="s">
        <v>264</v>
      </c>
      <c r="L20" s="7"/>
      <c r="M20" s="7"/>
      <c r="N20" s="6"/>
      <c r="O20" s="6" t="s">
        <v>264</v>
      </c>
      <c r="P20" s="6"/>
      <c r="Q20" s="6"/>
      <c r="R20" s="8"/>
      <c r="S20" s="8" t="s">
        <v>264</v>
      </c>
      <c r="T20" s="8"/>
      <c r="U20" s="8"/>
    </row>
    <row r="21" spans="2:21" x14ac:dyDescent="0.15">
      <c r="B21" s="14" t="s">
        <v>265</v>
      </c>
      <c r="C21" s="2">
        <v>30200100</v>
      </c>
      <c r="D21" s="2" t="s">
        <v>484</v>
      </c>
      <c r="E21" s="14" t="str">
        <f>"{id:"&amp;C21&amp;",min:1,max:1}"</f>
        <v>{id:30200100,min:1,max:1}</v>
      </c>
      <c r="F21" s="12" t="s">
        <v>266</v>
      </c>
      <c r="G21" s="2">
        <v>30200101</v>
      </c>
      <c r="H21" s="2" t="s">
        <v>484</v>
      </c>
      <c r="I21" s="10" t="str">
        <f>"{id:"&amp;G21&amp;",min:1,max:1}"</f>
        <v>{id:30200101,min:1,max:1}</v>
      </c>
      <c r="J21" s="11" t="s">
        <v>267</v>
      </c>
      <c r="K21" s="2">
        <v>30200102</v>
      </c>
      <c r="L21" s="2" t="s">
        <v>484</v>
      </c>
      <c r="M21" s="7" t="str">
        <f>"{id:"&amp;K21&amp;",min:1,max:1}"</f>
        <v>{id:30200102,min:1,max:1}</v>
      </c>
      <c r="N21" s="13" t="s">
        <v>268</v>
      </c>
      <c r="O21" s="2">
        <v>30200103</v>
      </c>
      <c r="P21" s="2" t="s">
        <v>484</v>
      </c>
      <c r="Q21" s="6" t="str">
        <f>"{id:"&amp;O21&amp;",min:1,max:1}"</f>
        <v>{id:30200103,min:1,max:1}</v>
      </c>
      <c r="R21" s="9" t="s">
        <v>269</v>
      </c>
      <c r="S21" s="2">
        <v>30200104</v>
      </c>
      <c r="T21" s="2" t="s">
        <v>484</v>
      </c>
      <c r="U21" s="8" t="str">
        <f>"{id:"&amp;S21&amp;",min:1,max:1}"</f>
        <v>{id:30200104,min:1,max:1}</v>
      </c>
    </row>
    <row r="22" spans="2:21" x14ac:dyDescent="0.15">
      <c r="B22" s="15" t="s">
        <v>270</v>
      </c>
      <c r="C22" s="2">
        <v>30200200</v>
      </c>
      <c r="D22" s="2" t="s">
        <v>484</v>
      </c>
      <c r="E22" s="14" t="str">
        <f t="shared" ref="E22:E38" si="5">"{id:"&amp;C22&amp;",min:1,max:1}"</f>
        <v>{id:30200200,min:1,max:1}</v>
      </c>
      <c r="F22" s="12" t="s">
        <v>271</v>
      </c>
      <c r="G22" s="2">
        <v>30200201</v>
      </c>
      <c r="H22" s="2" t="s">
        <v>484</v>
      </c>
      <c r="I22" s="10" t="str">
        <f t="shared" ref="I22:I38" si="6">"{id:"&amp;G22&amp;",min:1,max:1}"</f>
        <v>{id:30200201,min:1,max:1}</v>
      </c>
      <c r="J22" s="11" t="s">
        <v>272</v>
      </c>
      <c r="K22" s="2">
        <v>30200202</v>
      </c>
      <c r="L22" s="2" t="s">
        <v>484</v>
      </c>
      <c r="M22" s="7" t="str">
        <f t="shared" ref="M22:M38" si="7">"{id:"&amp;K22&amp;",min:1,max:1}"</f>
        <v>{id:30200202,min:1,max:1}</v>
      </c>
      <c r="N22" s="13" t="s">
        <v>273</v>
      </c>
      <c r="O22" s="2">
        <v>30200203</v>
      </c>
      <c r="P22" s="2" t="s">
        <v>484</v>
      </c>
      <c r="Q22" s="6" t="str">
        <f t="shared" ref="Q22:Q38" si="8">"{id:"&amp;O22&amp;",min:1,max:1}"</f>
        <v>{id:30200203,min:1,max:1}</v>
      </c>
      <c r="R22" s="9" t="s">
        <v>274</v>
      </c>
      <c r="S22" s="2">
        <v>30200204</v>
      </c>
      <c r="T22" s="2" t="s">
        <v>484</v>
      </c>
      <c r="U22" s="8" t="str">
        <f t="shared" ref="U22:U38" si="9">"{id:"&amp;S22&amp;",min:1,max:1}"</f>
        <v>{id:30200204,min:1,max:1}</v>
      </c>
    </row>
    <row r="23" spans="2:21" x14ac:dyDescent="0.15">
      <c r="B23" s="15" t="s">
        <v>275</v>
      </c>
      <c r="C23" s="2">
        <v>30200300</v>
      </c>
      <c r="D23" s="2" t="s">
        <v>484</v>
      </c>
      <c r="E23" s="14" t="str">
        <f t="shared" si="5"/>
        <v>{id:30200300,min:1,max:1}</v>
      </c>
      <c r="F23" s="12" t="s">
        <v>276</v>
      </c>
      <c r="G23" s="2">
        <v>30200301</v>
      </c>
      <c r="H23" s="2" t="s">
        <v>484</v>
      </c>
      <c r="I23" s="10" t="str">
        <f t="shared" si="6"/>
        <v>{id:30200301,min:1,max:1}</v>
      </c>
      <c r="J23" s="11" t="s">
        <v>277</v>
      </c>
      <c r="K23" s="2">
        <v>30200302</v>
      </c>
      <c r="L23" s="2" t="s">
        <v>484</v>
      </c>
      <c r="M23" s="7" t="str">
        <f t="shared" si="7"/>
        <v>{id:30200302,min:1,max:1}</v>
      </c>
      <c r="N23" s="13" t="s">
        <v>278</v>
      </c>
      <c r="O23" s="2">
        <v>30200303</v>
      </c>
      <c r="P23" s="2" t="s">
        <v>484</v>
      </c>
      <c r="Q23" s="6" t="str">
        <f t="shared" si="8"/>
        <v>{id:30200303,min:1,max:1}</v>
      </c>
      <c r="R23" s="9" t="s">
        <v>279</v>
      </c>
      <c r="S23" s="2">
        <v>30200304</v>
      </c>
      <c r="T23" s="2" t="s">
        <v>484</v>
      </c>
      <c r="U23" s="8" t="str">
        <f t="shared" si="9"/>
        <v>{id:30200304,min:1,max:1}</v>
      </c>
    </row>
    <row r="24" spans="2:21" x14ac:dyDescent="0.15">
      <c r="B24" s="15" t="s">
        <v>280</v>
      </c>
      <c r="C24" s="2">
        <v>30200400</v>
      </c>
      <c r="D24" s="2" t="s">
        <v>484</v>
      </c>
      <c r="E24" s="14" t="str">
        <f t="shared" si="5"/>
        <v>{id:30200400,min:1,max:1}</v>
      </c>
      <c r="F24" s="12" t="s">
        <v>281</v>
      </c>
      <c r="G24" s="2">
        <v>30200401</v>
      </c>
      <c r="H24" s="2" t="s">
        <v>484</v>
      </c>
      <c r="I24" s="10" t="str">
        <f t="shared" si="6"/>
        <v>{id:30200401,min:1,max:1}</v>
      </c>
      <c r="J24" s="11" t="s">
        <v>282</v>
      </c>
      <c r="K24" s="2">
        <v>30200402</v>
      </c>
      <c r="L24" s="2" t="s">
        <v>484</v>
      </c>
      <c r="M24" s="7" t="str">
        <f t="shared" si="7"/>
        <v>{id:30200402,min:1,max:1}</v>
      </c>
      <c r="N24" s="13" t="s">
        <v>283</v>
      </c>
      <c r="O24" s="2">
        <v>30200403</v>
      </c>
      <c r="P24" s="2" t="s">
        <v>484</v>
      </c>
      <c r="Q24" s="6" t="str">
        <f t="shared" si="8"/>
        <v>{id:30200403,min:1,max:1}</v>
      </c>
      <c r="R24" s="9" t="s">
        <v>284</v>
      </c>
      <c r="S24" s="2">
        <v>30200404</v>
      </c>
      <c r="T24" s="2" t="s">
        <v>484</v>
      </c>
      <c r="U24" s="8" t="str">
        <f t="shared" si="9"/>
        <v>{id:30200404,min:1,max:1}</v>
      </c>
    </row>
    <row r="25" spans="2:21" x14ac:dyDescent="0.15">
      <c r="B25" s="15" t="s">
        <v>285</v>
      </c>
      <c r="C25" s="2">
        <v>30200500</v>
      </c>
      <c r="D25" s="2" t="s">
        <v>484</v>
      </c>
      <c r="E25" s="14" t="str">
        <f t="shared" si="5"/>
        <v>{id:30200500,min:1,max:1}</v>
      </c>
      <c r="F25" s="12" t="s">
        <v>286</v>
      </c>
      <c r="G25" s="2">
        <v>30200501</v>
      </c>
      <c r="H25" s="2" t="s">
        <v>484</v>
      </c>
      <c r="I25" s="10" t="str">
        <f t="shared" si="6"/>
        <v>{id:30200501,min:1,max:1}</v>
      </c>
      <c r="J25" s="11" t="s">
        <v>287</v>
      </c>
      <c r="K25" s="2">
        <v>30200502</v>
      </c>
      <c r="L25" s="2" t="s">
        <v>484</v>
      </c>
      <c r="M25" s="7" t="str">
        <f t="shared" si="7"/>
        <v>{id:30200502,min:1,max:1}</v>
      </c>
      <c r="N25" s="13" t="s">
        <v>288</v>
      </c>
      <c r="O25" s="2">
        <v>30200503</v>
      </c>
      <c r="P25" s="2" t="s">
        <v>484</v>
      </c>
      <c r="Q25" s="6" t="str">
        <f t="shared" si="8"/>
        <v>{id:30200503,min:1,max:1}</v>
      </c>
      <c r="R25" s="9" t="s">
        <v>289</v>
      </c>
      <c r="S25" s="2">
        <v>30200504</v>
      </c>
      <c r="T25" s="2" t="s">
        <v>484</v>
      </c>
      <c r="U25" s="8" t="str">
        <f t="shared" si="9"/>
        <v>{id:30200504,min:1,max:1}</v>
      </c>
    </row>
    <row r="26" spans="2:21" x14ac:dyDescent="0.15">
      <c r="B26" s="15" t="s">
        <v>290</v>
      </c>
      <c r="C26" s="2">
        <v>30200600</v>
      </c>
      <c r="D26" s="2" t="s">
        <v>484</v>
      </c>
      <c r="E26" s="14" t="str">
        <f t="shared" si="5"/>
        <v>{id:30200600,min:1,max:1}</v>
      </c>
      <c r="F26" s="12" t="s">
        <v>291</v>
      </c>
      <c r="G26" s="2">
        <v>30200601</v>
      </c>
      <c r="H26" s="2" t="s">
        <v>484</v>
      </c>
      <c r="I26" s="10" t="str">
        <f t="shared" si="6"/>
        <v>{id:30200601,min:1,max:1}</v>
      </c>
      <c r="J26" s="11" t="s">
        <v>292</v>
      </c>
      <c r="K26" s="2">
        <v>30200602</v>
      </c>
      <c r="L26" s="2" t="s">
        <v>484</v>
      </c>
      <c r="M26" s="7" t="str">
        <f t="shared" si="7"/>
        <v>{id:30200602,min:1,max:1}</v>
      </c>
      <c r="N26" s="13" t="s">
        <v>293</v>
      </c>
      <c r="O26" s="2">
        <v>30200603</v>
      </c>
      <c r="P26" s="2" t="s">
        <v>484</v>
      </c>
      <c r="Q26" s="6" t="str">
        <f t="shared" si="8"/>
        <v>{id:30200603,min:1,max:1}</v>
      </c>
      <c r="R26" s="9" t="s">
        <v>294</v>
      </c>
      <c r="S26" s="2">
        <v>30200604</v>
      </c>
      <c r="T26" s="2" t="s">
        <v>484</v>
      </c>
      <c r="U26" s="8" t="str">
        <f t="shared" si="9"/>
        <v>{id:30200604,min:1,max:1}</v>
      </c>
    </row>
    <row r="27" spans="2:21" x14ac:dyDescent="0.15">
      <c r="B27" s="15" t="s">
        <v>295</v>
      </c>
      <c r="C27" s="2">
        <v>30200700</v>
      </c>
      <c r="D27" s="2" t="s">
        <v>484</v>
      </c>
      <c r="E27" s="14" t="str">
        <f t="shared" si="5"/>
        <v>{id:30200700,min:1,max:1}</v>
      </c>
      <c r="F27" s="12" t="s">
        <v>296</v>
      </c>
      <c r="G27" s="2">
        <v>30200701</v>
      </c>
      <c r="H27" s="2" t="s">
        <v>484</v>
      </c>
      <c r="I27" s="10" t="str">
        <f t="shared" si="6"/>
        <v>{id:30200701,min:1,max:1}</v>
      </c>
      <c r="J27" s="11" t="s">
        <v>297</v>
      </c>
      <c r="K27" s="2">
        <v>30200702</v>
      </c>
      <c r="L27" s="2" t="s">
        <v>484</v>
      </c>
      <c r="M27" s="7" t="str">
        <f t="shared" si="7"/>
        <v>{id:30200702,min:1,max:1}</v>
      </c>
      <c r="N27" s="13" t="s">
        <v>298</v>
      </c>
      <c r="O27" s="2">
        <v>30200703</v>
      </c>
      <c r="P27" s="2" t="s">
        <v>484</v>
      </c>
      <c r="Q27" s="6" t="str">
        <f t="shared" si="8"/>
        <v>{id:30200703,min:1,max:1}</v>
      </c>
      <c r="R27" s="9" t="s">
        <v>299</v>
      </c>
      <c r="S27" s="2">
        <v>30200704</v>
      </c>
      <c r="T27" s="2" t="s">
        <v>484</v>
      </c>
      <c r="U27" s="8" t="str">
        <f t="shared" si="9"/>
        <v>{id:30200704,min:1,max:1}</v>
      </c>
    </row>
    <row r="28" spans="2:21" x14ac:dyDescent="0.15">
      <c r="B28" s="15" t="s">
        <v>300</v>
      </c>
      <c r="C28" s="2">
        <v>30200800</v>
      </c>
      <c r="D28" s="2" t="s">
        <v>484</v>
      </c>
      <c r="E28" s="14" t="str">
        <f t="shared" si="5"/>
        <v>{id:30200800,min:1,max:1}</v>
      </c>
      <c r="F28" s="12" t="s">
        <v>301</v>
      </c>
      <c r="G28" s="2">
        <v>30200801</v>
      </c>
      <c r="H28" s="2" t="s">
        <v>484</v>
      </c>
      <c r="I28" s="10" t="str">
        <f t="shared" si="6"/>
        <v>{id:30200801,min:1,max:1}</v>
      </c>
      <c r="J28" s="11" t="s">
        <v>302</v>
      </c>
      <c r="K28" s="2">
        <v>30200802</v>
      </c>
      <c r="L28" s="2" t="s">
        <v>484</v>
      </c>
      <c r="M28" s="7" t="str">
        <f t="shared" si="7"/>
        <v>{id:30200802,min:1,max:1}</v>
      </c>
      <c r="N28" s="13" t="s">
        <v>303</v>
      </c>
      <c r="O28" s="2">
        <v>30200803</v>
      </c>
      <c r="P28" s="2" t="s">
        <v>484</v>
      </c>
      <c r="Q28" s="6" t="str">
        <f t="shared" si="8"/>
        <v>{id:30200803,min:1,max:1}</v>
      </c>
      <c r="R28" s="9" t="s">
        <v>304</v>
      </c>
      <c r="S28" s="2">
        <v>30200804</v>
      </c>
      <c r="T28" s="2" t="s">
        <v>484</v>
      </c>
      <c r="U28" s="8" t="str">
        <f t="shared" si="9"/>
        <v>{id:30200804,min:1,max:1}</v>
      </c>
    </row>
    <row r="29" spans="2:21" x14ac:dyDescent="0.15">
      <c r="B29" s="15" t="s">
        <v>305</v>
      </c>
      <c r="C29" s="2">
        <v>30200900</v>
      </c>
      <c r="D29" s="2" t="s">
        <v>484</v>
      </c>
      <c r="E29" s="14" t="str">
        <f t="shared" si="5"/>
        <v>{id:30200900,min:1,max:1}</v>
      </c>
      <c r="F29" s="12" t="s">
        <v>306</v>
      </c>
      <c r="G29" s="2">
        <v>30200901</v>
      </c>
      <c r="H29" s="2" t="s">
        <v>484</v>
      </c>
      <c r="I29" s="10" t="str">
        <f t="shared" si="6"/>
        <v>{id:30200901,min:1,max:1}</v>
      </c>
      <c r="J29" s="11" t="s">
        <v>307</v>
      </c>
      <c r="K29" s="2">
        <v>30200902</v>
      </c>
      <c r="L29" s="2" t="s">
        <v>484</v>
      </c>
      <c r="M29" s="7" t="str">
        <f t="shared" si="7"/>
        <v>{id:30200902,min:1,max:1}</v>
      </c>
      <c r="N29" s="13" t="s">
        <v>308</v>
      </c>
      <c r="O29" s="2">
        <v>30200903</v>
      </c>
      <c r="P29" s="2" t="s">
        <v>484</v>
      </c>
      <c r="Q29" s="6" t="str">
        <f t="shared" si="8"/>
        <v>{id:30200903,min:1,max:1}</v>
      </c>
      <c r="R29" s="9" t="s">
        <v>309</v>
      </c>
      <c r="S29" s="2">
        <v>30200904</v>
      </c>
      <c r="T29" s="2" t="s">
        <v>484</v>
      </c>
      <c r="U29" s="8" t="str">
        <f t="shared" si="9"/>
        <v>{id:30200904,min:1,max:1}</v>
      </c>
    </row>
    <row r="30" spans="2:21" x14ac:dyDescent="0.15">
      <c r="B30" s="15" t="s">
        <v>310</v>
      </c>
      <c r="C30" s="2">
        <v>30201000</v>
      </c>
      <c r="D30" s="2" t="s">
        <v>484</v>
      </c>
      <c r="E30" s="14" t="str">
        <f t="shared" si="5"/>
        <v>{id:30201000,min:1,max:1}</v>
      </c>
      <c r="F30" s="12" t="s">
        <v>311</v>
      </c>
      <c r="G30" s="2">
        <v>30201001</v>
      </c>
      <c r="H30" s="2" t="s">
        <v>484</v>
      </c>
      <c r="I30" s="10" t="str">
        <f t="shared" si="6"/>
        <v>{id:30201001,min:1,max:1}</v>
      </c>
      <c r="J30" s="11" t="s">
        <v>312</v>
      </c>
      <c r="K30" s="2">
        <v>30201002</v>
      </c>
      <c r="L30" s="2" t="s">
        <v>484</v>
      </c>
      <c r="M30" s="7" t="str">
        <f t="shared" si="7"/>
        <v>{id:30201002,min:1,max:1}</v>
      </c>
      <c r="N30" s="13" t="s">
        <v>313</v>
      </c>
      <c r="O30" s="2">
        <v>30201003</v>
      </c>
      <c r="P30" s="2" t="s">
        <v>484</v>
      </c>
      <c r="Q30" s="6" t="str">
        <f t="shared" si="8"/>
        <v>{id:30201003,min:1,max:1}</v>
      </c>
      <c r="R30" s="9" t="s">
        <v>314</v>
      </c>
      <c r="S30" s="2">
        <v>30201004</v>
      </c>
      <c r="T30" s="2" t="s">
        <v>484</v>
      </c>
      <c r="U30" s="8" t="str">
        <f t="shared" si="9"/>
        <v>{id:30201004,min:1,max:1}</v>
      </c>
    </row>
    <row r="31" spans="2:21" x14ac:dyDescent="0.15">
      <c r="B31" s="15" t="s">
        <v>315</v>
      </c>
      <c r="C31" s="2">
        <v>30201100</v>
      </c>
      <c r="D31" s="2" t="s">
        <v>484</v>
      </c>
      <c r="E31" s="14" t="str">
        <f t="shared" si="5"/>
        <v>{id:30201100,min:1,max:1}</v>
      </c>
      <c r="F31" s="12" t="s">
        <v>316</v>
      </c>
      <c r="G31" s="2">
        <v>30201101</v>
      </c>
      <c r="H31" s="2" t="s">
        <v>484</v>
      </c>
      <c r="I31" s="10" t="str">
        <f t="shared" si="6"/>
        <v>{id:30201101,min:1,max:1}</v>
      </c>
      <c r="J31" s="11" t="s">
        <v>317</v>
      </c>
      <c r="K31" s="2">
        <v>30201102</v>
      </c>
      <c r="L31" s="2" t="s">
        <v>484</v>
      </c>
      <c r="M31" s="7" t="str">
        <f t="shared" si="7"/>
        <v>{id:30201102,min:1,max:1}</v>
      </c>
      <c r="N31" s="13" t="s">
        <v>318</v>
      </c>
      <c r="O31" s="2">
        <v>30201103</v>
      </c>
      <c r="P31" s="2" t="s">
        <v>484</v>
      </c>
      <c r="Q31" s="6" t="str">
        <f t="shared" si="8"/>
        <v>{id:30201103,min:1,max:1}</v>
      </c>
      <c r="R31" s="9" t="s">
        <v>319</v>
      </c>
      <c r="S31" s="2">
        <v>30201104</v>
      </c>
      <c r="T31" s="2" t="s">
        <v>484</v>
      </c>
      <c r="U31" s="8" t="str">
        <f t="shared" si="9"/>
        <v>{id:30201104,min:1,max:1}</v>
      </c>
    </row>
    <row r="32" spans="2:21" x14ac:dyDescent="0.15">
      <c r="B32" s="15" t="s">
        <v>320</v>
      </c>
      <c r="C32" s="2">
        <v>30201200</v>
      </c>
      <c r="D32" s="2" t="s">
        <v>484</v>
      </c>
      <c r="E32" s="14" t="str">
        <f t="shared" si="5"/>
        <v>{id:30201200,min:1,max:1}</v>
      </c>
      <c r="F32" s="12" t="s">
        <v>321</v>
      </c>
      <c r="G32" s="2">
        <v>30201201</v>
      </c>
      <c r="H32" s="2" t="s">
        <v>484</v>
      </c>
      <c r="I32" s="10" t="str">
        <f t="shared" si="6"/>
        <v>{id:30201201,min:1,max:1}</v>
      </c>
      <c r="J32" s="11" t="s">
        <v>322</v>
      </c>
      <c r="K32" s="2">
        <v>30201202</v>
      </c>
      <c r="L32" s="2" t="s">
        <v>484</v>
      </c>
      <c r="M32" s="7" t="str">
        <f t="shared" si="7"/>
        <v>{id:30201202,min:1,max:1}</v>
      </c>
      <c r="N32" s="13" t="s">
        <v>323</v>
      </c>
      <c r="O32" s="2">
        <v>30201203</v>
      </c>
      <c r="P32" s="2" t="s">
        <v>484</v>
      </c>
      <c r="Q32" s="6" t="str">
        <f t="shared" si="8"/>
        <v>{id:30201203,min:1,max:1}</v>
      </c>
      <c r="R32" s="9" t="s">
        <v>324</v>
      </c>
      <c r="S32" s="2">
        <v>30201204</v>
      </c>
      <c r="T32" s="2" t="s">
        <v>484</v>
      </c>
      <c r="U32" s="8" t="str">
        <f t="shared" si="9"/>
        <v>{id:30201204,min:1,max:1}</v>
      </c>
    </row>
    <row r="33" spans="2:21" x14ac:dyDescent="0.15">
      <c r="B33" s="15" t="s">
        <v>325</v>
      </c>
      <c r="C33" s="2">
        <v>30201300</v>
      </c>
      <c r="D33" s="2" t="s">
        <v>484</v>
      </c>
      <c r="E33" s="14" t="str">
        <f t="shared" si="5"/>
        <v>{id:30201300,min:1,max:1}</v>
      </c>
      <c r="F33" s="12" t="s">
        <v>326</v>
      </c>
      <c r="G33" s="2">
        <v>30201301</v>
      </c>
      <c r="H33" s="2" t="s">
        <v>484</v>
      </c>
      <c r="I33" s="10" t="str">
        <f t="shared" si="6"/>
        <v>{id:30201301,min:1,max:1}</v>
      </c>
      <c r="J33" s="11" t="s">
        <v>327</v>
      </c>
      <c r="K33" s="2">
        <v>30201302</v>
      </c>
      <c r="L33" s="2" t="s">
        <v>484</v>
      </c>
      <c r="M33" s="7" t="str">
        <f t="shared" si="7"/>
        <v>{id:30201302,min:1,max:1}</v>
      </c>
      <c r="N33" s="13" t="s">
        <v>328</v>
      </c>
      <c r="O33" s="2">
        <v>30201303</v>
      </c>
      <c r="P33" s="2" t="s">
        <v>484</v>
      </c>
      <c r="Q33" s="6" t="str">
        <f t="shared" si="8"/>
        <v>{id:30201303,min:1,max:1}</v>
      </c>
      <c r="R33" s="9" t="s">
        <v>329</v>
      </c>
      <c r="S33" s="2">
        <v>30201304</v>
      </c>
      <c r="T33" s="2" t="s">
        <v>484</v>
      </c>
      <c r="U33" s="8" t="str">
        <f t="shared" si="9"/>
        <v>{id:30201304,min:1,max:1}</v>
      </c>
    </row>
    <row r="34" spans="2:21" x14ac:dyDescent="0.15">
      <c r="B34" s="15" t="s">
        <v>330</v>
      </c>
      <c r="C34" s="2">
        <v>30201400</v>
      </c>
      <c r="D34" s="2" t="s">
        <v>484</v>
      </c>
      <c r="E34" s="14" t="str">
        <f t="shared" si="5"/>
        <v>{id:30201400,min:1,max:1}</v>
      </c>
      <c r="F34" s="12" t="s">
        <v>331</v>
      </c>
      <c r="G34" s="2">
        <v>30201401</v>
      </c>
      <c r="H34" s="2" t="s">
        <v>484</v>
      </c>
      <c r="I34" s="10" t="str">
        <f t="shared" si="6"/>
        <v>{id:30201401,min:1,max:1}</v>
      </c>
      <c r="J34" s="11" t="s">
        <v>332</v>
      </c>
      <c r="K34" s="2">
        <v>30201402</v>
      </c>
      <c r="L34" s="2" t="s">
        <v>484</v>
      </c>
      <c r="M34" s="7" t="str">
        <f t="shared" si="7"/>
        <v>{id:30201402,min:1,max:1}</v>
      </c>
      <c r="N34" s="13" t="s">
        <v>333</v>
      </c>
      <c r="O34" s="2">
        <v>30201403</v>
      </c>
      <c r="P34" s="2" t="s">
        <v>484</v>
      </c>
      <c r="Q34" s="6" t="str">
        <f t="shared" si="8"/>
        <v>{id:30201403,min:1,max:1}</v>
      </c>
      <c r="R34" s="9" t="s">
        <v>334</v>
      </c>
      <c r="S34" s="2">
        <v>30201404</v>
      </c>
      <c r="T34" s="2" t="s">
        <v>484</v>
      </c>
      <c r="U34" s="8" t="str">
        <f t="shared" si="9"/>
        <v>{id:30201404,min:1,max:1}</v>
      </c>
    </row>
    <row r="35" spans="2:21" x14ac:dyDescent="0.15">
      <c r="B35" s="15" t="s">
        <v>350</v>
      </c>
      <c r="C35" s="2">
        <v>30201500</v>
      </c>
      <c r="D35" s="2" t="s">
        <v>484</v>
      </c>
      <c r="E35" s="14" t="str">
        <f t="shared" si="5"/>
        <v>{id:30201500,min:1,max:1}</v>
      </c>
      <c r="F35" s="12" t="s">
        <v>351</v>
      </c>
      <c r="G35" s="2">
        <v>30201501</v>
      </c>
      <c r="H35" s="2" t="s">
        <v>484</v>
      </c>
      <c r="I35" s="10" t="str">
        <f t="shared" si="6"/>
        <v>{id:30201501,min:1,max:1}</v>
      </c>
      <c r="J35" s="11" t="s">
        <v>352</v>
      </c>
      <c r="K35" s="2">
        <v>30201502</v>
      </c>
      <c r="L35" s="2" t="s">
        <v>484</v>
      </c>
      <c r="M35" s="7" t="str">
        <f t="shared" si="7"/>
        <v>{id:30201502,min:1,max:1}</v>
      </c>
      <c r="N35" s="13" t="s">
        <v>353</v>
      </c>
      <c r="O35" s="2">
        <v>30201503</v>
      </c>
      <c r="P35" s="2" t="s">
        <v>484</v>
      </c>
      <c r="Q35" s="6" t="str">
        <f t="shared" si="8"/>
        <v>{id:30201503,min:1,max:1}</v>
      </c>
      <c r="R35" s="9" t="s">
        <v>354</v>
      </c>
      <c r="S35" s="2">
        <v>30201504</v>
      </c>
      <c r="T35" s="2" t="s">
        <v>484</v>
      </c>
      <c r="U35" s="8" t="str">
        <f t="shared" si="9"/>
        <v>{id:30201504,min:1,max:1}</v>
      </c>
    </row>
    <row r="36" spans="2:21" x14ac:dyDescent="0.15">
      <c r="B36" s="15" t="s">
        <v>335</v>
      </c>
      <c r="C36" s="2">
        <v>30201600</v>
      </c>
      <c r="D36" s="2" t="s">
        <v>484</v>
      </c>
      <c r="E36" s="14" t="str">
        <f t="shared" si="5"/>
        <v>{id:30201600,min:1,max:1}</v>
      </c>
      <c r="F36" s="12" t="s">
        <v>336</v>
      </c>
      <c r="G36" s="2">
        <v>30201601</v>
      </c>
      <c r="H36" s="2" t="s">
        <v>484</v>
      </c>
      <c r="I36" s="10" t="str">
        <f t="shared" si="6"/>
        <v>{id:30201601,min:1,max:1}</v>
      </c>
      <c r="J36" s="11" t="s">
        <v>337</v>
      </c>
      <c r="K36" s="2">
        <v>30201602</v>
      </c>
      <c r="L36" s="2" t="s">
        <v>484</v>
      </c>
      <c r="M36" s="7" t="str">
        <f t="shared" si="7"/>
        <v>{id:30201602,min:1,max:1}</v>
      </c>
      <c r="N36" s="13" t="s">
        <v>338</v>
      </c>
      <c r="O36" s="2">
        <v>30201603</v>
      </c>
      <c r="P36" s="2" t="s">
        <v>484</v>
      </c>
      <c r="Q36" s="6" t="str">
        <f t="shared" si="8"/>
        <v>{id:30201603,min:1,max:1}</v>
      </c>
      <c r="R36" s="9" t="s">
        <v>339</v>
      </c>
      <c r="S36" s="2">
        <v>30201604</v>
      </c>
      <c r="T36" s="2" t="s">
        <v>484</v>
      </c>
      <c r="U36" s="8" t="str">
        <f t="shared" si="9"/>
        <v>{id:30201604,min:1,max:1}</v>
      </c>
    </row>
    <row r="37" spans="2:21" x14ac:dyDescent="0.15">
      <c r="B37" s="15" t="s">
        <v>340</v>
      </c>
      <c r="C37" s="2">
        <v>30201700</v>
      </c>
      <c r="D37" s="2" t="s">
        <v>484</v>
      </c>
      <c r="E37" s="14" t="str">
        <f t="shared" si="5"/>
        <v>{id:30201700,min:1,max:1}</v>
      </c>
      <c r="F37" s="12" t="s">
        <v>341</v>
      </c>
      <c r="G37" s="2">
        <v>30201701</v>
      </c>
      <c r="H37" s="2" t="s">
        <v>484</v>
      </c>
      <c r="I37" s="10" t="str">
        <f t="shared" si="6"/>
        <v>{id:30201701,min:1,max:1}</v>
      </c>
      <c r="J37" s="11" t="s">
        <v>342</v>
      </c>
      <c r="K37" s="2">
        <v>30201702</v>
      </c>
      <c r="L37" s="2" t="s">
        <v>484</v>
      </c>
      <c r="M37" s="7" t="str">
        <f t="shared" si="7"/>
        <v>{id:30201702,min:1,max:1}</v>
      </c>
      <c r="N37" s="13" t="s">
        <v>343</v>
      </c>
      <c r="O37" s="2">
        <v>30201703</v>
      </c>
      <c r="P37" s="2" t="s">
        <v>484</v>
      </c>
      <c r="Q37" s="6" t="str">
        <f t="shared" si="8"/>
        <v>{id:30201703,min:1,max:1}</v>
      </c>
      <c r="R37" s="9" t="s">
        <v>344</v>
      </c>
      <c r="S37" s="2">
        <v>30201704</v>
      </c>
      <c r="T37" s="2" t="s">
        <v>484</v>
      </c>
      <c r="U37" s="8" t="str">
        <f t="shared" si="9"/>
        <v>{id:30201704,min:1,max:1}</v>
      </c>
    </row>
    <row r="38" spans="2:21" x14ac:dyDescent="0.15">
      <c r="B38" s="15" t="s">
        <v>345</v>
      </c>
      <c r="C38" s="2">
        <v>30201800</v>
      </c>
      <c r="D38" s="2" t="s">
        <v>484</v>
      </c>
      <c r="E38" s="14" t="str">
        <f t="shared" si="5"/>
        <v>{id:30201800,min:1,max:1}</v>
      </c>
      <c r="F38" s="12" t="s">
        <v>346</v>
      </c>
      <c r="G38" s="2">
        <v>30201801</v>
      </c>
      <c r="H38" s="2" t="s">
        <v>484</v>
      </c>
      <c r="I38" s="10" t="str">
        <f t="shared" si="6"/>
        <v>{id:30201801,min:1,max:1}</v>
      </c>
      <c r="J38" s="11" t="s">
        <v>347</v>
      </c>
      <c r="K38" s="2">
        <v>30201802</v>
      </c>
      <c r="L38" s="2" t="s">
        <v>484</v>
      </c>
      <c r="M38" s="7" t="str">
        <f t="shared" si="7"/>
        <v>{id:30201802,min:1,max:1}</v>
      </c>
      <c r="N38" s="13" t="s">
        <v>348</v>
      </c>
      <c r="O38" s="2">
        <v>30201803</v>
      </c>
      <c r="P38" s="2" t="s">
        <v>484</v>
      </c>
      <c r="Q38" s="6" t="str">
        <f t="shared" si="8"/>
        <v>{id:30201803,min:1,max:1}</v>
      </c>
      <c r="R38" s="9" t="s">
        <v>349</v>
      </c>
      <c r="S38" s="2">
        <v>30201804</v>
      </c>
      <c r="T38" s="2" t="s">
        <v>484</v>
      </c>
      <c r="U38" s="8" t="str">
        <f t="shared" si="9"/>
        <v>{id:30201804,min:1,max:1}</v>
      </c>
    </row>
    <row r="40" spans="2:21" x14ac:dyDescent="0.15">
      <c r="B40" s="20" t="s">
        <v>190</v>
      </c>
      <c r="C40" s="20">
        <v>70030000</v>
      </c>
      <c r="D40" s="20" t="str">
        <f>E21&amp;","&amp;E22&amp;","&amp;E23&amp;","&amp;E24&amp;","&amp;E25&amp;","&amp;E26&amp;","&amp;E27&amp;","&amp;E28&amp;","&amp;E29&amp;","&amp;E30&amp;","&amp;E31&amp;","&amp;E32&amp;","&amp;E33&amp;","&amp;E34&amp;","&amp;E35&amp;","&amp;E36&amp;","&amp;E37&amp;","&amp;E38&amp;","</f>
        <v>{id:30200100,min:1,max:1},{id:30200200,min:1,max:1},{id:30200300,min:1,max:1},{id:30200400,min:1,max:1},{id:30200500,min:1,max:1},{id:30200600,min:1,max:1},{id:30200700,min:1,max:1},{id:30200800,min:1,max:1},{id:30200900,min:1,max:1},{id:30201000,min:1,max:1},{id:30201100,min:1,max:1},{id:30201200,min:1,max:1},{id:30201300,min:1,max:1},{id:30201400,min:1,max:1},{id:30201500,min:1,max:1},{id:30201600,min:1,max:1},{id:30201700,min:1,max:1},{id:30201800,min:1,max:1},</v>
      </c>
    </row>
    <row r="41" spans="2:21" x14ac:dyDescent="0.15">
      <c r="B41" s="20" t="s">
        <v>191</v>
      </c>
      <c r="C41" s="20">
        <v>70030001</v>
      </c>
      <c r="D41" s="20" t="str">
        <f>I21&amp;","&amp;I22&amp;","&amp;I23&amp;","&amp;I24&amp;","&amp;I25&amp;","&amp;I26&amp;","&amp;I27&amp;","&amp;I28&amp;","&amp;I29&amp;","&amp;I30&amp;","&amp;I31&amp;","&amp;I32&amp;","&amp;I33&amp;","&amp;I34&amp;","&amp;I35&amp;","&amp;I36&amp;","&amp;I37&amp;","&amp;I38&amp;","</f>
        <v>{id:30200101,min:1,max:1},{id:30200201,min:1,max:1},{id:30200301,min:1,max:1},{id:30200401,min:1,max:1},{id:30200501,min:1,max:1},{id:30200601,min:1,max:1},{id:30200701,min:1,max:1},{id:30200801,min:1,max:1},{id:30200901,min:1,max:1},{id:30201001,min:1,max:1},{id:30201101,min:1,max:1},{id:30201201,min:1,max:1},{id:30201301,min:1,max:1},{id:30201401,min:1,max:1},{id:30201501,min:1,max:1},{id:30201601,min:1,max:1},{id:30201701,min:1,max:1},{id:30201801,min:1,max:1},</v>
      </c>
    </row>
    <row r="42" spans="2:21" x14ac:dyDescent="0.15">
      <c r="B42" s="20" t="s">
        <v>192</v>
      </c>
      <c r="C42" s="20">
        <v>70030002</v>
      </c>
      <c r="D42" s="20" t="str">
        <f>M21&amp;","&amp;M22&amp;","&amp;M23&amp;","&amp;M24&amp;","&amp;M25&amp;","&amp;M26&amp;","&amp;M27&amp;","&amp;M28&amp;","&amp;M29&amp;","&amp;M30&amp;","&amp;M31&amp;","&amp;M32&amp;","&amp;M33&amp;","&amp;M34&amp;","&amp;M35&amp;","&amp;M36&amp;","&amp;M37&amp;","&amp;M38&amp;","</f>
        <v>{id:30200102,min:1,max:1},{id:30200202,min:1,max:1},{id:30200302,min:1,max:1},{id:30200402,min:1,max:1},{id:30200502,min:1,max:1},{id:30200602,min:1,max:1},{id:30200702,min:1,max:1},{id:30200802,min:1,max:1},{id:30200902,min:1,max:1},{id:30201002,min:1,max:1},{id:30201102,min:1,max:1},{id:30201202,min:1,max:1},{id:30201302,min:1,max:1},{id:30201402,min:1,max:1},{id:30201502,min:1,max:1},{id:30201602,min:1,max:1},{id:30201702,min:1,max:1},{id:30201802,min:1,max:1},</v>
      </c>
    </row>
    <row r="43" spans="2:21" x14ac:dyDescent="0.15">
      <c r="B43" s="20" t="s">
        <v>193</v>
      </c>
      <c r="C43" s="20">
        <v>70030003</v>
      </c>
      <c r="D43" s="20" t="str">
        <f>Q21&amp;","&amp;Q22&amp;","&amp;Q23&amp;","&amp;Q24&amp;","&amp;Q25&amp;","&amp;Q26&amp;","&amp;Q27&amp;","&amp;Q28&amp;","&amp;Q29&amp;","&amp;Q30&amp;","&amp;Q31&amp;","&amp;Q32&amp;","&amp;Q33&amp;","&amp;Q34&amp;","&amp;Q35&amp;","&amp;Q36&amp;","&amp;Q37&amp;","&amp;Q38&amp;","</f>
        <v>{id:30200103,min:1,max:1},{id:30200203,min:1,max:1},{id:30200303,min:1,max:1},{id:30200403,min:1,max:1},{id:30200503,min:1,max:1},{id:30200603,min:1,max:1},{id:30200703,min:1,max:1},{id:30200803,min:1,max:1},{id:30200903,min:1,max:1},{id:30201003,min:1,max:1},{id:30201103,min:1,max:1},{id:30201203,min:1,max:1},{id:30201303,min:1,max:1},{id:30201403,min:1,max:1},{id:30201503,min:1,max:1},{id:30201603,min:1,max:1},{id:30201703,min:1,max:1},{id:30201803,min:1,max:1},</v>
      </c>
    </row>
    <row r="44" spans="2:21" x14ac:dyDescent="0.15">
      <c r="B44" s="20" t="s">
        <v>194</v>
      </c>
      <c r="C44" s="20">
        <v>70030004</v>
      </c>
      <c r="D44" s="20" t="str">
        <f>U21&amp;","&amp;U22&amp;","&amp;U23&amp;","&amp;U24&amp;","&amp;U25&amp;","&amp;U26&amp;","&amp;U27&amp;","&amp;U28&amp;","&amp;U29&amp;","&amp;U30&amp;","&amp;U31&amp;","&amp;U32&amp;","&amp;U33&amp;","&amp;U34&amp;","&amp;U35&amp;","&amp;U36&amp;","&amp;U37&amp;","&amp;U38&amp;","</f>
        <v>{id:30200104,min:1,max:1},{id:30200204,min:1,max:1},{id:30200304,min:1,max:1},{id:30200404,min:1,max:1},{id:30200504,min:1,max:1},{id:30200604,min:1,max:1},{id:30200704,min:1,max:1},{id:30200804,min:1,max:1},{id:30200904,min:1,max:1},{id:30201004,min:1,max:1},{id:30201104,min:1,max:1},{id:30201204,min:1,max:1},{id:30201304,min:1,max:1},{id:30201404,min:1,max:1},{id:30201504,min:1,max:1},{id:30201604,min:1,max:1},{id:30201704,min:1,max:1},{id:30201804,min:1,max:1},</v>
      </c>
    </row>
    <row r="46" spans="2:21" x14ac:dyDescent="0.15">
      <c r="B46" s="14"/>
      <c r="C46" s="14" t="s">
        <v>264</v>
      </c>
      <c r="D46" s="14"/>
      <c r="E46" s="14"/>
      <c r="F46" s="10"/>
      <c r="G46" s="10" t="s">
        <v>264</v>
      </c>
      <c r="H46" s="10"/>
      <c r="I46" s="10"/>
      <c r="J46" s="7"/>
      <c r="K46" s="7" t="s">
        <v>264</v>
      </c>
      <c r="L46" s="7"/>
      <c r="M46" s="7"/>
      <c r="N46" s="6"/>
      <c r="O46" s="6" t="s">
        <v>264</v>
      </c>
      <c r="P46" s="6"/>
      <c r="Q46" s="6"/>
      <c r="R46" s="8"/>
      <c r="S46" s="8" t="s">
        <v>264</v>
      </c>
      <c r="T46" s="8"/>
      <c r="U46" s="8"/>
    </row>
    <row r="47" spans="2:21" x14ac:dyDescent="0.15">
      <c r="B47" s="14" t="s">
        <v>355</v>
      </c>
      <c r="C47" s="2">
        <v>30100100</v>
      </c>
      <c r="D47" s="2" t="s">
        <v>484</v>
      </c>
      <c r="E47" s="14" t="str">
        <f>"{id:"&amp;C47&amp;",min:1,max:1}"</f>
        <v>{id:30100100,min:1,max:1}</v>
      </c>
      <c r="F47" s="12" t="s">
        <v>356</v>
      </c>
      <c r="G47" s="2">
        <v>30100101</v>
      </c>
      <c r="H47" s="2" t="s">
        <v>484</v>
      </c>
      <c r="I47" s="10" t="str">
        <f>"{id:"&amp;G47&amp;",min:1,max:1}"</f>
        <v>{id:30100101,min:1,max:1}</v>
      </c>
      <c r="J47" s="11" t="s">
        <v>357</v>
      </c>
      <c r="K47" s="2">
        <v>30100102</v>
      </c>
      <c r="L47" s="2" t="s">
        <v>484</v>
      </c>
      <c r="M47" s="7" t="str">
        <f>"{id:"&amp;K47&amp;",min:1,max:1}"</f>
        <v>{id:30100102,min:1,max:1}</v>
      </c>
      <c r="N47" s="13" t="s">
        <v>268</v>
      </c>
      <c r="O47" s="2">
        <v>30200103</v>
      </c>
      <c r="P47" s="2" t="s">
        <v>484</v>
      </c>
      <c r="Q47" s="6" t="str">
        <f>"{id:"&amp;O47&amp;",min:1,max:1}"</f>
        <v>{id:30200103,min:1,max:1}</v>
      </c>
      <c r="R47" s="9" t="s">
        <v>269</v>
      </c>
      <c r="S47" s="2">
        <v>30200104</v>
      </c>
      <c r="T47" s="2" t="s">
        <v>484</v>
      </c>
      <c r="U47" s="8" t="str">
        <f>"{id:"&amp;S47&amp;",min:1,max:1}"</f>
        <v>{id:30200104,min:1,max:1}</v>
      </c>
    </row>
    <row r="48" spans="2:21" x14ac:dyDescent="0.15">
      <c r="B48" s="15" t="s">
        <v>358</v>
      </c>
      <c r="C48" s="2">
        <v>30100200</v>
      </c>
      <c r="D48" s="2" t="s">
        <v>484</v>
      </c>
      <c r="E48" s="14" t="str">
        <f t="shared" ref="E48:E63" si="10">"{id:"&amp;C48&amp;",min:1,max:1}"</f>
        <v>{id:30100200,min:1,max:1}</v>
      </c>
      <c r="F48" s="12" t="s">
        <v>359</v>
      </c>
      <c r="G48" s="2">
        <v>30100201</v>
      </c>
      <c r="H48" s="2" t="s">
        <v>484</v>
      </c>
      <c r="I48" s="10" t="str">
        <f t="shared" ref="I48:I63" si="11">"{id:"&amp;G48&amp;",min:1,max:1}"</f>
        <v>{id:30100201,min:1,max:1}</v>
      </c>
      <c r="J48" s="11" t="s">
        <v>360</v>
      </c>
      <c r="K48" s="2">
        <v>30100202</v>
      </c>
      <c r="L48" s="2" t="s">
        <v>484</v>
      </c>
      <c r="M48" s="7" t="str">
        <f t="shared" ref="M48:M63" si="12">"{id:"&amp;K48&amp;",min:1,max:1}"</f>
        <v>{id:30100202,min:1,max:1}</v>
      </c>
      <c r="N48" s="13" t="s">
        <v>273</v>
      </c>
      <c r="O48" s="2">
        <v>30200203</v>
      </c>
      <c r="P48" s="2" t="s">
        <v>484</v>
      </c>
      <c r="Q48" s="6" t="str">
        <f t="shared" ref="Q48:Q63" si="13">"{id:"&amp;O48&amp;",min:1,max:1}"</f>
        <v>{id:30200203,min:1,max:1}</v>
      </c>
      <c r="R48" s="9" t="s">
        <v>274</v>
      </c>
      <c r="S48" s="2">
        <v>30200204</v>
      </c>
      <c r="T48" s="2" t="s">
        <v>484</v>
      </c>
      <c r="U48" s="8" t="str">
        <f t="shared" ref="U48:U63" si="14">"{id:"&amp;S48&amp;",min:1,max:1}"</f>
        <v>{id:30200204,min:1,max:1}</v>
      </c>
    </row>
    <row r="49" spans="2:21" x14ac:dyDescent="0.15">
      <c r="B49" s="15" t="s">
        <v>361</v>
      </c>
      <c r="C49" s="2">
        <v>30100300</v>
      </c>
      <c r="D49" s="2" t="s">
        <v>484</v>
      </c>
      <c r="E49" s="14" t="str">
        <f t="shared" si="10"/>
        <v>{id:30100300,min:1,max:1}</v>
      </c>
      <c r="F49" s="12" t="s">
        <v>362</v>
      </c>
      <c r="G49" s="2">
        <v>30100301</v>
      </c>
      <c r="H49" s="2" t="s">
        <v>484</v>
      </c>
      <c r="I49" s="10" t="str">
        <f t="shared" si="11"/>
        <v>{id:30100301,min:1,max:1}</v>
      </c>
      <c r="J49" s="11" t="s">
        <v>363</v>
      </c>
      <c r="K49" s="2">
        <v>30100302</v>
      </c>
      <c r="L49" s="2" t="s">
        <v>484</v>
      </c>
      <c r="M49" s="7" t="str">
        <f t="shared" si="12"/>
        <v>{id:30100302,min:1,max:1}</v>
      </c>
      <c r="N49" s="13" t="s">
        <v>278</v>
      </c>
      <c r="O49" s="2">
        <v>30200303</v>
      </c>
      <c r="P49" s="2" t="s">
        <v>484</v>
      </c>
      <c r="Q49" s="6" t="str">
        <f t="shared" si="13"/>
        <v>{id:30200303,min:1,max:1}</v>
      </c>
      <c r="R49" s="9" t="s">
        <v>279</v>
      </c>
      <c r="S49" s="2">
        <v>30200304</v>
      </c>
      <c r="T49" s="2" t="s">
        <v>484</v>
      </c>
      <c r="U49" s="8" t="str">
        <f t="shared" si="14"/>
        <v>{id:30200304,min:1,max:1}</v>
      </c>
    </row>
    <row r="50" spans="2:21" x14ac:dyDescent="0.15">
      <c r="B50" s="15" t="s">
        <v>364</v>
      </c>
      <c r="C50" s="2">
        <v>30100400</v>
      </c>
      <c r="D50" s="2" t="s">
        <v>484</v>
      </c>
      <c r="E50" s="14" t="str">
        <f t="shared" si="10"/>
        <v>{id:30100400,min:1,max:1}</v>
      </c>
      <c r="F50" s="12" t="s">
        <v>365</v>
      </c>
      <c r="G50" s="2">
        <v>30100401</v>
      </c>
      <c r="H50" s="2" t="s">
        <v>484</v>
      </c>
      <c r="I50" s="10" t="str">
        <f t="shared" si="11"/>
        <v>{id:30100401,min:1,max:1}</v>
      </c>
      <c r="J50" s="11" t="s">
        <v>366</v>
      </c>
      <c r="K50" s="2">
        <v>30100402</v>
      </c>
      <c r="L50" s="2" t="s">
        <v>484</v>
      </c>
      <c r="M50" s="7" t="str">
        <f t="shared" si="12"/>
        <v>{id:30100402,min:1,max:1}</v>
      </c>
      <c r="N50" s="13" t="s">
        <v>283</v>
      </c>
      <c r="O50" s="2">
        <v>30200403</v>
      </c>
      <c r="P50" s="2" t="s">
        <v>484</v>
      </c>
      <c r="Q50" s="6" t="str">
        <f t="shared" si="13"/>
        <v>{id:30200403,min:1,max:1}</v>
      </c>
      <c r="R50" s="9" t="s">
        <v>284</v>
      </c>
      <c r="S50" s="2">
        <v>30200404</v>
      </c>
      <c r="T50" s="2" t="s">
        <v>484</v>
      </c>
      <c r="U50" s="8" t="str">
        <f t="shared" si="14"/>
        <v>{id:30200404,min:1,max:1}</v>
      </c>
    </row>
    <row r="51" spans="2:21" x14ac:dyDescent="0.15">
      <c r="B51" s="15" t="s">
        <v>367</v>
      </c>
      <c r="C51" s="2">
        <v>30100500</v>
      </c>
      <c r="D51" s="2" t="s">
        <v>484</v>
      </c>
      <c r="E51" s="14" t="str">
        <f t="shared" si="10"/>
        <v>{id:30100500,min:1,max:1}</v>
      </c>
      <c r="F51" s="12" t="s">
        <v>368</v>
      </c>
      <c r="G51" s="2">
        <v>30100501</v>
      </c>
      <c r="H51" s="2" t="s">
        <v>484</v>
      </c>
      <c r="I51" s="10" t="str">
        <f t="shared" si="11"/>
        <v>{id:30100501,min:1,max:1}</v>
      </c>
      <c r="J51" s="11" t="s">
        <v>369</v>
      </c>
      <c r="K51" s="2">
        <v>30100502</v>
      </c>
      <c r="L51" s="2" t="s">
        <v>484</v>
      </c>
      <c r="M51" s="7" t="str">
        <f t="shared" si="12"/>
        <v>{id:30100502,min:1,max:1}</v>
      </c>
      <c r="N51" s="13" t="s">
        <v>288</v>
      </c>
      <c r="O51" s="2">
        <v>30200503</v>
      </c>
      <c r="P51" s="2" t="s">
        <v>484</v>
      </c>
      <c r="Q51" s="6" t="str">
        <f t="shared" si="13"/>
        <v>{id:30200503,min:1,max:1}</v>
      </c>
      <c r="R51" s="9" t="s">
        <v>289</v>
      </c>
      <c r="S51" s="2">
        <v>30200504</v>
      </c>
      <c r="T51" s="2" t="s">
        <v>484</v>
      </c>
      <c r="U51" s="8" t="str">
        <f t="shared" si="14"/>
        <v>{id:30200504,min:1,max:1}</v>
      </c>
    </row>
    <row r="52" spans="2:21" x14ac:dyDescent="0.15">
      <c r="B52" s="15" t="s">
        <v>370</v>
      </c>
      <c r="C52" s="2">
        <v>30100600</v>
      </c>
      <c r="D52" s="2" t="s">
        <v>484</v>
      </c>
      <c r="E52" s="14" t="str">
        <f t="shared" si="10"/>
        <v>{id:30100600,min:1,max:1}</v>
      </c>
      <c r="F52" s="12" t="s">
        <v>371</v>
      </c>
      <c r="G52" s="2">
        <v>30100601</v>
      </c>
      <c r="H52" s="2" t="s">
        <v>484</v>
      </c>
      <c r="I52" s="10" t="str">
        <f t="shared" si="11"/>
        <v>{id:30100601,min:1,max:1}</v>
      </c>
      <c r="J52" s="11" t="s">
        <v>372</v>
      </c>
      <c r="K52" s="2">
        <v>30100602</v>
      </c>
      <c r="L52" s="2" t="s">
        <v>484</v>
      </c>
      <c r="M52" s="7" t="str">
        <f t="shared" si="12"/>
        <v>{id:30100602,min:1,max:1}</v>
      </c>
      <c r="N52" s="13" t="s">
        <v>293</v>
      </c>
      <c r="O52" s="2">
        <v>30200603</v>
      </c>
      <c r="P52" s="2" t="s">
        <v>484</v>
      </c>
      <c r="Q52" s="6" t="str">
        <f t="shared" si="13"/>
        <v>{id:30200603,min:1,max:1}</v>
      </c>
      <c r="R52" s="9" t="s">
        <v>294</v>
      </c>
      <c r="S52" s="2">
        <v>30200604</v>
      </c>
      <c r="T52" s="2" t="s">
        <v>484</v>
      </c>
      <c r="U52" s="8" t="str">
        <f t="shared" si="14"/>
        <v>{id:30200604,min:1,max:1}</v>
      </c>
    </row>
    <row r="53" spans="2:21" x14ac:dyDescent="0.15">
      <c r="B53" s="15" t="s">
        <v>373</v>
      </c>
      <c r="C53" s="2">
        <v>30100700</v>
      </c>
      <c r="D53" s="2" t="s">
        <v>484</v>
      </c>
      <c r="E53" s="14" t="str">
        <f t="shared" si="10"/>
        <v>{id:30100700,min:1,max:1}</v>
      </c>
      <c r="F53" s="12" t="s">
        <v>374</v>
      </c>
      <c r="G53" s="2">
        <v>30100701</v>
      </c>
      <c r="H53" s="2" t="s">
        <v>484</v>
      </c>
      <c r="I53" s="10" t="str">
        <f t="shared" si="11"/>
        <v>{id:30100701,min:1,max:1}</v>
      </c>
      <c r="J53" s="11" t="s">
        <v>375</v>
      </c>
      <c r="K53" s="2">
        <v>30100702</v>
      </c>
      <c r="L53" s="2" t="s">
        <v>484</v>
      </c>
      <c r="M53" s="7" t="str">
        <f t="shared" si="12"/>
        <v>{id:30100702,min:1,max:1}</v>
      </c>
      <c r="N53" s="13" t="s">
        <v>298</v>
      </c>
      <c r="O53" s="2">
        <v>30200703</v>
      </c>
      <c r="P53" s="2" t="s">
        <v>484</v>
      </c>
      <c r="Q53" s="6" t="str">
        <f t="shared" si="13"/>
        <v>{id:30200703,min:1,max:1}</v>
      </c>
      <c r="R53" s="9" t="s">
        <v>299</v>
      </c>
      <c r="S53" s="2">
        <v>30200704</v>
      </c>
      <c r="T53" s="2" t="s">
        <v>484</v>
      </c>
      <c r="U53" s="8" t="str">
        <f t="shared" si="14"/>
        <v>{id:30200704,min:1,max:1}</v>
      </c>
    </row>
    <row r="54" spans="2:21" x14ac:dyDescent="0.15">
      <c r="B54" s="15" t="s">
        <v>376</v>
      </c>
      <c r="C54" s="2">
        <v>30100800</v>
      </c>
      <c r="D54" s="2" t="s">
        <v>484</v>
      </c>
      <c r="E54" s="14" t="str">
        <f t="shared" si="10"/>
        <v>{id:30100800,min:1,max:1}</v>
      </c>
      <c r="F54" s="12" t="s">
        <v>377</v>
      </c>
      <c r="G54" s="2">
        <v>30100801</v>
      </c>
      <c r="H54" s="2" t="s">
        <v>484</v>
      </c>
      <c r="I54" s="10" t="str">
        <f t="shared" si="11"/>
        <v>{id:30100801,min:1,max:1}</v>
      </c>
      <c r="J54" s="11" t="s">
        <v>378</v>
      </c>
      <c r="K54" s="2">
        <v>30100802</v>
      </c>
      <c r="L54" s="2" t="s">
        <v>484</v>
      </c>
      <c r="M54" s="7" t="str">
        <f t="shared" si="12"/>
        <v>{id:30100802,min:1,max:1}</v>
      </c>
      <c r="N54" s="13" t="s">
        <v>303</v>
      </c>
      <c r="O54" s="2">
        <v>30200803</v>
      </c>
      <c r="P54" s="2" t="s">
        <v>484</v>
      </c>
      <c r="Q54" s="6" t="str">
        <f t="shared" si="13"/>
        <v>{id:30200803,min:1,max:1}</v>
      </c>
      <c r="R54" s="9" t="s">
        <v>304</v>
      </c>
      <c r="S54" s="2">
        <v>30200804</v>
      </c>
      <c r="T54" s="2" t="s">
        <v>484</v>
      </c>
      <c r="U54" s="8" t="str">
        <f t="shared" si="14"/>
        <v>{id:30200804,min:1,max:1}</v>
      </c>
    </row>
    <row r="55" spans="2:21" x14ac:dyDescent="0.15">
      <c r="B55" s="15" t="s">
        <v>379</v>
      </c>
      <c r="C55" s="2">
        <v>30100900</v>
      </c>
      <c r="D55" s="2" t="s">
        <v>484</v>
      </c>
      <c r="E55" s="14" t="str">
        <f t="shared" si="10"/>
        <v>{id:30100900,min:1,max:1}</v>
      </c>
      <c r="F55" s="12" t="s">
        <v>380</v>
      </c>
      <c r="G55" s="2">
        <v>30100901</v>
      </c>
      <c r="H55" s="2" t="s">
        <v>484</v>
      </c>
      <c r="I55" s="10" t="str">
        <f t="shared" si="11"/>
        <v>{id:30100901,min:1,max:1}</v>
      </c>
      <c r="J55" s="11" t="s">
        <v>381</v>
      </c>
      <c r="K55" s="2">
        <v>30100902</v>
      </c>
      <c r="L55" s="2" t="s">
        <v>484</v>
      </c>
      <c r="M55" s="7" t="str">
        <f t="shared" si="12"/>
        <v>{id:30100902,min:1,max:1}</v>
      </c>
      <c r="N55" s="13" t="s">
        <v>308</v>
      </c>
      <c r="O55" s="2">
        <v>30200903</v>
      </c>
      <c r="P55" s="2" t="s">
        <v>484</v>
      </c>
      <c r="Q55" s="6" t="str">
        <f t="shared" si="13"/>
        <v>{id:30200903,min:1,max:1}</v>
      </c>
      <c r="R55" s="9" t="s">
        <v>309</v>
      </c>
      <c r="S55" s="2">
        <v>30200904</v>
      </c>
      <c r="T55" s="2" t="s">
        <v>484</v>
      </c>
      <c r="U55" s="8" t="str">
        <f t="shared" si="14"/>
        <v>{id:30200904,min:1,max:1}</v>
      </c>
    </row>
    <row r="56" spans="2:21" x14ac:dyDescent="0.15">
      <c r="B56" s="15" t="s">
        <v>382</v>
      </c>
      <c r="C56" s="2">
        <v>30101000</v>
      </c>
      <c r="D56" s="2" t="s">
        <v>484</v>
      </c>
      <c r="E56" s="14" t="str">
        <f t="shared" si="10"/>
        <v>{id:30101000,min:1,max:1}</v>
      </c>
      <c r="F56" s="12" t="s">
        <v>383</v>
      </c>
      <c r="G56" s="2">
        <v>30101001</v>
      </c>
      <c r="H56" s="2" t="s">
        <v>484</v>
      </c>
      <c r="I56" s="10" t="str">
        <f t="shared" si="11"/>
        <v>{id:30101001,min:1,max:1}</v>
      </c>
      <c r="J56" s="11" t="s">
        <v>384</v>
      </c>
      <c r="K56" s="2">
        <v>30101002</v>
      </c>
      <c r="L56" s="2" t="s">
        <v>484</v>
      </c>
      <c r="M56" s="7" t="str">
        <f t="shared" si="12"/>
        <v>{id:30101002,min:1,max:1}</v>
      </c>
      <c r="N56" s="13" t="s">
        <v>313</v>
      </c>
      <c r="O56" s="2">
        <v>30201003</v>
      </c>
      <c r="P56" s="2" t="s">
        <v>484</v>
      </c>
      <c r="Q56" s="6" t="str">
        <f t="shared" si="13"/>
        <v>{id:30201003,min:1,max:1}</v>
      </c>
      <c r="R56" s="9" t="s">
        <v>314</v>
      </c>
      <c r="S56" s="2">
        <v>30201004</v>
      </c>
      <c r="T56" s="2" t="s">
        <v>484</v>
      </c>
      <c r="U56" s="8" t="str">
        <f t="shared" si="14"/>
        <v>{id:30201004,min:1,max:1}</v>
      </c>
    </row>
    <row r="57" spans="2:21" x14ac:dyDescent="0.15">
      <c r="B57" s="15" t="s">
        <v>385</v>
      </c>
      <c r="C57" s="2">
        <v>30101100</v>
      </c>
      <c r="D57" s="2" t="s">
        <v>484</v>
      </c>
      <c r="E57" s="14" t="str">
        <f t="shared" si="10"/>
        <v>{id:30101100,min:1,max:1}</v>
      </c>
      <c r="F57" s="12" t="s">
        <v>386</v>
      </c>
      <c r="G57" s="2">
        <v>30101101</v>
      </c>
      <c r="H57" s="2" t="s">
        <v>484</v>
      </c>
      <c r="I57" s="10" t="str">
        <f t="shared" si="11"/>
        <v>{id:30101101,min:1,max:1}</v>
      </c>
      <c r="J57" s="11" t="s">
        <v>387</v>
      </c>
      <c r="K57" s="2">
        <v>30101102</v>
      </c>
      <c r="L57" s="2" t="s">
        <v>484</v>
      </c>
      <c r="M57" s="7" t="str">
        <f t="shared" si="12"/>
        <v>{id:30101102,min:1,max:1}</v>
      </c>
      <c r="N57" s="13" t="s">
        <v>318</v>
      </c>
      <c r="O57" s="2">
        <v>30201103</v>
      </c>
      <c r="P57" s="2" t="s">
        <v>484</v>
      </c>
      <c r="Q57" s="6" t="str">
        <f t="shared" si="13"/>
        <v>{id:30201103,min:1,max:1}</v>
      </c>
      <c r="R57" s="9" t="s">
        <v>319</v>
      </c>
      <c r="S57" s="2">
        <v>30201104</v>
      </c>
      <c r="T57" s="2" t="s">
        <v>484</v>
      </c>
      <c r="U57" s="8" t="str">
        <f t="shared" si="14"/>
        <v>{id:30201104,min:1,max:1}</v>
      </c>
    </row>
    <row r="58" spans="2:21" x14ac:dyDescent="0.15">
      <c r="B58" s="15" t="s">
        <v>388</v>
      </c>
      <c r="C58" s="2">
        <v>30101200</v>
      </c>
      <c r="D58" s="2" t="s">
        <v>484</v>
      </c>
      <c r="E58" s="14" t="str">
        <f t="shared" si="10"/>
        <v>{id:30101200,min:1,max:1}</v>
      </c>
      <c r="F58" s="12" t="s">
        <v>389</v>
      </c>
      <c r="G58" s="2">
        <v>30101201</v>
      </c>
      <c r="H58" s="2" t="s">
        <v>484</v>
      </c>
      <c r="I58" s="10" t="str">
        <f t="shared" si="11"/>
        <v>{id:30101201,min:1,max:1}</v>
      </c>
      <c r="J58" s="11" t="s">
        <v>390</v>
      </c>
      <c r="K58" s="2">
        <v>30101202</v>
      </c>
      <c r="L58" s="2" t="s">
        <v>484</v>
      </c>
      <c r="M58" s="7" t="str">
        <f t="shared" si="12"/>
        <v>{id:30101202,min:1,max:1}</v>
      </c>
      <c r="N58" s="13" t="s">
        <v>323</v>
      </c>
      <c r="O58" s="2">
        <v>30201203</v>
      </c>
      <c r="P58" s="2" t="s">
        <v>484</v>
      </c>
      <c r="Q58" s="6" t="str">
        <f t="shared" si="13"/>
        <v>{id:30201203,min:1,max:1}</v>
      </c>
      <c r="R58" s="9" t="s">
        <v>324</v>
      </c>
      <c r="S58" s="2">
        <v>30201204</v>
      </c>
      <c r="T58" s="2" t="s">
        <v>484</v>
      </c>
      <c r="U58" s="8" t="str">
        <f t="shared" si="14"/>
        <v>{id:30201204,min:1,max:1}</v>
      </c>
    </row>
    <row r="59" spans="2:21" x14ac:dyDescent="0.15">
      <c r="B59" s="15" t="s">
        <v>391</v>
      </c>
      <c r="C59" s="2">
        <v>30101300</v>
      </c>
      <c r="D59" s="2" t="s">
        <v>484</v>
      </c>
      <c r="E59" s="14" t="str">
        <f t="shared" si="10"/>
        <v>{id:30101300,min:1,max:1}</v>
      </c>
      <c r="F59" s="12" t="s">
        <v>392</v>
      </c>
      <c r="G59" s="2">
        <v>30101301</v>
      </c>
      <c r="H59" s="2" t="s">
        <v>484</v>
      </c>
      <c r="I59" s="10" t="str">
        <f t="shared" si="11"/>
        <v>{id:30101301,min:1,max:1}</v>
      </c>
      <c r="J59" s="11" t="s">
        <v>393</v>
      </c>
      <c r="K59" s="2">
        <v>30101302</v>
      </c>
      <c r="L59" s="2" t="s">
        <v>484</v>
      </c>
      <c r="M59" s="7" t="str">
        <f t="shared" si="12"/>
        <v>{id:30101302,min:1,max:1}</v>
      </c>
      <c r="N59" s="13" t="s">
        <v>328</v>
      </c>
      <c r="O59" s="2">
        <v>30201303</v>
      </c>
      <c r="P59" s="2" t="s">
        <v>484</v>
      </c>
      <c r="Q59" s="6" t="str">
        <f t="shared" si="13"/>
        <v>{id:30201303,min:1,max:1}</v>
      </c>
      <c r="R59" s="9" t="s">
        <v>329</v>
      </c>
      <c r="S59" s="2">
        <v>30201304</v>
      </c>
      <c r="T59" s="2" t="s">
        <v>484</v>
      </c>
      <c r="U59" s="8" t="str">
        <f t="shared" si="14"/>
        <v>{id:30201304,min:1,max:1}</v>
      </c>
    </row>
    <row r="60" spans="2:21" x14ac:dyDescent="0.15">
      <c r="B60" s="15" t="s">
        <v>394</v>
      </c>
      <c r="C60" s="2">
        <v>30101400</v>
      </c>
      <c r="D60" s="2" t="s">
        <v>484</v>
      </c>
      <c r="E60" s="14" t="str">
        <f t="shared" si="10"/>
        <v>{id:30101400,min:1,max:1}</v>
      </c>
      <c r="F60" s="12" t="s">
        <v>395</v>
      </c>
      <c r="G60" s="2">
        <v>30101401</v>
      </c>
      <c r="H60" s="2" t="s">
        <v>484</v>
      </c>
      <c r="I60" s="10" t="str">
        <f t="shared" si="11"/>
        <v>{id:30101401,min:1,max:1}</v>
      </c>
      <c r="J60" s="11" t="s">
        <v>396</v>
      </c>
      <c r="K60" s="2">
        <v>30101402</v>
      </c>
      <c r="L60" s="2" t="s">
        <v>484</v>
      </c>
      <c r="M60" s="7" t="str">
        <f t="shared" si="12"/>
        <v>{id:30101402,min:1,max:1}</v>
      </c>
      <c r="N60" s="13" t="s">
        <v>333</v>
      </c>
      <c r="O60" s="2">
        <v>30201403</v>
      </c>
      <c r="P60" s="2" t="s">
        <v>484</v>
      </c>
      <c r="Q60" s="6" t="str">
        <f t="shared" si="13"/>
        <v>{id:30201403,min:1,max:1}</v>
      </c>
      <c r="R60" s="9" t="s">
        <v>334</v>
      </c>
      <c r="S60" s="2">
        <v>30201404</v>
      </c>
      <c r="T60" s="2" t="s">
        <v>484</v>
      </c>
      <c r="U60" s="8" t="str">
        <f t="shared" si="14"/>
        <v>{id:30201404,min:1,max:1}</v>
      </c>
    </row>
    <row r="61" spans="2:21" x14ac:dyDescent="0.15">
      <c r="B61" s="15" t="s">
        <v>397</v>
      </c>
      <c r="C61" s="2">
        <v>30101500</v>
      </c>
      <c r="D61" s="2" t="s">
        <v>484</v>
      </c>
      <c r="E61" s="14" t="str">
        <f t="shared" si="10"/>
        <v>{id:30101500,min:1,max:1}</v>
      </c>
      <c r="F61" s="12" t="s">
        <v>398</v>
      </c>
      <c r="G61" s="2">
        <v>30101501</v>
      </c>
      <c r="H61" s="2" t="s">
        <v>484</v>
      </c>
      <c r="I61" s="10" t="str">
        <f t="shared" si="11"/>
        <v>{id:30101501,min:1,max:1}</v>
      </c>
      <c r="J61" s="11" t="s">
        <v>399</v>
      </c>
      <c r="K61" s="2">
        <v>30101502</v>
      </c>
      <c r="L61" s="2" t="s">
        <v>484</v>
      </c>
      <c r="M61" s="7" t="str">
        <f t="shared" si="12"/>
        <v>{id:30101502,min:1,max:1}</v>
      </c>
      <c r="N61" s="13" t="s">
        <v>353</v>
      </c>
      <c r="O61" s="2">
        <v>30201503</v>
      </c>
      <c r="P61" s="2" t="s">
        <v>484</v>
      </c>
      <c r="Q61" s="6" t="str">
        <f t="shared" si="13"/>
        <v>{id:30201503,min:1,max:1}</v>
      </c>
      <c r="R61" s="9" t="s">
        <v>354</v>
      </c>
      <c r="S61" s="2">
        <v>30201504</v>
      </c>
      <c r="T61" s="2" t="s">
        <v>484</v>
      </c>
      <c r="U61" s="8" t="str">
        <f t="shared" si="14"/>
        <v>{id:30201504,min:1,max:1}</v>
      </c>
    </row>
    <row r="62" spans="2:21" x14ac:dyDescent="0.15">
      <c r="B62" s="15" t="s">
        <v>400</v>
      </c>
      <c r="C62" s="2">
        <v>30101600</v>
      </c>
      <c r="D62" s="2" t="s">
        <v>484</v>
      </c>
      <c r="E62" s="14" t="str">
        <f t="shared" si="10"/>
        <v>{id:30101600,min:1,max:1}</v>
      </c>
      <c r="F62" s="12" t="s">
        <v>401</v>
      </c>
      <c r="G62" s="2">
        <v>30101601</v>
      </c>
      <c r="H62" s="2" t="s">
        <v>484</v>
      </c>
      <c r="I62" s="10" t="str">
        <f t="shared" si="11"/>
        <v>{id:30101601,min:1,max:1}</v>
      </c>
      <c r="J62" s="11" t="s">
        <v>402</v>
      </c>
      <c r="K62" s="2">
        <v>30101602</v>
      </c>
      <c r="L62" s="2" t="s">
        <v>484</v>
      </c>
      <c r="M62" s="7" t="str">
        <f t="shared" si="12"/>
        <v>{id:30101602,min:1,max:1}</v>
      </c>
      <c r="N62" s="13" t="s">
        <v>338</v>
      </c>
      <c r="O62" s="2">
        <v>30201603</v>
      </c>
      <c r="P62" s="2" t="s">
        <v>484</v>
      </c>
      <c r="Q62" s="6" t="str">
        <f t="shared" si="13"/>
        <v>{id:30201603,min:1,max:1}</v>
      </c>
      <c r="R62" s="9" t="s">
        <v>339</v>
      </c>
      <c r="S62" s="2">
        <v>30201604</v>
      </c>
      <c r="T62" s="2" t="s">
        <v>484</v>
      </c>
      <c r="U62" s="8" t="str">
        <f t="shared" si="14"/>
        <v>{id:30201604,min:1,max:1}</v>
      </c>
    </row>
    <row r="63" spans="2:21" x14ac:dyDescent="0.15">
      <c r="B63" s="15" t="s">
        <v>403</v>
      </c>
      <c r="C63" s="2">
        <v>30101700</v>
      </c>
      <c r="D63" s="2" t="s">
        <v>484</v>
      </c>
      <c r="E63" s="14" t="str">
        <f t="shared" si="10"/>
        <v>{id:30101700,min:1,max:1}</v>
      </c>
      <c r="F63" s="12" t="s">
        <v>404</v>
      </c>
      <c r="G63" s="2">
        <v>30101701</v>
      </c>
      <c r="H63" s="2" t="s">
        <v>484</v>
      </c>
      <c r="I63" s="10" t="str">
        <f t="shared" si="11"/>
        <v>{id:30101701,min:1,max:1}</v>
      </c>
      <c r="J63" s="11" t="s">
        <v>405</v>
      </c>
      <c r="K63" s="2">
        <v>30101702</v>
      </c>
      <c r="L63" s="2" t="s">
        <v>484</v>
      </c>
      <c r="M63" s="7" t="str">
        <f t="shared" si="12"/>
        <v>{id:30101702,min:1,max:1}</v>
      </c>
      <c r="N63" s="13" t="s">
        <v>343</v>
      </c>
      <c r="O63" s="2">
        <v>30201703</v>
      </c>
      <c r="P63" s="2" t="s">
        <v>484</v>
      </c>
      <c r="Q63" s="6" t="str">
        <f t="shared" si="13"/>
        <v>{id:30201703,min:1,max:1}</v>
      </c>
      <c r="R63" s="9" t="s">
        <v>344</v>
      </c>
      <c r="S63" s="2">
        <v>30201704</v>
      </c>
      <c r="T63" s="2" t="s">
        <v>484</v>
      </c>
      <c r="U63" s="8" t="str">
        <f t="shared" si="14"/>
        <v>{id:30201704,min:1,max:1}</v>
      </c>
    </row>
    <row r="65" spans="2:5" x14ac:dyDescent="0.15">
      <c r="B65" s="20" t="s">
        <v>195</v>
      </c>
      <c r="C65" s="20">
        <v>70040000</v>
      </c>
      <c r="D65" s="20" t="str">
        <f>E47&amp;","&amp;E48&amp;","&amp;E49&amp;","&amp;E50&amp;","&amp;E51&amp;","&amp;E52&amp;","&amp;E53&amp;","&amp;E54&amp;","&amp;E55&amp;","&amp;E56&amp;","&amp;E57&amp;","&amp;E58&amp;","&amp;E59&amp;","&amp;E60&amp;","&amp;E61&amp;","&amp;E62&amp;","&amp;E63</f>
        <v>{id:30100100,min:1,max:1},{id:30100200,min:1,max:1},{id:30100300,min:1,max:1},{id:30100400,min:1,max:1},{id:30100500,min:1,max:1},{id:30100600,min:1,max:1},{id:30100700,min:1,max:1},{id:30100800,min:1,max:1},{id:30100900,min:1,max:1},{id:30101000,min:1,max:1},{id:30101100,min:1,max:1},{id:30101200,min:1,max:1},{id:30101300,min:1,max:1},{id:30101400,min:1,max:1},{id:30101500,min:1,max:1},{id:30101600,min:1,max:1},{id:30101700,min:1,max:1}</v>
      </c>
    </row>
    <row r="66" spans="2:5" x14ac:dyDescent="0.15">
      <c r="B66" s="20" t="s">
        <v>196</v>
      </c>
      <c r="C66" s="20">
        <v>70040001</v>
      </c>
      <c r="D66" s="20" t="str">
        <f>I47&amp;","&amp;I48&amp;","&amp;I49&amp;","&amp;I50&amp;","&amp;I51&amp;","&amp;I52&amp;","&amp;I53&amp;","&amp;I54&amp;","&amp;I55&amp;","&amp;I56&amp;","&amp;I57&amp;","&amp;I58&amp;","&amp;I59&amp;","&amp;I60&amp;","&amp;I61&amp;","&amp;I62&amp;","&amp;I63</f>
        <v>{id:30100101,min:1,max:1},{id:30100201,min:1,max:1},{id:30100301,min:1,max:1},{id:30100401,min:1,max:1},{id:30100501,min:1,max:1},{id:30100601,min:1,max:1},{id:30100701,min:1,max:1},{id:30100801,min:1,max:1},{id:30100901,min:1,max:1},{id:30101001,min:1,max:1},{id:30101101,min:1,max:1},{id:30101201,min:1,max:1},{id:30101301,min:1,max:1},{id:30101401,min:1,max:1},{id:30101501,min:1,max:1},{id:30101601,min:1,max:1},{id:30101701,min:1,max:1}</v>
      </c>
    </row>
    <row r="67" spans="2:5" x14ac:dyDescent="0.15">
      <c r="B67" s="20" t="s">
        <v>197</v>
      </c>
      <c r="C67" s="20">
        <v>70040002</v>
      </c>
      <c r="D67" s="20" t="str">
        <f>M47&amp;","&amp;M48&amp;","&amp;M49&amp;","&amp;M50&amp;","&amp;M51&amp;","&amp;M52&amp;","&amp;M53&amp;","&amp;M54&amp;","&amp;M55&amp;","&amp;M56&amp;","&amp;M57&amp;","&amp;M58&amp;","&amp;M59&amp;","&amp;M60&amp;","&amp;M61&amp;","&amp;M62&amp;","&amp;M63</f>
        <v>{id:30100102,min:1,max:1},{id:30100202,min:1,max:1},{id:30100302,min:1,max:1},{id:30100402,min:1,max:1},{id:30100502,min:1,max:1},{id:30100602,min:1,max:1},{id:30100702,min:1,max:1},{id:30100802,min:1,max:1},{id:30100902,min:1,max:1},{id:30101002,min:1,max:1},{id:30101102,min:1,max:1},{id:30101202,min:1,max:1},{id:30101302,min:1,max:1},{id:30101402,min:1,max:1},{id:30101502,min:1,max:1},{id:30101602,min:1,max:1},{id:30101702,min:1,max:1}</v>
      </c>
    </row>
    <row r="68" spans="2:5" x14ac:dyDescent="0.15">
      <c r="B68" s="20" t="s">
        <v>198</v>
      </c>
      <c r="C68" s="20">
        <v>70040003</v>
      </c>
      <c r="D68" s="20" t="str">
        <f>Q47&amp;","&amp;Q48&amp;","&amp;Q49&amp;","&amp;Q50&amp;","&amp;Q51&amp;","&amp;Q52&amp;","&amp;Q53&amp;","&amp;Q54&amp;","&amp;Q55&amp;","&amp;Q56&amp;","&amp;Q57&amp;","&amp;Q58&amp;","&amp;Q59&amp;","&amp;Q60&amp;","&amp;Q61&amp;","&amp;Q62&amp;","&amp;Q63</f>
        <v>{id:30200103,min:1,max:1},{id:30200203,min:1,max:1},{id:30200303,min:1,max:1},{id:30200403,min:1,max:1},{id:30200503,min:1,max:1},{id:30200603,min:1,max:1},{id:30200703,min:1,max:1},{id:30200803,min:1,max:1},{id:30200903,min:1,max:1},{id:30201003,min:1,max:1},{id:30201103,min:1,max:1},{id:30201203,min:1,max:1},{id:30201303,min:1,max:1},{id:30201403,min:1,max:1},{id:30201503,min:1,max:1},{id:30201603,min:1,max:1},{id:30201703,min:1,max:1}</v>
      </c>
    </row>
    <row r="69" spans="2:5" x14ac:dyDescent="0.15">
      <c r="B69" s="20" t="s">
        <v>199</v>
      </c>
      <c r="C69" s="20">
        <v>70040004</v>
      </c>
      <c r="D69" s="20" t="str">
        <f>U47&amp;","&amp;U48&amp;","&amp;U49&amp;","&amp;U50&amp;","&amp;U51&amp;","&amp;U52&amp;","&amp;U53&amp;","&amp;U54&amp;","&amp;U55&amp;","&amp;U56&amp;","&amp;U57&amp;","&amp;U58&amp;","&amp;U59&amp;","&amp;U60&amp;","&amp;U61&amp;","&amp;U62&amp;","&amp;U63</f>
        <v>{id:30200104,min:1,max:1},{id:30200204,min:1,max:1},{id:30200304,min:1,max:1},{id:30200404,min:1,max:1},{id:30200504,min:1,max:1},{id:30200604,min:1,max:1},{id:30200704,min:1,max:1},{id:30200804,min:1,max:1},{id:30200904,min:1,max:1},{id:30201004,min:1,max:1},{id:30201104,min:1,max:1},{id:30201204,min:1,max:1},{id:30201304,min:1,max:1},{id:30201404,min:1,max:1},{id:30201504,min:1,max:1},{id:30201604,min:1,max:1},{id:30201704,min:1,max:1}</v>
      </c>
    </row>
    <row r="71" spans="2:5" x14ac:dyDescent="0.15">
      <c r="B71" s="14"/>
      <c r="C71" s="14" t="s">
        <v>264</v>
      </c>
      <c r="D71" s="14"/>
      <c r="E71" s="14"/>
    </row>
    <row r="72" spans="2:5" x14ac:dyDescent="0.15">
      <c r="B72" s="14" t="s">
        <v>411</v>
      </c>
      <c r="C72" s="2">
        <v>30300001</v>
      </c>
      <c r="D72" s="2" t="s">
        <v>484</v>
      </c>
      <c r="E72" s="14" t="str">
        <f>"{id:"&amp;C72&amp;",min:1,max:1}"</f>
        <v>{id:30300001,min:1,max:1}</v>
      </c>
    </row>
    <row r="73" spans="2:5" x14ac:dyDescent="0.15">
      <c r="B73" s="15" t="s">
        <v>412</v>
      </c>
      <c r="C73" s="2">
        <v>30300002</v>
      </c>
      <c r="D73" s="2" t="s">
        <v>484</v>
      </c>
      <c r="E73" s="14" t="str">
        <f t="shared" ref="E73:E79" si="15">"{id:"&amp;C73&amp;",min:1,max:1}"</f>
        <v>{id:30300002,min:1,max:1}</v>
      </c>
    </row>
    <row r="74" spans="2:5" x14ac:dyDescent="0.15">
      <c r="B74" s="15" t="s">
        <v>413</v>
      </c>
      <c r="C74" s="2">
        <v>30300003</v>
      </c>
      <c r="D74" s="2" t="s">
        <v>484</v>
      </c>
      <c r="E74" s="14" t="str">
        <f t="shared" si="15"/>
        <v>{id:30300003,min:1,max:1}</v>
      </c>
    </row>
    <row r="75" spans="2:5" x14ac:dyDescent="0.15">
      <c r="B75" s="15" t="s">
        <v>414</v>
      </c>
      <c r="C75" s="2">
        <v>30300004</v>
      </c>
      <c r="D75" s="2" t="s">
        <v>484</v>
      </c>
      <c r="E75" s="14" t="str">
        <f t="shared" si="15"/>
        <v>{id:30300004,min:1,max:1}</v>
      </c>
    </row>
    <row r="76" spans="2:5" x14ac:dyDescent="0.15">
      <c r="B76" s="15" t="s">
        <v>415</v>
      </c>
      <c r="C76" s="2">
        <v>30300005</v>
      </c>
      <c r="D76" s="2" t="s">
        <v>484</v>
      </c>
      <c r="E76" s="14" t="str">
        <f t="shared" si="15"/>
        <v>{id:30300005,min:1,max:1}</v>
      </c>
    </row>
    <row r="77" spans="2:5" x14ac:dyDescent="0.15">
      <c r="B77" s="15" t="s">
        <v>416</v>
      </c>
      <c r="C77" s="2">
        <v>30300006</v>
      </c>
      <c r="D77" s="2" t="s">
        <v>484</v>
      </c>
      <c r="E77" s="14" t="str">
        <f t="shared" si="15"/>
        <v>{id:30300006,min:1,max:1}</v>
      </c>
    </row>
    <row r="78" spans="2:5" x14ac:dyDescent="0.15">
      <c r="B78" s="15" t="s">
        <v>417</v>
      </c>
      <c r="C78" s="2">
        <v>30300007</v>
      </c>
      <c r="D78" s="2" t="s">
        <v>484</v>
      </c>
      <c r="E78" s="14" t="str">
        <f t="shared" si="15"/>
        <v>{id:30300007,min:1,max:1}</v>
      </c>
    </row>
    <row r="79" spans="2:5" x14ac:dyDescent="0.15">
      <c r="B79" s="15" t="s">
        <v>418</v>
      </c>
      <c r="C79" s="2">
        <v>30300008</v>
      </c>
      <c r="D79" s="2" t="s">
        <v>484</v>
      </c>
      <c r="E79" s="14" t="str">
        <f t="shared" si="15"/>
        <v>{id:30300008,min:1,max:1}</v>
      </c>
    </row>
    <row r="81" spans="2:4" x14ac:dyDescent="0.15">
      <c r="B81" s="20" t="s">
        <v>456</v>
      </c>
      <c r="C81" s="20">
        <v>70006000</v>
      </c>
      <c r="D81" s="20" t="str">
        <f>E72&amp;","&amp;E73&amp;","&amp;E74&amp;","&amp;E75&amp;","&amp;E76&amp;","&amp;E77&amp;","&amp;E78&amp;","&amp;E79</f>
        <v>{id:30300001,min:1,max:1},{id:30300002,min:1,max:1},{id:30300003,min:1,max:1},{id:30300004,min:1,max:1},{id:30300005,min:1,max:1},{id:30300006,min:1,max:1},{id:30300007,min:1,max:1},{id:30300008,min:1,max:1}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设计</vt:lpstr>
      <vt:lpstr>ID</vt:lpstr>
      <vt:lpstr>导表</vt:lpstr>
      <vt:lpstr>装备包</vt:lpstr>
      <vt:lpstr>杂物包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2017-04-06T02:37:36Z</dcterms:created>
  <dcterms:modified xsi:type="dcterms:W3CDTF">2017-04-19T06:25:12Z</dcterms:modified>
</cp:coreProperties>
</file>